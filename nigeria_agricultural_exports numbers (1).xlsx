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pivotCache/pivotCacheDefinition8.xml" ContentType="application/vnd.openxmlformats-officedocument.spreadsheetml.pivotCacheDefinition+xml"/>
  <Override PartName="/xl/pivotCache/pivotCacheRecords8.xml" ContentType="application/vnd.openxmlformats-officedocument.spreadsheetml.pivotCacheRecords+xml"/>
  <Override PartName="/xl/pivotCache/pivotCacheDefinition9.xml" ContentType="application/vnd.openxmlformats-officedocument.spreadsheetml.pivotCacheDefinition+xml"/>
  <Override PartName="/xl/pivotCache/pivotCacheRecords9.xml" ContentType="application/vnd.openxmlformats-officedocument.spreadsheetml.pivotCacheRecords+xml"/>
  <Override PartName="/xl/pivotCache/pivotCacheDefinition10.xml" ContentType="application/vnd.openxmlformats-officedocument.spreadsheetml.pivotCacheDefinition+xml"/>
  <Override PartName="/xl/pivotCache/pivotCacheRecords10.xml" ContentType="application/vnd.openxmlformats-officedocument.spreadsheetml.pivotCacheRecords+xml"/>
  <Override PartName="/xl/pivotCache/pivotCacheDefinition11.xml" ContentType="application/vnd.openxmlformats-officedocument.spreadsheetml.pivotCacheDefinition+xml"/>
  <Override PartName="/xl/pivotCache/pivotCacheRecords11.xml" ContentType="application/vnd.openxmlformats-officedocument.spreadsheetml.pivotCacheRecords+xml"/>
  <Override PartName="/xl/pivotCache/pivotCacheDefinition12.xml" ContentType="application/vnd.openxmlformats-officedocument.spreadsheetml.pivotCacheDefinition+xml"/>
  <Override PartName="/xl/pivotCache/pivotCacheRecords12.xml" ContentType="application/vnd.openxmlformats-officedocument.spreadsheetml.pivotCacheRecords+xml"/>
  <Override PartName="/xl/pivotCache/pivotCacheDefinition13.xml" ContentType="application/vnd.openxmlformats-officedocument.spreadsheetml.pivotCacheDefinition+xml"/>
  <Override PartName="/xl/pivotCache/pivotCacheRecords1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 hidePivotFieldList="1"/>
  <mc:AlternateContent xmlns:mc="http://schemas.openxmlformats.org/markup-compatibility/2006">
    <mc:Choice Requires="x15">
      <x15ac:absPath xmlns:x15ac="http://schemas.microsoft.com/office/spreadsheetml/2010/11/ac" url="/Users/mayowaadebowale/Library/Mobile Documents/com~apple~Numbers/Documents/"/>
    </mc:Choice>
  </mc:AlternateContent>
  <xr:revisionPtr revIDLastSave="0" documentId="13_ncr:1_{A0E31617-7DDF-6147-9989-5AA74F18969E}" xr6:coauthVersionLast="47" xr6:coauthVersionMax="47" xr10:uidLastSave="{00000000-0000-0000-0000-000000000000}"/>
  <bookViews>
    <workbookView xWindow="0" yWindow="740" windowWidth="29400" windowHeight="18380" activeTab="11" xr2:uid="{00000000-000D-0000-FFFF-FFFF00000000}"/>
  </bookViews>
  <sheets>
    <sheet name="Sheet 1" sheetId="1" r:id="rId1"/>
    <sheet name="Final Work" sheetId="34" r:id="rId2"/>
    <sheet name="Cashew" sheetId="7" r:id="rId3"/>
    <sheet name="Cassava" sheetId="8" r:id="rId4"/>
    <sheet name="Cocoa" sheetId="9" r:id="rId5"/>
    <sheet name="Ginger" sheetId="10" r:id="rId6"/>
    <sheet name="Plantain" sheetId="12" r:id="rId7"/>
    <sheet name="Palm Oil" sheetId="11" r:id="rId8"/>
    <sheet name="Rubber" sheetId="13" r:id="rId9"/>
    <sheet name="Sesame" sheetId="14" r:id="rId10"/>
    <sheet name="Sheet40" sheetId="42" r:id="rId11"/>
    <sheet name="Sheet42" sheetId="44" r:id="rId12"/>
  </sheets>
  <definedNames>
    <definedName name="solver_eng" localSheetId="2" hidden="1">1</definedName>
    <definedName name="solver_lin" localSheetId="2" hidden="1">2</definedName>
    <definedName name="solver_neg" localSheetId="2" hidden="1">1</definedName>
    <definedName name="solver_num" localSheetId="2" hidden="1">0</definedName>
    <definedName name="solver_opt" localSheetId="2" hidden="1">Cashew!$P$11</definedName>
    <definedName name="solver_typ" localSheetId="2" hidden="1">1</definedName>
    <definedName name="solver_val" localSheetId="2" hidden="1">0</definedName>
    <definedName name="solver_ver" localSheetId="2" hidden="1">2</definedName>
  </definedNames>
  <calcPr calcId="191029"/>
  <pivotCaches>
    <pivotCache cacheId="54" r:id="rId13"/>
    <pivotCache cacheId="64" r:id="rId14"/>
    <pivotCache cacheId="69" r:id="rId15"/>
    <pivotCache cacheId="74" r:id="rId16"/>
    <pivotCache cacheId="79" r:id="rId17"/>
    <pivotCache cacheId="94" r:id="rId18"/>
    <pivotCache cacheId="100" r:id="rId19"/>
    <pivotCache cacheId="106" r:id="rId20"/>
    <pivotCache cacheId="111" r:id="rId21"/>
    <pivotCache cacheId="117" r:id="rId22"/>
    <pivotCache cacheId="122" r:id="rId23"/>
    <pivotCache cacheId="162" r:id="rId24"/>
    <pivotCache cacheId="177" r:id="rId2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2" i="1" l="1"/>
  <c r="M43" i="1"/>
  <c r="M41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4" i="1"/>
  <c r="M45" i="1"/>
  <c r="M46" i="1"/>
  <c r="M47" i="1"/>
  <c r="M48" i="1"/>
  <c r="M49" i="1"/>
  <c r="M50" i="1"/>
  <c r="M51" i="1"/>
  <c r="M52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4" i="1"/>
  <c r="R7" i="14"/>
  <c r="R6" i="14"/>
  <c r="R5" i="14"/>
  <c r="R4" i="14"/>
  <c r="Q7" i="14"/>
  <c r="Q6" i="14"/>
  <c r="Q5" i="14"/>
  <c r="Q4" i="14"/>
  <c r="R7" i="13"/>
  <c r="R6" i="13"/>
  <c r="R5" i="13"/>
  <c r="R4" i="13"/>
  <c r="Q6" i="13"/>
  <c r="Q7" i="13"/>
  <c r="Q5" i="13"/>
  <c r="Q4" i="13"/>
  <c r="R7" i="11"/>
  <c r="R6" i="11"/>
  <c r="R5" i="11"/>
  <c r="R4" i="11"/>
  <c r="Q7" i="11"/>
  <c r="Q8" i="11" s="1"/>
  <c r="Q6" i="11"/>
  <c r="Q5" i="11"/>
  <c r="Q4" i="11"/>
  <c r="R7" i="12"/>
  <c r="R6" i="12"/>
  <c r="R5" i="12"/>
  <c r="R4" i="12"/>
  <c r="Q8" i="12"/>
  <c r="Q6" i="12"/>
  <c r="Q5" i="12"/>
  <c r="Q4" i="12"/>
  <c r="R7" i="10"/>
  <c r="R8" i="10" s="1"/>
  <c r="R6" i="10"/>
  <c r="R5" i="10"/>
  <c r="R4" i="10"/>
  <c r="Q7" i="10"/>
  <c r="Q6" i="10"/>
  <c r="Q5" i="10"/>
  <c r="Q4" i="10"/>
  <c r="Q7" i="9"/>
  <c r="R6" i="9"/>
  <c r="Q6" i="9"/>
  <c r="R7" i="9"/>
  <c r="R5" i="9"/>
  <c r="R4" i="9"/>
  <c r="Q5" i="9"/>
  <c r="Q4" i="9"/>
  <c r="R7" i="8"/>
  <c r="R4" i="8"/>
  <c r="R5" i="8"/>
  <c r="Q5" i="8"/>
  <c r="Q5" i="7"/>
  <c r="Q6" i="8"/>
  <c r="R8" i="14"/>
  <c r="R8" i="13"/>
  <c r="R8" i="11"/>
  <c r="Q7" i="12"/>
  <c r="R8" i="12"/>
  <c r="R8" i="9"/>
  <c r="Q7" i="8"/>
  <c r="R6" i="8"/>
  <c r="Q4" i="8"/>
  <c r="R7" i="7"/>
  <c r="R6" i="7"/>
  <c r="R5" i="7"/>
  <c r="R4" i="7"/>
  <c r="Q7" i="7"/>
  <c r="Q6" i="7"/>
  <c r="Q4" i="7"/>
  <c r="Q8" i="7" s="1"/>
  <c r="R8" i="7"/>
  <c r="M4" i="13"/>
  <c r="M5" i="13"/>
  <c r="M6" i="13"/>
  <c r="M7" i="13"/>
  <c r="M8" i="13"/>
  <c r="M9" i="13"/>
  <c r="M10" i="13"/>
  <c r="M11" i="13"/>
  <c r="M12" i="13"/>
  <c r="M13" i="13"/>
  <c r="M14" i="13"/>
  <c r="M15" i="13"/>
  <c r="M16" i="13"/>
  <c r="M17" i="13"/>
  <c r="M18" i="13"/>
  <c r="M19" i="13"/>
  <c r="M20" i="13"/>
  <c r="M21" i="13"/>
  <c r="M22" i="13"/>
  <c r="M23" i="13"/>
  <c r="M24" i="13"/>
  <c r="M25" i="13"/>
  <c r="M26" i="13"/>
  <c r="M27" i="13"/>
  <c r="M28" i="13"/>
  <c r="M29" i="13"/>
  <c r="M30" i="13"/>
  <c r="M31" i="13"/>
  <c r="M32" i="13"/>
  <c r="M33" i="13"/>
  <c r="M34" i="13"/>
  <c r="M35" i="13"/>
  <c r="M36" i="13"/>
  <c r="M37" i="13"/>
  <c r="M38" i="13"/>
  <c r="M39" i="13"/>
  <c r="M40" i="13"/>
  <c r="M41" i="13"/>
  <c r="M42" i="13"/>
  <c r="M43" i="13"/>
  <c r="M44" i="13"/>
  <c r="M45" i="13"/>
  <c r="M46" i="13"/>
  <c r="M47" i="13"/>
  <c r="M48" i="13"/>
  <c r="M49" i="13"/>
  <c r="M50" i="13"/>
  <c r="M51" i="13"/>
  <c r="M52" i="13"/>
  <c r="M53" i="13"/>
  <c r="M54" i="13"/>
  <c r="M55" i="13"/>
  <c r="M56" i="13"/>
  <c r="M57" i="13"/>
  <c r="M58" i="13"/>
  <c r="M59" i="13"/>
  <c r="M60" i="13"/>
  <c r="M61" i="13"/>
  <c r="M62" i="13"/>
  <c r="M63" i="13"/>
  <c r="M64" i="13"/>
  <c r="M65" i="13"/>
  <c r="M66" i="13"/>
  <c r="M67" i="13"/>
  <c r="M68" i="13"/>
  <c r="M69" i="13"/>
  <c r="M70" i="13"/>
  <c r="M71" i="13"/>
  <c r="M72" i="13"/>
  <c r="M73" i="13"/>
  <c r="M74" i="13"/>
  <c r="M75" i="13"/>
  <c r="M76" i="13"/>
  <c r="M77" i="13"/>
  <c r="M78" i="13"/>
  <c r="M79" i="13"/>
  <c r="M80" i="13"/>
  <c r="M81" i="13"/>
  <c r="M82" i="13"/>
  <c r="M83" i="13"/>
  <c r="M84" i="13"/>
  <c r="M85" i="13"/>
  <c r="M86" i="13"/>
  <c r="M87" i="13"/>
  <c r="M88" i="13"/>
  <c r="M89" i="13"/>
  <c r="M90" i="13"/>
  <c r="M91" i="13"/>
  <c r="M92" i="13"/>
  <c r="M93" i="13"/>
  <c r="M94" i="13"/>
  <c r="M95" i="13"/>
  <c r="M96" i="13"/>
  <c r="M97" i="13"/>
  <c r="M98" i="13"/>
  <c r="M99" i="13"/>
  <c r="M100" i="13"/>
  <c r="M101" i="13"/>
  <c r="M102" i="13"/>
  <c r="M103" i="13"/>
  <c r="M104" i="13"/>
  <c r="M105" i="13"/>
  <c r="M106" i="13"/>
  <c r="M107" i="13"/>
  <c r="M108" i="13"/>
  <c r="M109" i="13"/>
  <c r="M110" i="13"/>
  <c r="M111" i="13"/>
  <c r="M112" i="13"/>
  <c r="M113" i="13"/>
  <c r="M114" i="13"/>
  <c r="M115" i="13"/>
  <c r="M116" i="13"/>
  <c r="M117" i="13"/>
  <c r="M118" i="13"/>
  <c r="M119" i="13"/>
  <c r="M120" i="13"/>
  <c r="M121" i="13"/>
  <c r="M122" i="13"/>
  <c r="M123" i="13"/>
  <c r="M124" i="13"/>
  <c r="M125" i="13"/>
  <c r="M126" i="13"/>
  <c r="M127" i="13"/>
  <c r="M3" i="13"/>
  <c r="M4" i="14"/>
  <c r="M5" i="14"/>
  <c r="M6" i="14"/>
  <c r="M7" i="14"/>
  <c r="M8" i="14"/>
  <c r="M9" i="14"/>
  <c r="M10" i="14"/>
  <c r="M11" i="14"/>
  <c r="M12" i="14"/>
  <c r="M13" i="14"/>
  <c r="M14" i="14"/>
  <c r="M15" i="14"/>
  <c r="M16" i="14"/>
  <c r="M17" i="14"/>
  <c r="M18" i="14"/>
  <c r="M19" i="14"/>
  <c r="M20" i="14"/>
  <c r="M21" i="14"/>
  <c r="M22" i="14"/>
  <c r="M23" i="14"/>
  <c r="M24" i="14"/>
  <c r="M25" i="14"/>
  <c r="M26" i="14"/>
  <c r="M27" i="14"/>
  <c r="M28" i="14"/>
  <c r="M29" i="14"/>
  <c r="M30" i="14"/>
  <c r="M31" i="14"/>
  <c r="M32" i="14"/>
  <c r="M33" i="14"/>
  <c r="M34" i="14"/>
  <c r="M35" i="14"/>
  <c r="M36" i="14"/>
  <c r="M37" i="14"/>
  <c r="M38" i="14"/>
  <c r="M39" i="14"/>
  <c r="M40" i="14"/>
  <c r="M41" i="14"/>
  <c r="M42" i="14"/>
  <c r="M43" i="14"/>
  <c r="M44" i="14"/>
  <c r="M45" i="14"/>
  <c r="M46" i="14"/>
  <c r="M47" i="14"/>
  <c r="M48" i="14"/>
  <c r="M49" i="14"/>
  <c r="M50" i="14"/>
  <c r="M51" i="14"/>
  <c r="M52" i="14"/>
  <c r="M53" i="14"/>
  <c r="M54" i="14"/>
  <c r="M55" i="14"/>
  <c r="M56" i="14"/>
  <c r="M57" i="14"/>
  <c r="M58" i="14"/>
  <c r="M59" i="14"/>
  <c r="M60" i="14"/>
  <c r="M61" i="14"/>
  <c r="M62" i="14"/>
  <c r="M63" i="14"/>
  <c r="M64" i="14"/>
  <c r="M65" i="14"/>
  <c r="M66" i="14"/>
  <c r="M67" i="14"/>
  <c r="M68" i="14"/>
  <c r="M69" i="14"/>
  <c r="M70" i="14"/>
  <c r="M71" i="14"/>
  <c r="M72" i="14"/>
  <c r="M73" i="14"/>
  <c r="M74" i="14"/>
  <c r="M75" i="14"/>
  <c r="M76" i="14"/>
  <c r="M77" i="14"/>
  <c r="M78" i="14"/>
  <c r="M79" i="14"/>
  <c r="M80" i="14"/>
  <c r="M81" i="14"/>
  <c r="M82" i="14"/>
  <c r="M83" i="14"/>
  <c r="M84" i="14"/>
  <c r="M85" i="14"/>
  <c r="M86" i="14"/>
  <c r="M87" i="14"/>
  <c r="M88" i="14"/>
  <c r="M89" i="14"/>
  <c r="M90" i="14"/>
  <c r="M91" i="14"/>
  <c r="M92" i="14"/>
  <c r="M93" i="14"/>
  <c r="M94" i="14"/>
  <c r="M95" i="14"/>
  <c r="M96" i="14"/>
  <c r="M97" i="14"/>
  <c r="M98" i="14"/>
  <c r="M99" i="14"/>
  <c r="M100" i="14"/>
  <c r="M101" i="14"/>
  <c r="M102" i="14"/>
  <c r="M103" i="14"/>
  <c r="M104" i="14"/>
  <c r="M105" i="14"/>
  <c r="M106" i="14"/>
  <c r="M107" i="14"/>
  <c r="M108" i="14"/>
  <c r="M109" i="14"/>
  <c r="M110" i="14"/>
  <c r="M111" i="14"/>
  <c r="M112" i="14"/>
  <c r="M113" i="14"/>
  <c r="M114" i="14"/>
  <c r="M115" i="14"/>
  <c r="M116" i="14"/>
  <c r="M117" i="14"/>
  <c r="M118" i="14"/>
  <c r="M119" i="14"/>
  <c r="M120" i="14"/>
  <c r="M121" i="14"/>
  <c r="M122" i="14"/>
  <c r="M123" i="14"/>
  <c r="M124" i="14"/>
  <c r="M125" i="14"/>
  <c r="M126" i="14"/>
  <c r="M127" i="14"/>
  <c r="M128" i="14"/>
  <c r="M129" i="14"/>
  <c r="M130" i="14"/>
  <c r="M131" i="14"/>
  <c r="M132" i="14"/>
  <c r="M133" i="14"/>
  <c r="M134" i="14"/>
  <c r="M135" i="14"/>
  <c r="M3" i="14"/>
  <c r="M4" i="11"/>
  <c r="M5" i="11"/>
  <c r="M6" i="11"/>
  <c r="M7" i="11"/>
  <c r="M8" i="11"/>
  <c r="M9" i="11"/>
  <c r="M10" i="11"/>
  <c r="M11" i="11"/>
  <c r="M12" i="11"/>
  <c r="M13" i="11"/>
  <c r="M14" i="11"/>
  <c r="M15" i="11"/>
  <c r="M16" i="11"/>
  <c r="M17" i="11"/>
  <c r="M18" i="11"/>
  <c r="M19" i="11"/>
  <c r="M20" i="11"/>
  <c r="M21" i="11"/>
  <c r="M22" i="11"/>
  <c r="M23" i="11"/>
  <c r="M24" i="11"/>
  <c r="M25" i="11"/>
  <c r="M26" i="11"/>
  <c r="M27" i="11"/>
  <c r="M28" i="11"/>
  <c r="M29" i="11"/>
  <c r="M30" i="11"/>
  <c r="M31" i="11"/>
  <c r="M32" i="11"/>
  <c r="M33" i="11"/>
  <c r="M34" i="11"/>
  <c r="M35" i="11"/>
  <c r="M36" i="11"/>
  <c r="M37" i="11"/>
  <c r="M38" i="11"/>
  <c r="M39" i="11"/>
  <c r="M40" i="11"/>
  <c r="M41" i="11"/>
  <c r="M42" i="11"/>
  <c r="M43" i="11"/>
  <c r="M44" i="11"/>
  <c r="M45" i="11"/>
  <c r="M46" i="11"/>
  <c r="M47" i="11"/>
  <c r="M48" i="11"/>
  <c r="M49" i="11"/>
  <c r="M50" i="11"/>
  <c r="M51" i="11"/>
  <c r="M52" i="11"/>
  <c r="M53" i="11"/>
  <c r="M54" i="11"/>
  <c r="M55" i="11"/>
  <c r="M56" i="11"/>
  <c r="M57" i="11"/>
  <c r="M58" i="11"/>
  <c r="M59" i="11"/>
  <c r="M60" i="11"/>
  <c r="M61" i="11"/>
  <c r="M62" i="11"/>
  <c r="M63" i="11"/>
  <c r="M64" i="11"/>
  <c r="M65" i="11"/>
  <c r="M66" i="11"/>
  <c r="M67" i="11"/>
  <c r="M68" i="11"/>
  <c r="M69" i="11"/>
  <c r="M70" i="11"/>
  <c r="M71" i="11"/>
  <c r="M72" i="11"/>
  <c r="M73" i="11"/>
  <c r="M74" i="11"/>
  <c r="M75" i="11"/>
  <c r="M76" i="11"/>
  <c r="M77" i="11"/>
  <c r="M78" i="11"/>
  <c r="M79" i="11"/>
  <c r="M80" i="11"/>
  <c r="M81" i="11"/>
  <c r="M82" i="11"/>
  <c r="M83" i="11"/>
  <c r="M84" i="11"/>
  <c r="M85" i="11"/>
  <c r="M86" i="11"/>
  <c r="M87" i="11"/>
  <c r="M88" i="11"/>
  <c r="M89" i="11"/>
  <c r="M90" i="11"/>
  <c r="M91" i="11"/>
  <c r="M92" i="11"/>
  <c r="M93" i="11"/>
  <c r="M94" i="11"/>
  <c r="M95" i="11"/>
  <c r="M96" i="11"/>
  <c r="M97" i="11"/>
  <c r="M98" i="11"/>
  <c r="M99" i="11"/>
  <c r="M100" i="11"/>
  <c r="M101" i="11"/>
  <c r="M102" i="11"/>
  <c r="M103" i="11"/>
  <c r="M104" i="11"/>
  <c r="M105" i="11"/>
  <c r="M106" i="11"/>
  <c r="M107" i="11"/>
  <c r="M108" i="11"/>
  <c r="M109" i="11"/>
  <c r="M110" i="11"/>
  <c r="M111" i="11"/>
  <c r="M112" i="11"/>
  <c r="M113" i="11"/>
  <c r="M114" i="11"/>
  <c r="M115" i="11"/>
  <c r="M116" i="11"/>
  <c r="M117" i="11"/>
  <c r="M118" i="11"/>
  <c r="M119" i="11"/>
  <c r="M120" i="11"/>
  <c r="M121" i="11"/>
  <c r="M122" i="11"/>
  <c r="M123" i="11"/>
  <c r="M124" i="11"/>
  <c r="M125" i="11"/>
  <c r="M126" i="11"/>
  <c r="M3" i="11"/>
  <c r="M4" i="12"/>
  <c r="M5" i="12"/>
  <c r="M6" i="12"/>
  <c r="M7" i="12"/>
  <c r="M8" i="12"/>
  <c r="M9" i="12"/>
  <c r="M10" i="12"/>
  <c r="M11" i="12"/>
  <c r="M12" i="12"/>
  <c r="M13" i="12"/>
  <c r="M14" i="12"/>
  <c r="M15" i="12"/>
  <c r="M16" i="12"/>
  <c r="M17" i="12"/>
  <c r="M18" i="12"/>
  <c r="M19" i="12"/>
  <c r="M20" i="12"/>
  <c r="M21" i="12"/>
  <c r="M22" i="12"/>
  <c r="M23" i="12"/>
  <c r="M24" i="12"/>
  <c r="M25" i="12"/>
  <c r="M26" i="12"/>
  <c r="M27" i="12"/>
  <c r="M28" i="12"/>
  <c r="M29" i="12"/>
  <c r="M30" i="12"/>
  <c r="M31" i="12"/>
  <c r="M32" i="12"/>
  <c r="M33" i="12"/>
  <c r="M34" i="12"/>
  <c r="M35" i="12"/>
  <c r="M36" i="12"/>
  <c r="M37" i="12"/>
  <c r="M38" i="12"/>
  <c r="M39" i="12"/>
  <c r="M40" i="12"/>
  <c r="M41" i="12"/>
  <c r="M42" i="12"/>
  <c r="M43" i="12"/>
  <c r="M44" i="12"/>
  <c r="M45" i="12"/>
  <c r="M46" i="12"/>
  <c r="M47" i="12"/>
  <c r="M48" i="12"/>
  <c r="M49" i="12"/>
  <c r="M50" i="12"/>
  <c r="M51" i="12"/>
  <c r="M52" i="12"/>
  <c r="M53" i="12"/>
  <c r="M54" i="12"/>
  <c r="M55" i="12"/>
  <c r="M56" i="12"/>
  <c r="M57" i="12"/>
  <c r="M58" i="12"/>
  <c r="M59" i="12"/>
  <c r="M60" i="12"/>
  <c r="M61" i="12"/>
  <c r="M62" i="12"/>
  <c r="M63" i="12"/>
  <c r="M64" i="12"/>
  <c r="M65" i="12"/>
  <c r="M66" i="12"/>
  <c r="M67" i="12"/>
  <c r="M68" i="12"/>
  <c r="M69" i="12"/>
  <c r="M70" i="12"/>
  <c r="M71" i="12"/>
  <c r="M72" i="12"/>
  <c r="M73" i="12"/>
  <c r="M74" i="12"/>
  <c r="M75" i="12"/>
  <c r="M76" i="12"/>
  <c r="M77" i="12"/>
  <c r="M78" i="12"/>
  <c r="M79" i="12"/>
  <c r="M80" i="12"/>
  <c r="M81" i="12"/>
  <c r="M82" i="12"/>
  <c r="M83" i="12"/>
  <c r="M84" i="12"/>
  <c r="M85" i="12"/>
  <c r="M86" i="12"/>
  <c r="M87" i="12"/>
  <c r="M88" i="12"/>
  <c r="M89" i="12"/>
  <c r="M90" i="12"/>
  <c r="M91" i="12"/>
  <c r="M92" i="12"/>
  <c r="M93" i="12"/>
  <c r="M94" i="12"/>
  <c r="M95" i="12"/>
  <c r="M96" i="12"/>
  <c r="M97" i="12"/>
  <c r="M98" i="12"/>
  <c r="M99" i="12"/>
  <c r="M100" i="12"/>
  <c r="M101" i="12"/>
  <c r="M102" i="12"/>
  <c r="M103" i="12"/>
  <c r="M104" i="12"/>
  <c r="M105" i="12"/>
  <c r="M106" i="12"/>
  <c r="M107" i="12"/>
  <c r="M108" i="12"/>
  <c r="M109" i="12"/>
  <c r="M110" i="12"/>
  <c r="M111" i="12"/>
  <c r="M112" i="12"/>
  <c r="M113" i="12"/>
  <c r="M114" i="12"/>
  <c r="M115" i="12"/>
  <c r="M116" i="12"/>
  <c r="M117" i="12"/>
  <c r="M118" i="12"/>
  <c r="M119" i="12"/>
  <c r="M120" i="12"/>
  <c r="M121" i="12"/>
  <c r="M122" i="12"/>
  <c r="M123" i="12"/>
  <c r="M124" i="12"/>
  <c r="M3" i="12"/>
  <c r="M4" i="10"/>
  <c r="M5" i="10"/>
  <c r="M6" i="10"/>
  <c r="M7" i="10"/>
  <c r="M8" i="10"/>
  <c r="M9" i="10"/>
  <c r="M10" i="10"/>
  <c r="M11" i="10"/>
  <c r="M12" i="10"/>
  <c r="M13" i="10"/>
  <c r="M14" i="10"/>
  <c r="M15" i="10"/>
  <c r="M16" i="10"/>
  <c r="M17" i="10"/>
  <c r="M18" i="10"/>
  <c r="M19" i="10"/>
  <c r="M20" i="10"/>
  <c r="M21" i="10"/>
  <c r="M22" i="10"/>
  <c r="M23" i="10"/>
  <c r="M24" i="10"/>
  <c r="M25" i="10"/>
  <c r="M26" i="10"/>
  <c r="M27" i="10"/>
  <c r="M28" i="10"/>
  <c r="M29" i="10"/>
  <c r="M30" i="10"/>
  <c r="M31" i="10"/>
  <c r="M32" i="10"/>
  <c r="M33" i="10"/>
  <c r="M34" i="10"/>
  <c r="M35" i="10"/>
  <c r="M36" i="10"/>
  <c r="M37" i="10"/>
  <c r="M38" i="10"/>
  <c r="M39" i="10"/>
  <c r="M40" i="10"/>
  <c r="M41" i="10"/>
  <c r="M42" i="10"/>
  <c r="M43" i="10"/>
  <c r="M44" i="10"/>
  <c r="M45" i="10"/>
  <c r="M46" i="10"/>
  <c r="M47" i="10"/>
  <c r="M48" i="10"/>
  <c r="M49" i="10"/>
  <c r="M50" i="10"/>
  <c r="M51" i="10"/>
  <c r="M52" i="10"/>
  <c r="M53" i="10"/>
  <c r="M54" i="10"/>
  <c r="M55" i="10"/>
  <c r="M56" i="10"/>
  <c r="M57" i="10"/>
  <c r="M58" i="10"/>
  <c r="M59" i="10"/>
  <c r="M60" i="10"/>
  <c r="M61" i="10"/>
  <c r="M62" i="10"/>
  <c r="M63" i="10"/>
  <c r="M64" i="10"/>
  <c r="M65" i="10"/>
  <c r="M66" i="10"/>
  <c r="M67" i="10"/>
  <c r="M68" i="10"/>
  <c r="M69" i="10"/>
  <c r="M70" i="10"/>
  <c r="M71" i="10"/>
  <c r="M72" i="10"/>
  <c r="M73" i="10"/>
  <c r="M74" i="10"/>
  <c r="M75" i="10"/>
  <c r="M76" i="10"/>
  <c r="M77" i="10"/>
  <c r="M78" i="10"/>
  <c r="M79" i="10"/>
  <c r="M80" i="10"/>
  <c r="M81" i="10"/>
  <c r="M82" i="10"/>
  <c r="M83" i="10"/>
  <c r="M84" i="10"/>
  <c r="M85" i="10"/>
  <c r="M86" i="10"/>
  <c r="M87" i="10"/>
  <c r="M88" i="10"/>
  <c r="M89" i="10"/>
  <c r="M90" i="10"/>
  <c r="M91" i="10"/>
  <c r="M92" i="10"/>
  <c r="M93" i="10"/>
  <c r="M94" i="10"/>
  <c r="M95" i="10"/>
  <c r="M96" i="10"/>
  <c r="M97" i="10"/>
  <c r="M98" i="10"/>
  <c r="M99" i="10"/>
  <c r="M100" i="10"/>
  <c r="M101" i="10"/>
  <c r="M102" i="10"/>
  <c r="M103" i="10"/>
  <c r="M3" i="10"/>
  <c r="M27" i="9"/>
  <c r="M28" i="9"/>
  <c r="M29" i="9"/>
  <c r="M30" i="9"/>
  <c r="M31" i="9"/>
  <c r="M32" i="9"/>
  <c r="M33" i="9"/>
  <c r="M34" i="9"/>
  <c r="M35" i="9"/>
  <c r="M36" i="9"/>
  <c r="M37" i="9"/>
  <c r="M38" i="9"/>
  <c r="M39" i="9"/>
  <c r="M40" i="9"/>
  <c r="M41" i="9"/>
  <c r="M42" i="9"/>
  <c r="M43" i="9"/>
  <c r="M44" i="9"/>
  <c r="M45" i="9"/>
  <c r="M46" i="9"/>
  <c r="M47" i="9"/>
  <c r="M48" i="9"/>
  <c r="M49" i="9"/>
  <c r="M50" i="9"/>
  <c r="M51" i="9"/>
  <c r="M52" i="9"/>
  <c r="M53" i="9"/>
  <c r="M54" i="9"/>
  <c r="M55" i="9"/>
  <c r="M56" i="9"/>
  <c r="M57" i="9"/>
  <c r="M58" i="9"/>
  <c r="M59" i="9"/>
  <c r="M60" i="9"/>
  <c r="M61" i="9"/>
  <c r="M62" i="9"/>
  <c r="M63" i="9"/>
  <c r="M64" i="9"/>
  <c r="M65" i="9"/>
  <c r="M66" i="9"/>
  <c r="M67" i="9"/>
  <c r="M68" i="9"/>
  <c r="M69" i="9"/>
  <c r="M70" i="9"/>
  <c r="M71" i="9"/>
  <c r="M72" i="9"/>
  <c r="M73" i="9"/>
  <c r="M74" i="9"/>
  <c r="M75" i="9"/>
  <c r="M76" i="9"/>
  <c r="M77" i="9"/>
  <c r="M78" i="9"/>
  <c r="M79" i="9"/>
  <c r="M80" i="9"/>
  <c r="M81" i="9"/>
  <c r="M82" i="9"/>
  <c r="M83" i="9"/>
  <c r="M84" i="9"/>
  <c r="M85" i="9"/>
  <c r="M86" i="9"/>
  <c r="M87" i="9"/>
  <c r="M88" i="9"/>
  <c r="M89" i="9"/>
  <c r="M90" i="9"/>
  <c r="M91" i="9"/>
  <c r="M92" i="9"/>
  <c r="M93" i="9"/>
  <c r="M94" i="9"/>
  <c r="M95" i="9"/>
  <c r="M96" i="9"/>
  <c r="M97" i="9"/>
  <c r="M98" i="9"/>
  <c r="M99" i="9"/>
  <c r="M100" i="9"/>
  <c r="M101" i="9"/>
  <c r="M102" i="9"/>
  <c r="M103" i="9"/>
  <c r="M104" i="9"/>
  <c r="M105" i="9"/>
  <c r="M106" i="9"/>
  <c r="M107" i="9"/>
  <c r="M108" i="9"/>
  <c r="M109" i="9"/>
  <c r="M110" i="9"/>
  <c r="M111" i="9"/>
  <c r="M112" i="9"/>
  <c r="M113" i="9"/>
  <c r="M114" i="9"/>
  <c r="M115" i="9"/>
  <c r="M116" i="9"/>
  <c r="M117" i="9"/>
  <c r="M118" i="9"/>
  <c r="M119" i="9"/>
  <c r="M120" i="9"/>
  <c r="M121" i="9"/>
  <c r="M122" i="9"/>
  <c r="M123" i="9"/>
  <c r="M124" i="9"/>
  <c r="M125" i="9"/>
  <c r="M126" i="9"/>
  <c r="M127" i="9"/>
  <c r="M128" i="9"/>
  <c r="M129" i="9"/>
  <c r="M130" i="9"/>
  <c r="M131" i="9"/>
  <c r="M132" i="9"/>
  <c r="M133" i="9"/>
  <c r="M134" i="9"/>
  <c r="M135" i="9"/>
  <c r="M136" i="9"/>
  <c r="M137" i="9"/>
  <c r="M138" i="9"/>
  <c r="M4" i="9"/>
  <c r="M5" i="9"/>
  <c r="M6" i="9"/>
  <c r="M7" i="9"/>
  <c r="M8" i="9"/>
  <c r="M9" i="9"/>
  <c r="M10" i="9"/>
  <c r="M11" i="9"/>
  <c r="M12" i="9"/>
  <c r="M13" i="9"/>
  <c r="M14" i="9"/>
  <c r="M15" i="9"/>
  <c r="M16" i="9"/>
  <c r="M17" i="9"/>
  <c r="M18" i="9"/>
  <c r="M19" i="9"/>
  <c r="M20" i="9"/>
  <c r="M21" i="9"/>
  <c r="M22" i="9"/>
  <c r="M23" i="9"/>
  <c r="M24" i="9"/>
  <c r="M25" i="9"/>
  <c r="M26" i="9"/>
  <c r="M3" i="9"/>
  <c r="M4" i="7"/>
  <c r="M5" i="7"/>
  <c r="M6" i="7"/>
  <c r="M7" i="7"/>
  <c r="M8" i="7"/>
  <c r="M9" i="7"/>
  <c r="M10" i="7"/>
  <c r="M11" i="7"/>
  <c r="M12" i="7"/>
  <c r="M13" i="7"/>
  <c r="M14" i="7"/>
  <c r="M15" i="7"/>
  <c r="M16" i="7"/>
  <c r="M17" i="7"/>
  <c r="M18" i="7"/>
  <c r="M19" i="7"/>
  <c r="M20" i="7"/>
  <c r="M21" i="7"/>
  <c r="M22" i="7"/>
  <c r="M23" i="7"/>
  <c r="M24" i="7"/>
  <c r="M25" i="7"/>
  <c r="M26" i="7"/>
  <c r="M27" i="7"/>
  <c r="M28" i="7"/>
  <c r="M29" i="7"/>
  <c r="M30" i="7"/>
  <c r="M31" i="7"/>
  <c r="M32" i="7"/>
  <c r="M33" i="7"/>
  <c r="M34" i="7"/>
  <c r="M35" i="7"/>
  <c r="M36" i="7"/>
  <c r="M37" i="7"/>
  <c r="M38" i="7"/>
  <c r="M39" i="7"/>
  <c r="M40" i="7"/>
  <c r="M41" i="7"/>
  <c r="M42" i="7"/>
  <c r="M43" i="7"/>
  <c r="M44" i="7"/>
  <c r="M45" i="7"/>
  <c r="M46" i="7"/>
  <c r="M47" i="7"/>
  <c r="M48" i="7"/>
  <c r="M49" i="7"/>
  <c r="M50" i="7"/>
  <c r="M51" i="7"/>
  <c r="M52" i="7"/>
  <c r="M53" i="7"/>
  <c r="M54" i="7"/>
  <c r="M55" i="7"/>
  <c r="M56" i="7"/>
  <c r="M57" i="7"/>
  <c r="M58" i="7"/>
  <c r="M59" i="7"/>
  <c r="M60" i="7"/>
  <c r="M61" i="7"/>
  <c r="M62" i="7"/>
  <c r="M63" i="7"/>
  <c r="M64" i="7"/>
  <c r="M65" i="7"/>
  <c r="M66" i="7"/>
  <c r="M67" i="7"/>
  <c r="M68" i="7"/>
  <c r="M69" i="7"/>
  <c r="M70" i="7"/>
  <c r="M71" i="7"/>
  <c r="M72" i="7"/>
  <c r="M73" i="7"/>
  <c r="M74" i="7"/>
  <c r="M75" i="7"/>
  <c r="M76" i="7"/>
  <c r="M77" i="7"/>
  <c r="M78" i="7"/>
  <c r="M79" i="7"/>
  <c r="M80" i="7"/>
  <c r="M81" i="7"/>
  <c r="M82" i="7"/>
  <c r="M83" i="7"/>
  <c r="M84" i="7"/>
  <c r="M85" i="7"/>
  <c r="M86" i="7"/>
  <c r="M87" i="7"/>
  <c r="M88" i="7"/>
  <c r="M89" i="7"/>
  <c r="M90" i="7"/>
  <c r="M91" i="7"/>
  <c r="M92" i="7"/>
  <c r="M93" i="7"/>
  <c r="M94" i="7"/>
  <c r="M95" i="7"/>
  <c r="M96" i="7"/>
  <c r="M97" i="7"/>
  <c r="M98" i="7"/>
  <c r="M99" i="7"/>
  <c r="M100" i="7"/>
  <c r="M101" i="7"/>
  <c r="M102" i="7"/>
  <c r="M103" i="7"/>
  <c r="M104" i="7"/>
  <c r="M105" i="7"/>
  <c r="M106" i="7"/>
  <c r="M107" i="7"/>
  <c r="M108" i="7"/>
  <c r="M109" i="7"/>
  <c r="M110" i="7"/>
  <c r="M111" i="7"/>
  <c r="M112" i="7"/>
  <c r="M113" i="7"/>
  <c r="M114" i="7"/>
  <c r="M115" i="7"/>
  <c r="M116" i="7"/>
  <c r="M117" i="7"/>
  <c r="M118" i="7"/>
  <c r="M119" i="7"/>
  <c r="M120" i="7"/>
  <c r="M121" i="7"/>
  <c r="M122" i="7"/>
  <c r="M123" i="7"/>
  <c r="M124" i="7"/>
  <c r="M125" i="7"/>
  <c r="M126" i="7"/>
  <c r="M127" i="7"/>
  <c r="M128" i="7"/>
  <c r="M129" i="7"/>
  <c r="M130" i="7"/>
  <c r="M131" i="7"/>
  <c r="M132" i="7"/>
  <c r="M133" i="7"/>
  <c r="M134" i="7"/>
  <c r="M135" i="7"/>
  <c r="M136" i="7"/>
  <c r="M137" i="7"/>
  <c r="M138" i="7"/>
  <c r="M139" i="7"/>
  <c r="M140" i="7"/>
  <c r="M3" i="7"/>
  <c r="M51" i="8"/>
  <c r="M52" i="8"/>
  <c r="M53" i="8"/>
  <c r="M54" i="8"/>
  <c r="M55" i="8"/>
  <c r="M56" i="8"/>
  <c r="M57" i="8"/>
  <c r="M58" i="8"/>
  <c r="M59" i="8"/>
  <c r="M60" i="8"/>
  <c r="M61" i="8"/>
  <c r="M62" i="8"/>
  <c r="M63" i="8"/>
  <c r="M64" i="8"/>
  <c r="M65" i="8"/>
  <c r="M66" i="8"/>
  <c r="M67" i="8"/>
  <c r="M68" i="8"/>
  <c r="M69" i="8"/>
  <c r="M70" i="8"/>
  <c r="M71" i="8"/>
  <c r="M72" i="8"/>
  <c r="M73" i="8"/>
  <c r="M74" i="8"/>
  <c r="M75" i="8"/>
  <c r="M76" i="8"/>
  <c r="M77" i="8"/>
  <c r="M78" i="8"/>
  <c r="M79" i="8"/>
  <c r="M80" i="8"/>
  <c r="M81" i="8"/>
  <c r="M82" i="8"/>
  <c r="M83" i="8"/>
  <c r="M84" i="8"/>
  <c r="M85" i="8"/>
  <c r="M86" i="8"/>
  <c r="M87" i="8"/>
  <c r="M88" i="8"/>
  <c r="M89" i="8"/>
  <c r="M90" i="8"/>
  <c r="M91" i="8"/>
  <c r="M92" i="8"/>
  <c r="M93" i="8"/>
  <c r="M94" i="8"/>
  <c r="M95" i="8"/>
  <c r="M96" i="8"/>
  <c r="M97" i="8"/>
  <c r="M98" i="8"/>
  <c r="M99" i="8"/>
  <c r="M100" i="8"/>
  <c r="M101" i="8"/>
  <c r="M102" i="8"/>
  <c r="M103" i="8"/>
  <c r="M104" i="8"/>
  <c r="M105" i="8"/>
  <c r="M106" i="8"/>
  <c r="M107" i="8"/>
  <c r="M108" i="8"/>
  <c r="M109" i="8"/>
  <c r="M110" i="8"/>
  <c r="M111" i="8"/>
  <c r="M112" i="8"/>
  <c r="M113" i="8"/>
  <c r="M114" i="8"/>
  <c r="M115" i="8"/>
  <c r="M116" i="8"/>
  <c r="M117" i="8"/>
  <c r="M118" i="8"/>
  <c r="M119" i="8"/>
  <c r="M120" i="8"/>
  <c r="M121" i="8"/>
  <c r="M122" i="8"/>
  <c r="M4" i="8"/>
  <c r="M5" i="8"/>
  <c r="M6" i="8"/>
  <c r="M7" i="8"/>
  <c r="M8" i="8"/>
  <c r="M9" i="8"/>
  <c r="M10" i="8"/>
  <c r="M11" i="8"/>
  <c r="M12" i="8"/>
  <c r="M13" i="8"/>
  <c r="M14" i="8"/>
  <c r="M15" i="8"/>
  <c r="M16" i="8"/>
  <c r="M17" i="8"/>
  <c r="M18" i="8"/>
  <c r="M19" i="8"/>
  <c r="M20" i="8"/>
  <c r="M21" i="8"/>
  <c r="M22" i="8"/>
  <c r="M23" i="8"/>
  <c r="M24" i="8"/>
  <c r="M25" i="8"/>
  <c r="M26" i="8"/>
  <c r="M27" i="8"/>
  <c r="M28" i="8"/>
  <c r="M29" i="8"/>
  <c r="M30" i="8"/>
  <c r="M31" i="8"/>
  <c r="M32" i="8"/>
  <c r="M33" i="8"/>
  <c r="M34" i="8"/>
  <c r="M35" i="8"/>
  <c r="M36" i="8"/>
  <c r="M37" i="8"/>
  <c r="M38" i="8"/>
  <c r="M39" i="8"/>
  <c r="M40" i="8"/>
  <c r="M41" i="8"/>
  <c r="M42" i="8"/>
  <c r="M43" i="8"/>
  <c r="M44" i="8"/>
  <c r="M45" i="8"/>
  <c r="M46" i="8"/>
  <c r="M47" i="8"/>
  <c r="M48" i="8"/>
  <c r="M49" i="8"/>
  <c r="M50" i="8"/>
  <c r="M3" i="8"/>
  <c r="L135" i="14"/>
  <c r="L134" i="14"/>
  <c r="L133" i="14"/>
  <c r="L132" i="14"/>
  <c r="L131" i="14"/>
  <c r="L130" i="14"/>
  <c r="L129" i="14"/>
  <c r="L128" i="14"/>
  <c r="L127" i="14"/>
  <c r="L126" i="14"/>
  <c r="L125" i="14"/>
  <c r="L124" i="14"/>
  <c r="L123" i="14"/>
  <c r="L122" i="14"/>
  <c r="L121" i="14"/>
  <c r="L120" i="14"/>
  <c r="L119" i="14"/>
  <c r="L118" i="14"/>
  <c r="L117" i="14"/>
  <c r="L116" i="14"/>
  <c r="L115" i="14"/>
  <c r="L114" i="14"/>
  <c r="L113" i="14"/>
  <c r="L112" i="14"/>
  <c r="L111" i="14"/>
  <c r="L110" i="14"/>
  <c r="L109" i="14"/>
  <c r="L108" i="14"/>
  <c r="L107" i="14"/>
  <c r="L106" i="14"/>
  <c r="L105" i="14"/>
  <c r="L104" i="14"/>
  <c r="L103" i="14"/>
  <c r="L102" i="14"/>
  <c r="L101" i="14"/>
  <c r="L100" i="14"/>
  <c r="L99" i="14"/>
  <c r="L98" i="14"/>
  <c r="L97" i="14"/>
  <c r="L96" i="14"/>
  <c r="L95" i="14"/>
  <c r="L94" i="14"/>
  <c r="L93" i="14"/>
  <c r="L92" i="14"/>
  <c r="L91" i="14"/>
  <c r="L90" i="14"/>
  <c r="L89" i="14"/>
  <c r="L88" i="14"/>
  <c r="L87" i="14"/>
  <c r="L86" i="14"/>
  <c r="L85" i="14"/>
  <c r="L84" i="14"/>
  <c r="L83" i="14"/>
  <c r="L82" i="14"/>
  <c r="L81" i="14"/>
  <c r="L80" i="14"/>
  <c r="L79" i="14"/>
  <c r="L78" i="14"/>
  <c r="L77" i="14"/>
  <c r="L76" i="14"/>
  <c r="L75" i="14"/>
  <c r="L74" i="14"/>
  <c r="L73" i="14"/>
  <c r="L72" i="14"/>
  <c r="L71" i="14"/>
  <c r="L70" i="14"/>
  <c r="L69" i="14"/>
  <c r="L68" i="14"/>
  <c r="L67" i="14"/>
  <c r="L66" i="14"/>
  <c r="L65" i="14"/>
  <c r="L64" i="14"/>
  <c r="L63" i="14"/>
  <c r="L62" i="14"/>
  <c r="L61" i="14"/>
  <c r="L60" i="14"/>
  <c r="L59" i="14"/>
  <c r="L58" i="14"/>
  <c r="L57" i="14"/>
  <c r="L56" i="14"/>
  <c r="L55" i="14"/>
  <c r="L54" i="14"/>
  <c r="L53" i="14"/>
  <c r="L52" i="14"/>
  <c r="L51" i="14"/>
  <c r="L50" i="14"/>
  <c r="L49" i="14"/>
  <c r="L48" i="14"/>
  <c r="L47" i="14"/>
  <c r="L46" i="14"/>
  <c r="L45" i="14"/>
  <c r="L44" i="14"/>
  <c r="L43" i="14"/>
  <c r="L42" i="14"/>
  <c r="L41" i="14"/>
  <c r="L40" i="14"/>
  <c r="L39" i="14"/>
  <c r="L38" i="14"/>
  <c r="L37" i="14"/>
  <c r="L36" i="14"/>
  <c r="L35" i="14"/>
  <c r="L34" i="14"/>
  <c r="L33" i="14"/>
  <c r="L32" i="14"/>
  <c r="L31" i="14"/>
  <c r="L30" i="14"/>
  <c r="L29" i="14"/>
  <c r="L28" i="14"/>
  <c r="L27" i="14"/>
  <c r="L26" i="14"/>
  <c r="L25" i="14"/>
  <c r="L24" i="14"/>
  <c r="L23" i="14"/>
  <c r="L22" i="14"/>
  <c r="L21" i="14"/>
  <c r="L20" i="14"/>
  <c r="L19" i="14"/>
  <c r="L18" i="14"/>
  <c r="L17" i="14"/>
  <c r="L16" i="14"/>
  <c r="L15" i="14"/>
  <c r="L14" i="14"/>
  <c r="L13" i="14"/>
  <c r="L12" i="14"/>
  <c r="L11" i="14"/>
  <c r="L10" i="14"/>
  <c r="L9" i="14"/>
  <c r="L8" i="14"/>
  <c r="L7" i="14"/>
  <c r="L6" i="14"/>
  <c r="L5" i="14"/>
  <c r="L4" i="14"/>
  <c r="L3" i="14"/>
  <c r="L127" i="13"/>
  <c r="L126" i="13"/>
  <c r="L125" i="13"/>
  <c r="L124" i="13"/>
  <c r="L123" i="13"/>
  <c r="L122" i="13"/>
  <c r="L121" i="13"/>
  <c r="L120" i="13"/>
  <c r="L119" i="13"/>
  <c r="L118" i="13"/>
  <c r="L117" i="13"/>
  <c r="L116" i="13"/>
  <c r="L115" i="13"/>
  <c r="L114" i="13"/>
  <c r="L113" i="13"/>
  <c r="L112" i="13"/>
  <c r="L111" i="13"/>
  <c r="L110" i="13"/>
  <c r="L109" i="13"/>
  <c r="L108" i="13"/>
  <c r="L107" i="13"/>
  <c r="L106" i="13"/>
  <c r="L105" i="13"/>
  <c r="L104" i="13"/>
  <c r="L103" i="13"/>
  <c r="L102" i="13"/>
  <c r="L101" i="13"/>
  <c r="L100" i="13"/>
  <c r="L99" i="13"/>
  <c r="L98" i="13"/>
  <c r="L97" i="13"/>
  <c r="L96" i="13"/>
  <c r="L95" i="13"/>
  <c r="L94" i="13"/>
  <c r="L93" i="13"/>
  <c r="L92" i="13"/>
  <c r="L91" i="13"/>
  <c r="L90" i="13"/>
  <c r="L89" i="13"/>
  <c r="L88" i="13"/>
  <c r="L87" i="13"/>
  <c r="L86" i="13"/>
  <c r="L85" i="13"/>
  <c r="L84" i="13"/>
  <c r="L83" i="13"/>
  <c r="L82" i="13"/>
  <c r="L81" i="13"/>
  <c r="L80" i="13"/>
  <c r="L79" i="13"/>
  <c r="L78" i="13"/>
  <c r="L77" i="13"/>
  <c r="L76" i="13"/>
  <c r="L75" i="13"/>
  <c r="L74" i="13"/>
  <c r="L73" i="13"/>
  <c r="L72" i="13"/>
  <c r="L71" i="13"/>
  <c r="L70" i="13"/>
  <c r="L69" i="13"/>
  <c r="L68" i="13"/>
  <c r="L67" i="13"/>
  <c r="L66" i="13"/>
  <c r="L65" i="13"/>
  <c r="L64" i="13"/>
  <c r="L63" i="13"/>
  <c r="L62" i="13"/>
  <c r="L61" i="13"/>
  <c r="L60" i="13"/>
  <c r="L59" i="13"/>
  <c r="L58" i="13"/>
  <c r="L57" i="13"/>
  <c r="L56" i="13"/>
  <c r="L55" i="13"/>
  <c r="L54" i="13"/>
  <c r="L53" i="13"/>
  <c r="L52" i="13"/>
  <c r="L51" i="13"/>
  <c r="L50" i="13"/>
  <c r="L49" i="13"/>
  <c r="L48" i="13"/>
  <c r="L47" i="13"/>
  <c r="L46" i="13"/>
  <c r="L45" i="13"/>
  <c r="L44" i="13"/>
  <c r="L43" i="13"/>
  <c r="L42" i="13"/>
  <c r="L41" i="13"/>
  <c r="L40" i="13"/>
  <c r="L39" i="13"/>
  <c r="L38" i="13"/>
  <c r="L37" i="13"/>
  <c r="L36" i="13"/>
  <c r="L35" i="13"/>
  <c r="L34" i="13"/>
  <c r="L33" i="13"/>
  <c r="L32" i="13"/>
  <c r="L31" i="13"/>
  <c r="L30" i="13"/>
  <c r="L29" i="13"/>
  <c r="L28" i="13"/>
  <c r="L27" i="13"/>
  <c r="L26" i="13"/>
  <c r="L25" i="13"/>
  <c r="L24" i="13"/>
  <c r="L23" i="13"/>
  <c r="L22" i="13"/>
  <c r="L21" i="13"/>
  <c r="L20" i="13"/>
  <c r="L19" i="13"/>
  <c r="L18" i="13"/>
  <c r="L17" i="13"/>
  <c r="L16" i="13"/>
  <c r="L15" i="13"/>
  <c r="L14" i="13"/>
  <c r="L13" i="13"/>
  <c r="L12" i="13"/>
  <c r="L11" i="13"/>
  <c r="L10" i="13"/>
  <c r="L9" i="13"/>
  <c r="L8" i="13"/>
  <c r="L7" i="13"/>
  <c r="L6" i="13"/>
  <c r="L5" i="13"/>
  <c r="L4" i="13"/>
  <c r="L3" i="13"/>
  <c r="L124" i="12"/>
  <c r="L123" i="12"/>
  <c r="L122" i="12"/>
  <c r="L121" i="12"/>
  <c r="L120" i="12"/>
  <c r="L119" i="12"/>
  <c r="L118" i="12"/>
  <c r="L117" i="12"/>
  <c r="L116" i="12"/>
  <c r="L115" i="12"/>
  <c r="L114" i="12"/>
  <c r="L113" i="12"/>
  <c r="L112" i="12"/>
  <c r="L111" i="12"/>
  <c r="L110" i="12"/>
  <c r="L109" i="12"/>
  <c r="L108" i="12"/>
  <c r="L107" i="12"/>
  <c r="L106" i="12"/>
  <c r="L105" i="12"/>
  <c r="L104" i="12"/>
  <c r="L103" i="12"/>
  <c r="L102" i="12"/>
  <c r="L101" i="12"/>
  <c r="L100" i="12"/>
  <c r="L99" i="12"/>
  <c r="L98" i="12"/>
  <c r="L97" i="12"/>
  <c r="L96" i="12"/>
  <c r="L95" i="12"/>
  <c r="L94" i="12"/>
  <c r="L93" i="12"/>
  <c r="L92" i="12"/>
  <c r="L91" i="12"/>
  <c r="L90" i="12"/>
  <c r="L89" i="12"/>
  <c r="L88" i="12"/>
  <c r="L87" i="12"/>
  <c r="L86" i="12"/>
  <c r="L85" i="12"/>
  <c r="L84" i="12"/>
  <c r="L83" i="12"/>
  <c r="L82" i="12"/>
  <c r="L81" i="12"/>
  <c r="L80" i="12"/>
  <c r="L79" i="12"/>
  <c r="L78" i="12"/>
  <c r="L77" i="12"/>
  <c r="L76" i="12"/>
  <c r="L75" i="12"/>
  <c r="L74" i="12"/>
  <c r="L73" i="12"/>
  <c r="L72" i="12"/>
  <c r="L71" i="12"/>
  <c r="L70" i="12"/>
  <c r="L69" i="12"/>
  <c r="L68" i="12"/>
  <c r="L67" i="12"/>
  <c r="L66" i="12"/>
  <c r="L65" i="12"/>
  <c r="L64" i="12"/>
  <c r="L63" i="12"/>
  <c r="L62" i="12"/>
  <c r="L61" i="12"/>
  <c r="L60" i="12"/>
  <c r="L59" i="12"/>
  <c r="L58" i="12"/>
  <c r="L57" i="12"/>
  <c r="L56" i="12"/>
  <c r="L55" i="12"/>
  <c r="L54" i="12"/>
  <c r="L53" i="12"/>
  <c r="L52" i="12"/>
  <c r="L51" i="12"/>
  <c r="L50" i="12"/>
  <c r="L49" i="12"/>
  <c r="L48" i="12"/>
  <c r="L47" i="12"/>
  <c r="L46" i="12"/>
  <c r="L45" i="12"/>
  <c r="L44" i="12"/>
  <c r="L43" i="12"/>
  <c r="L42" i="12"/>
  <c r="L41" i="12"/>
  <c r="L40" i="12"/>
  <c r="L39" i="12"/>
  <c r="L38" i="12"/>
  <c r="L37" i="12"/>
  <c r="L36" i="12"/>
  <c r="L35" i="12"/>
  <c r="L34" i="12"/>
  <c r="L33" i="12"/>
  <c r="L32" i="12"/>
  <c r="L31" i="12"/>
  <c r="L30" i="12"/>
  <c r="L29" i="12"/>
  <c r="L28" i="12"/>
  <c r="L27" i="12"/>
  <c r="L26" i="12"/>
  <c r="L25" i="12"/>
  <c r="L24" i="12"/>
  <c r="L23" i="12"/>
  <c r="L22" i="12"/>
  <c r="L21" i="12"/>
  <c r="L20" i="12"/>
  <c r="L19" i="12"/>
  <c r="L18" i="12"/>
  <c r="L17" i="12"/>
  <c r="L16" i="12"/>
  <c r="L15" i="12"/>
  <c r="L14" i="12"/>
  <c r="L13" i="12"/>
  <c r="L12" i="12"/>
  <c r="L11" i="12"/>
  <c r="L10" i="12"/>
  <c r="L9" i="12"/>
  <c r="L8" i="12"/>
  <c r="L7" i="12"/>
  <c r="L6" i="12"/>
  <c r="L5" i="12"/>
  <c r="L4" i="12"/>
  <c r="L3" i="12"/>
  <c r="L126" i="11"/>
  <c r="L125" i="11"/>
  <c r="L124" i="11"/>
  <c r="L123" i="11"/>
  <c r="L122" i="11"/>
  <c r="L121" i="11"/>
  <c r="L120" i="11"/>
  <c r="L119" i="11"/>
  <c r="L118" i="11"/>
  <c r="L117" i="11"/>
  <c r="L116" i="11"/>
  <c r="L115" i="11"/>
  <c r="L114" i="11"/>
  <c r="L113" i="11"/>
  <c r="L112" i="11"/>
  <c r="L111" i="11"/>
  <c r="L110" i="11"/>
  <c r="L109" i="11"/>
  <c r="L108" i="11"/>
  <c r="L107" i="11"/>
  <c r="L106" i="11"/>
  <c r="L105" i="11"/>
  <c r="L104" i="11"/>
  <c r="L103" i="11"/>
  <c r="L102" i="11"/>
  <c r="L101" i="11"/>
  <c r="L100" i="11"/>
  <c r="L99" i="11"/>
  <c r="L98" i="11"/>
  <c r="L97" i="11"/>
  <c r="L96" i="11"/>
  <c r="L95" i="11"/>
  <c r="L94" i="11"/>
  <c r="L93" i="11"/>
  <c r="L92" i="11"/>
  <c r="L91" i="11"/>
  <c r="L90" i="11"/>
  <c r="L89" i="11"/>
  <c r="L88" i="11"/>
  <c r="L87" i="11"/>
  <c r="L86" i="11"/>
  <c r="L85" i="11"/>
  <c r="L84" i="11"/>
  <c r="L83" i="11"/>
  <c r="L82" i="11"/>
  <c r="L81" i="11"/>
  <c r="L80" i="11"/>
  <c r="L79" i="11"/>
  <c r="L78" i="11"/>
  <c r="L77" i="11"/>
  <c r="L76" i="11"/>
  <c r="L75" i="11"/>
  <c r="L74" i="11"/>
  <c r="L73" i="11"/>
  <c r="L72" i="11"/>
  <c r="L71" i="11"/>
  <c r="L70" i="11"/>
  <c r="L69" i="11"/>
  <c r="L68" i="11"/>
  <c r="L67" i="11"/>
  <c r="L66" i="11"/>
  <c r="L65" i="11"/>
  <c r="L64" i="11"/>
  <c r="L63" i="11"/>
  <c r="L62" i="11"/>
  <c r="L61" i="11"/>
  <c r="L60" i="11"/>
  <c r="L59" i="11"/>
  <c r="L58" i="11"/>
  <c r="L57" i="11"/>
  <c r="L56" i="11"/>
  <c r="L55" i="11"/>
  <c r="L54" i="11"/>
  <c r="L53" i="11"/>
  <c r="L52" i="11"/>
  <c r="L51" i="11"/>
  <c r="L50" i="11"/>
  <c r="L49" i="11"/>
  <c r="L48" i="11"/>
  <c r="L47" i="11"/>
  <c r="L46" i="11"/>
  <c r="L45" i="11"/>
  <c r="L44" i="11"/>
  <c r="L43" i="11"/>
  <c r="L42" i="11"/>
  <c r="L41" i="11"/>
  <c r="L40" i="11"/>
  <c r="L39" i="11"/>
  <c r="L38" i="11"/>
  <c r="L37" i="11"/>
  <c r="L36" i="11"/>
  <c r="L35" i="11"/>
  <c r="L34" i="11"/>
  <c r="L33" i="11"/>
  <c r="L32" i="11"/>
  <c r="L31" i="11"/>
  <c r="L30" i="11"/>
  <c r="L29" i="11"/>
  <c r="L28" i="11"/>
  <c r="L27" i="11"/>
  <c r="L26" i="11"/>
  <c r="L25" i="11"/>
  <c r="L24" i="11"/>
  <c r="L23" i="11"/>
  <c r="L22" i="11"/>
  <c r="L21" i="11"/>
  <c r="L20" i="11"/>
  <c r="L19" i="11"/>
  <c r="L18" i="11"/>
  <c r="L17" i="11"/>
  <c r="L16" i="11"/>
  <c r="L15" i="11"/>
  <c r="L14" i="11"/>
  <c r="L13" i="11"/>
  <c r="L12" i="11"/>
  <c r="L11" i="11"/>
  <c r="L10" i="11"/>
  <c r="L9" i="11"/>
  <c r="L8" i="11"/>
  <c r="L7" i="11"/>
  <c r="L6" i="11"/>
  <c r="L5" i="11"/>
  <c r="L4" i="11"/>
  <c r="L3" i="11"/>
  <c r="L103" i="10"/>
  <c r="L102" i="10"/>
  <c r="L101" i="10"/>
  <c r="L100" i="10"/>
  <c r="L99" i="10"/>
  <c r="L98" i="10"/>
  <c r="L97" i="10"/>
  <c r="L96" i="10"/>
  <c r="L95" i="10"/>
  <c r="L94" i="10"/>
  <c r="L93" i="10"/>
  <c r="L92" i="10"/>
  <c r="L91" i="10"/>
  <c r="L90" i="10"/>
  <c r="L89" i="10"/>
  <c r="L88" i="10"/>
  <c r="L87" i="10"/>
  <c r="L86" i="10"/>
  <c r="L85" i="10"/>
  <c r="L84" i="10"/>
  <c r="L83" i="10"/>
  <c r="L82" i="10"/>
  <c r="L81" i="10"/>
  <c r="L80" i="10"/>
  <c r="L79" i="10"/>
  <c r="L78" i="10"/>
  <c r="L77" i="10"/>
  <c r="L76" i="10"/>
  <c r="L75" i="10"/>
  <c r="L74" i="10"/>
  <c r="L73" i="10"/>
  <c r="L72" i="10"/>
  <c r="L71" i="10"/>
  <c r="L70" i="10"/>
  <c r="L69" i="10"/>
  <c r="L68" i="10"/>
  <c r="L67" i="10"/>
  <c r="L66" i="10"/>
  <c r="L65" i="10"/>
  <c r="L64" i="10"/>
  <c r="L63" i="10"/>
  <c r="L62" i="10"/>
  <c r="L61" i="10"/>
  <c r="L60" i="10"/>
  <c r="L59" i="10"/>
  <c r="L58" i="10"/>
  <c r="L57" i="10"/>
  <c r="L56" i="10"/>
  <c r="L55" i="10"/>
  <c r="L54" i="10"/>
  <c r="L53" i="10"/>
  <c r="L52" i="10"/>
  <c r="L51" i="10"/>
  <c r="L50" i="10"/>
  <c r="L49" i="10"/>
  <c r="L48" i="10"/>
  <c r="L47" i="10"/>
  <c r="L46" i="10"/>
  <c r="L45" i="10"/>
  <c r="L44" i="10"/>
  <c r="L43" i="10"/>
  <c r="L42" i="10"/>
  <c r="L41" i="10"/>
  <c r="L40" i="10"/>
  <c r="L39" i="10"/>
  <c r="L38" i="10"/>
  <c r="L37" i="10"/>
  <c r="L36" i="10"/>
  <c r="L35" i="10"/>
  <c r="L34" i="10"/>
  <c r="L33" i="10"/>
  <c r="L32" i="10"/>
  <c r="L31" i="10"/>
  <c r="L30" i="10"/>
  <c r="L29" i="10"/>
  <c r="L28" i="10"/>
  <c r="L27" i="10"/>
  <c r="L26" i="10"/>
  <c r="L25" i="10"/>
  <c r="L24" i="10"/>
  <c r="L23" i="10"/>
  <c r="L22" i="10"/>
  <c r="L21" i="10"/>
  <c r="L20" i="10"/>
  <c r="L19" i="10"/>
  <c r="L18" i="10"/>
  <c r="L17" i="10"/>
  <c r="L16" i="10"/>
  <c r="L15" i="10"/>
  <c r="L14" i="10"/>
  <c r="L13" i="10"/>
  <c r="L12" i="10"/>
  <c r="L11" i="10"/>
  <c r="L10" i="10"/>
  <c r="L9" i="10"/>
  <c r="L8" i="10"/>
  <c r="L7" i="10"/>
  <c r="L6" i="10"/>
  <c r="L5" i="10"/>
  <c r="L4" i="10"/>
  <c r="L3" i="10"/>
  <c r="L138" i="9"/>
  <c r="L137" i="9"/>
  <c r="L136" i="9"/>
  <c r="L135" i="9"/>
  <c r="L134" i="9"/>
  <c r="L133" i="9"/>
  <c r="L132" i="9"/>
  <c r="L131" i="9"/>
  <c r="L130" i="9"/>
  <c r="L129" i="9"/>
  <c r="L128" i="9"/>
  <c r="L127" i="9"/>
  <c r="L126" i="9"/>
  <c r="L125" i="9"/>
  <c r="L124" i="9"/>
  <c r="L123" i="9"/>
  <c r="L122" i="9"/>
  <c r="L121" i="9"/>
  <c r="L120" i="9"/>
  <c r="L119" i="9"/>
  <c r="L118" i="9"/>
  <c r="L117" i="9"/>
  <c r="L116" i="9"/>
  <c r="L115" i="9"/>
  <c r="L114" i="9"/>
  <c r="L113" i="9"/>
  <c r="L112" i="9"/>
  <c r="L111" i="9"/>
  <c r="L110" i="9"/>
  <c r="L109" i="9"/>
  <c r="L108" i="9"/>
  <c r="L107" i="9"/>
  <c r="L106" i="9"/>
  <c r="L105" i="9"/>
  <c r="L104" i="9"/>
  <c r="L103" i="9"/>
  <c r="L102" i="9"/>
  <c r="L101" i="9"/>
  <c r="L100" i="9"/>
  <c r="L99" i="9"/>
  <c r="L98" i="9"/>
  <c r="L97" i="9"/>
  <c r="L96" i="9"/>
  <c r="L95" i="9"/>
  <c r="L94" i="9"/>
  <c r="L93" i="9"/>
  <c r="L92" i="9"/>
  <c r="L91" i="9"/>
  <c r="L90" i="9"/>
  <c r="L89" i="9"/>
  <c r="L88" i="9"/>
  <c r="L87" i="9"/>
  <c r="L86" i="9"/>
  <c r="L85" i="9"/>
  <c r="L84" i="9"/>
  <c r="L83" i="9"/>
  <c r="L82" i="9"/>
  <c r="L81" i="9"/>
  <c r="L80" i="9"/>
  <c r="L79" i="9"/>
  <c r="L78" i="9"/>
  <c r="L77" i="9"/>
  <c r="L76" i="9"/>
  <c r="L75" i="9"/>
  <c r="L74" i="9"/>
  <c r="L73" i="9"/>
  <c r="L72" i="9"/>
  <c r="L71" i="9"/>
  <c r="L70" i="9"/>
  <c r="L69" i="9"/>
  <c r="L68" i="9"/>
  <c r="L67" i="9"/>
  <c r="L66" i="9"/>
  <c r="L65" i="9"/>
  <c r="L64" i="9"/>
  <c r="L63" i="9"/>
  <c r="L62" i="9"/>
  <c r="L61" i="9"/>
  <c r="L60" i="9"/>
  <c r="L59" i="9"/>
  <c r="L58" i="9"/>
  <c r="L57" i="9"/>
  <c r="L56" i="9"/>
  <c r="L55" i="9"/>
  <c r="L54" i="9"/>
  <c r="L53" i="9"/>
  <c r="L52" i="9"/>
  <c r="L51" i="9"/>
  <c r="L50" i="9"/>
  <c r="L49" i="9"/>
  <c r="L48" i="9"/>
  <c r="L47" i="9"/>
  <c r="L46" i="9"/>
  <c r="L45" i="9"/>
  <c r="L44" i="9"/>
  <c r="L43" i="9"/>
  <c r="L42" i="9"/>
  <c r="L41" i="9"/>
  <c r="L40" i="9"/>
  <c r="L39" i="9"/>
  <c r="L38" i="9"/>
  <c r="L37" i="9"/>
  <c r="L36" i="9"/>
  <c r="L35" i="9"/>
  <c r="L34" i="9"/>
  <c r="L33" i="9"/>
  <c r="L32" i="9"/>
  <c r="L31" i="9"/>
  <c r="L30" i="9"/>
  <c r="L29" i="9"/>
  <c r="L28" i="9"/>
  <c r="L27" i="9"/>
  <c r="L26" i="9"/>
  <c r="L25" i="9"/>
  <c r="L24" i="9"/>
  <c r="L23" i="9"/>
  <c r="L22" i="9"/>
  <c r="L21" i="9"/>
  <c r="L20" i="9"/>
  <c r="L19" i="9"/>
  <c r="L18" i="9"/>
  <c r="L17" i="9"/>
  <c r="L16" i="9"/>
  <c r="L15" i="9"/>
  <c r="L14" i="9"/>
  <c r="L13" i="9"/>
  <c r="L12" i="9"/>
  <c r="L11" i="9"/>
  <c r="L10" i="9"/>
  <c r="L9" i="9"/>
  <c r="L8" i="9"/>
  <c r="L7" i="9"/>
  <c r="L6" i="9"/>
  <c r="L5" i="9"/>
  <c r="L4" i="9"/>
  <c r="L3" i="9"/>
  <c r="L122" i="8"/>
  <c r="L121" i="8"/>
  <c r="L120" i="8"/>
  <c r="L119" i="8"/>
  <c r="L118" i="8"/>
  <c r="L117" i="8"/>
  <c r="L116" i="8"/>
  <c r="L115" i="8"/>
  <c r="L114" i="8"/>
  <c r="L113" i="8"/>
  <c r="L112" i="8"/>
  <c r="L111" i="8"/>
  <c r="L110" i="8"/>
  <c r="L109" i="8"/>
  <c r="L108" i="8"/>
  <c r="L107" i="8"/>
  <c r="L106" i="8"/>
  <c r="L105" i="8"/>
  <c r="L104" i="8"/>
  <c r="L103" i="8"/>
  <c r="L102" i="8"/>
  <c r="L101" i="8"/>
  <c r="L100" i="8"/>
  <c r="L99" i="8"/>
  <c r="L98" i="8"/>
  <c r="L97" i="8"/>
  <c r="L96" i="8"/>
  <c r="L95" i="8"/>
  <c r="L93" i="8"/>
  <c r="L92" i="8"/>
  <c r="L91" i="8"/>
  <c r="L90" i="8"/>
  <c r="L89" i="8"/>
  <c r="L88" i="8"/>
  <c r="L87" i="8"/>
  <c r="L86" i="8"/>
  <c r="L85" i="8"/>
  <c r="L84" i="8"/>
  <c r="L83" i="8"/>
  <c r="L82" i="8"/>
  <c r="L81" i="8"/>
  <c r="L80" i="8"/>
  <c r="L79" i="8"/>
  <c r="L78" i="8"/>
  <c r="L77" i="8"/>
  <c r="L76" i="8"/>
  <c r="L75" i="8"/>
  <c r="L74" i="8"/>
  <c r="L73" i="8"/>
  <c r="L72" i="8"/>
  <c r="L71" i="8"/>
  <c r="L70" i="8"/>
  <c r="L69" i="8"/>
  <c r="L68" i="8"/>
  <c r="L67" i="8"/>
  <c r="L66" i="8"/>
  <c r="L65" i="8"/>
  <c r="L64" i="8"/>
  <c r="L63" i="8"/>
  <c r="L62" i="8"/>
  <c r="L61" i="8"/>
  <c r="L60" i="8"/>
  <c r="L59" i="8"/>
  <c r="L58" i="8"/>
  <c r="L57" i="8"/>
  <c r="L56" i="8"/>
  <c r="L55" i="8"/>
  <c r="L54" i="8"/>
  <c r="L53" i="8"/>
  <c r="L52" i="8"/>
  <c r="L51" i="8"/>
  <c r="L50" i="8"/>
  <c r="L49" i="8"/>
  <c r="L48" i="8"/>
  <c r="L47" i="8"/>
  <c r="L46" i="8"/>
  <c r="L45" i="8"/>
  <c r="L44" i="8"/>
  <c r="L43" i="8"/>
  <c r="L42" i="8"/>
  <c r="L41" i="8"/>
  <c r="L40" i="8"/>
  <c r="L39" i="8"/>
  <c r="L38" i="8"/>
  <c r="L37" i="8"/>
  <c r="L36" i="8"/>
  <c r="L35" i="8"/>
  <c r="L34" i="8"/>
  <c r="L33" i="8"/>
  <c r="L32" i="8"/>
  <c r="L31" i="8"/>
  <c r="L30" i="8"/>
  <c r="L29" i="8"/>
  <c r="L28" i="8"/>
  <c r="L27" i="8"/>
  <c r="L26" i="8"/>
  <c r="L25" i="8"/>
  <c r="L24" i="8"/>
  <c r="L23" i="8"/>
  <c r="L22" i="8"/>
  <c r="L21" i="8"/>
  <c r="L20" i="8"/>
  <c r="L19" i="8"/>
  <c r="L18" i="8"/>
  <c r="L17" i="8"/>
  <c r="L16" i="8"/>
  <c r="L15" i="8"/>
  <c r="L14" i="8"/>
  <c r="L13" i="8"/>
  <c r="L12" i="8"/>
  <c r="L11" i="8"/>
  <c r="L10" i="8"/>
  <c r="L9" i="8"/>
  <c r="L8" i="8"/>
  <c r="L7" i="8"/>
  <c r="L6" i="8"/>
  <c r="L5" i="8"/>
  <c r="L4" i="8"/>
  <c r="L3" i="8"/>
  <c r="L140" i="7"/>
  <c r="L139" i="7"/>
  <c r="L138" i="7"/>
  <c r="L137" i="7"/>
  <c r="L136" i="7"/>
  <c r="L135" i="7"/>
  <c r="L134" i="7"/>
  <c r="L133" i="7"/>
  <c r="L132" i="7"/>
  <c r="L131" i="7"/>
  <c r="L130" i="7"/>
  <c r="L129" i="7"/>
  <c r="L128" i="7"/>
  <c r="L127" i="7"/>
  <c r="L126" i="7"/>
  <c r="L125" i="7"/>
  <c r="L124" i="7"/>
  <c r="L123" i="7"/>
  <c r="L122" i="7"/>
  <c r="L121" i="7"/>
  <c r="L120" i="7"/>
  <c r="L119" i="7"/>
  <c r="L118" i="7"/>
  <c r="L117" i="7"/>
  <c r="L116" i="7"/>
  <c r="L115" i="7"/>
  <c r="L114" i="7"/>
  <c r="L113" i="7"/>
  <c r="L112" i="7"/>
  <c r="L111" i="7"/>
  <c r="L110" i="7"/>
  <c r="L109" i="7"/>
  <c r="L108" i="7"/>
  <c r="L107" i="7"/>
  <c r="L106" i="7"/>
  <c r="L105" i="7"/>
  <c r="L104" i="7"/>
  <c r="L103" i="7"/>
  <c r="L102" i="7"/>
  <c r="L101" i="7"/>
  <c r="L100" i="7"/>
  <c r="L99" i="7"/>
  <c r="L98" i="7"/>
  <c r="L97" i="7"/>
  <c r="L96" i="7"/>
  <c r="L95" i="7"/>
  <c r="L94" i="7"/>
  <c r="L93" i="7"/>
  <c r="L92" i="7"/>
  <c r="L91" i="7"/>
  <c r="L90" i="7"/>
  <c r="L89" i="7"/>
  <c r="L88" i="7"/>
  <c r="L87" i="7"/>
  <c r="L86" i="7"/>
  <c r="L85" i="7"/>
  <c r="L84" i="7"/>
  <c r="L83" i="7"/>
  <c r="L82" i="7"/>
  <c r="L81" i="7"/>
  <c r="L80" i="7"/>
  <c r="L79" i="7"/>
  <c r="L78" i="7"/>
  <c r="L77" i="7"/>
  <c r="L76" i="7"/>
  <c r="L75" i="7"/>
  <c r="L74" i="7"/>
  <c r="L73" i="7"/>
  <c r="L72" i="7"/>
  <c r="L71" i="7"/>
  <c r="L70" i="7"/>
  <c r="L69" i="7"/>
  <c r="L68" i="7"/>
  <c r="L67" i="7"/>
  <c r="L66" i="7"/>
  <c r="L65" i="7"/>
  <c r="L64" i="7"/>
  <c r="L63" i="7"/>
  <c r="L62" i="7"/>
  <c r="L61" i="7"/>
  <c r="L60" i="7"/>
  <c r="L59" i="7"/>
  <c r="L58" i="7"/>
  <c r="L57" i="7"/>
  <c r="L56" i="7"/>
  <c r="L55" i="7"/>
  <c r="L54" i="7"/>
  <c r="L53" i="7"/>
  <c r="L52" i="7"/>
  <c r="L51" i="7"/>
  <c r="L50" i="7"/>
  <c r="L49" i="7"/>
  <c r="L48" i="7"/>
  <c r="L47" i="7"/>
  <c r="L46" i="7"/>
  <c r="L45" i="7"/>
  <c r="L44" i="7"/>
  <c r="L43" i="7"/>
  <c r="L42" i="7"/>
  <c r="L41" i="7"/>
  <c r="L40" i="7"/>
  <c r="L39" i="7"/>
  <c r="L38" i="7"/>
  <c r="L37" i="7"/>
  <c r="L36" i="7"/>
  <c r="L35" i="7"/>
  <c r="L34" i="7"/>
  <c r="L33" i="7"/>
  <c r="L32" i="7"/>
  <c r="L31" i="7"/>
  <c r="L30" i="7"/>
  <c r="L29" i="7"/>
  <c r="L28" i="7"/>
  <c r="L27" i="7"/>
  <c r="L26" i="7"/>
  <c r="L25" i="7"/>
  <c r="L24" i="7"/>
  <c r="L23" i="7"/>
  <c r="L22" i="7"/>
  <c r="L21" i="7"/>
  <c r="L20" i="7"/>
  <c r="L19" i="7"/>
  <c r="L18" i="7"/>
  <c r="L17" i="7"/>
  <c r="L16" i="7"/>
  <c r="L15" i="7"/>
  <c r="L14" i="7"/>
  <c r="L13" i="7"/>
  <c r="L12" i="7"/>
  <c r="L11" i="7"/>
  <c r="L10" i="7"/>
  <c r="L9" i="7"/>
  <c r="L8" i="7"/>
  <c r="L7" i="7"/>
  <c r="L6" i="7"/>
  <c r="L5" i="7"/>
  <c r="L4" i="7"/>
  <c r="L3" i="7"/>
  <c r="L885" i="1"/>
  <c r="L39" i="1"/>
  <c r="L113" i="1"/>
  <c r="L109" i="1"/>
  <c r="L190" i="1"/>
  <c r="L200" i="1"/>
  <c r="L55" i="1"/>
  <c r="L221" i="1"/>
  <c r="L194" i="1"/>
  <c r="L163" i="1"/>
  <c r="L50" i="1"/>
  <c r="L37" i="1"/>
  <c r="L215" i="1"/>
  <c r="L42" i="1"/>
  <c r="L253" i="1"/>
  <c r="L5" i="1"/>
  <c r="L160" i="1"/>
  <c r="L180" i="1"/>
  <c r="L119" i="1"/>
  <c r="L87" i="1"/>
  <c r="L135" i="1"/>
  <c r="L224" i="1"/>
  <c r="L53" i="1"/>
  <c r="L76" i="1"/>
  <c r="L90" i="1"/>
  <c r="L17" i="1"/>
  <c r="L126" i="1"/>
  <c r="L33" i="1"/>
  <c r="L81" i="1"/>
  <c r="L201" i="1"/>
  <c r="L202" i="1"/>
  <c r="L245" i="1"/>
  <c r="L79" i="1"/>
  <c r="L246" i="1"/>
  <c r="L77" i="1"/>
  <c r="L93" i="1"/>
  <c r="L51" i="1"/>
  <c r="L124" i="1"/>
  <c r="L82" i="1"/>
  <c r="L181" i="1"/>
  <c r="L150" i="1"/>
  <c r="L264" i="1"/>
  <c r="L104" i="1"/>
  <c r="L213" i="1"/>
  <c r="L57" i="1"/>
  <c r="L230" i="1"/>
  <c r="L249" i="1"/>
  <c r="L94" i="1"/>
  <c r="L30" i="1"/>
  <c r="L74" i="1"/>
  <c r="L216" i="1"/>
  <c r="L137" i="1"/>
  <c r="L156" i="1"/>
  <c r="L195" i="1"/>
  <c r="L118" i="1"/>
  <c r="L59" i="1"/>
  <c r="L203" i="1"/>
  <c r="L157" i="1"/>
  <c r="L161" i="1"/>
  <c r="L20" i="1"/>
  <c r="L98" i="1"/>
  <c r="L115" i="1"/>
  <c r="L152" i="1"/>
  <c r="L217" i="1"/>
  <c r="L184" i="1"/>
  <c r="L240" i="1"/>
  <c r="L168" i="1"/>
  <c r="L231" i="1"/>
  <c r="L123" i="1"/>
  <c r="L6" i="1"/>
  <c r="L136" i="1"/>
  <c r="L214" i="1"/>
  <c r="L67" i="1"/>
  <c r="L247" i="1"/>
  <c r="L164" i="1"/>
  <c r="L71" i="1"/>
  <c r="L15" i="1"/>
  <c r="L62" i="1"/>
  <c r="L78" i="1"/>
  <c r="L99" i="1"/>
  <c r="L54" i="1"/>
  <c r="L116" i="1"/>
  <c r="L58" i="1"/>
  <c r="L7" i="1"/>
  <c r="L140" i="1"/>
  <c r="L191" i="1"/>
  <c r="L145" i="1"/>
  <c r="L185" i="1"/>
  <c r="L169" i="1"/>
  <c r="L35" i="1"/>
  <c r="L12" i="1"/>
  <c r="L146" i="1"/>
  <c r="L95" i="1"/>
  <c r="L27" i="1"/>
  <c r="L96" i="1"/>
  <c r="L241" i="1"/>
  <c r="L186" i="1"/>
  <c r="L9" i="1"/>
  <c r="L47" i="1"/>
  <c r="L88" i="1"/>
  <c r="L147" i="1"/>
  <c r="L198" i="1"/>
  <c r="L199" i="1"/>
  <c r="L192" i="1"/>
  <c r="L148" i="1"/>
  <c r="L101" i="1"/>
  <c r="L70" i="1"/>
  <c r="L170" i="1"/>
  <c r="L60" i="1"/>
  <c r="L206" i="1"/>
  <c r="L234" i="1"/>
  <c r="L196" i="1"/>
  <c r="L73" i="1"/>
  <c r="L112" i="1"/>
  <c r="L242" i="1"/>
  <c r="L85" i="1"/>
  <c r="L48" i="1"/>
  <c r="L254" i="1"/>
  <c r="L255" i="1"/>
  <c r="L182" i="1"/>
  <c r="L102" i="1"/>
  <c r="L207" i="1"/>
  <c r="L193" i="1"/>
  <c r="L260" i="1"/>
  <c r="L177" i="1"/>
  <c r="L103" i="1"/>
  <c r="L174" i="1"/>
  <c r="L237" i="1"/>
  <c r="L43" i="1"/>
  <c r="L114" i="1"/>
  <c r="L139" i="1"/>
  <c r="L243" i="1"/>
  <c r="L183" i="1"/>
  <c r="L158" i="1"/>
  <c r="L222" i="1"/>
  <c r="L127" i="1"/>
  <c r="L197" i="1"/>
  <c r="L44" i="1"/>
  <c r="L13" i="1"/>
  <c r="L128" i="1"/>
  <c r="L68" i="1"/>
  <c r="L106" i="1"/>
  <c r="L69" i="1"/>
  <c r="L187" i="1"/>
  <c r="L261" i="1"/>
  <c r="L117" i="1"/>
  <c r="L250" i="1"/>
  <c r="L256" i="1"/>
  <c r="L171" i="1"/>
  <c r="L258" i="1"/>
  <c r="L83" i="1"/>
  <c r="L218" i="1"/>
  <c r="L132" i="1"/>
  <c r="L188" i="1"/>
  <c r="L105" i="1"/>
  <c r="L251" i="1"/>
  <c r="L86" i="1"/>
  <c r="L107" i="1"/>
  <c r="L165" i="1"/>
  <c r="L162" i="1"/>
  <c r="L262" i="1"/>
  <c r="L56" i="1"/>
  <c r="L11" i="1"/>
  <c r="L18" i="1"/>
  <c r="L100" i="1"/>
  <c r="L108" i="1"/>
  <c r="L133" i="1"/>
  <c r="L244" i="1"/>
  <c r="L175" i="1"/>
  <c r="L129" i="1"/>
  <c r="L130" i="1"/>
  <c r="L235" i="1"/>
  <c r="L24" i="1"/>
  <c r="L131" i="1"/>
  <c r="L16" i="1"/>
  <c r="L248" i="1"/>
  <c r="L111" i="1"/>
  <c r="L176" i="1"/>
  <c r="L31" i="1"/>
  <c r="L63" i="1"/>
  <c r="L10" i="1"/>
  <c r="L121" i="1"/>
  <c r="L84" i="1"/>
  <c r="L204" i="1"/>
  <c r="L149" i="1"/>
  <c r="L263" i="1"/>
  <c r="L75" i="1"/>
  <c r="L225" i="1"/>
  <c r="L8" i="1"/>
  <c r="L153" i="1"/>
  <c r="L25" i="1"/>
  <c r="L49" i="1"/>
  <c r="L208" i="1"/>
  <c r="L178" i="1"/>
  <c r="L219" i="1"/>
  <c r="L14" i="1"/>
  <c r="L159" i="1"/>
  <c r="L138" i="1"/>
  <c r="L32" i="1"/>
  <c r="L189" i="1"/>
  <c r="L91" i="1"/>
  <c r="L64" i="1"/>
  <c r="L141" i="1"/>
  <c r="L226" i="1"/>
  <c r="L41" i="1"/>
  <c r="L45" i="1"/>
  <c r="L151" i="1"/>
  <c r="L21" i="1"/>
  <c r="L142" i="1"/>
  <c r="L80" i="1"/>
  <c r="L97" i="1"/>
  <c r="L205" i="1"/>
  <c r="L19" i="1"/>
  <c r="L220" i="1"/>
  <c r="L172" i="1"/>
  <c r="L61" i="1"/>
  <c r="L22" i="1"/>
  <c r="L259" i="1"/>
  <c r="L179" i="1"/>
  <c r="L40" i="1"/>
  <c r="L72" i="1"/>
  <c r="L166" i="1"/>
  <c r="L125" i="1"/>
  <c r="L252" i="1"/>
  <c r="L257" i="1"/>
  <c r="L65" i="1"/>
  <c r="L227" i="1"/>
  <c r="L23" i="1"/>
  <c r="L92" i="1"/>
  <c r="L4" i="1"/>
  <c r="L154" i="1"/>
  <c r="L46" i="1"/>
  <c r="L173" i="1"/>
  <c r="L209" i="1"/>
  <c r="L28" i="1"/>
  <c r="L29" i="1"/>
  <c r="L26" i="1"/>
  <c r="L66" i="1"/>
  <c r="L223" i="1"/>
  <c r="L210" i="1"/>
  <c r="L36" i="1"/>
  <c r="L89" i="1"/>
  <c r="L211" i="1"/>
  <c r="L238" i="1"/>
  <c r="L232" i="1"/>
  <c r="L34" i="1"/>
  <c r="L38" i="1"/>
  <c r="L228" i="1"/>
  <c r="L229" i="1"/>
  <c r="L110" i="1"/>
  <c r="L167" i="1"/>
  <c r="L122" i="1"/>
  <c r="L134" i="1"/>
  <c r="L239" i="1"/>
  <c r="L233" i="1"/>
  <c r="L212" i="1"/>
  <c r="L120" i="1"/>
  <c r="L52" i="1"/>
  <c r="L155" i="1"/>
  <c r="L327" i="1"/>
  <c r="L328" i="1"/>
  <c r="L329" i="1"/>
  <c r="L267" i="1"/>
  <c r="L363" i="1"/>
  <c r="L364" i="1"/>
  <c r="L268" i="1"/>
  <c r="L299" i="1"/>
  <c r="L269" i="1"/>
  <c r="L300" i="1"/>
  <c r="L270" i="1"/>
  <c r="L330" i="1"/>
  <c r="L301" i="1"/>
  <c r="L365" i="1"/>
  <c r="L331" i="1"/>
  <c r="L332" i="1"/>
  <c r="L366" i="1"/>
  <c r="L367" i="1"/>
  <c r="L271" i="1"/>
  <c r="L368" i="1"/>
  <c r="L369" i="1"/>
  <c r="L370" i="1"/>
  <c r="L333" i="1"/>
  <c r="L371" i="1"/>
  <c r="L302" i="1"/>
  <c r="L334" i="1"/>
  <c r="L372" i="1"/>
  <c r="L272" i="1"/>
  <c r="L373" i="1"/>
  <c r="L335" i="1"/>
  <c r="L336" i="1"/>
  <c r="L303" i="1"/>
  <c r="L374" i="1"/>
  <c r="L337" i="1"/>
  <c r="L273" i="1"/>
  <c r="L338" i="1"/>
  <c r="L339" i="1"/>
  <c r="L340" i="1"/>
  <c r="L304" i="1"/>
  <c r="L305" i="1"/>
  <c r="L274" i="1"/>
  <c r="L341" i="1"/>
  <c r="L342" i="1"/>
  <c r="L343" i="1"/>
  <c r="L275" i="1"/>
  <c r="L306" i="1"/>
  <c r="L375" i="1"/>
  <c r="L376" i="1"/>
  <c r="L377" i="1"/>
  <c r="L307" i="1"/>
  <c r="L344" i="1"/>
  <c r="L345" i="1"/>
  <c r="L378" i="1"/>
  <c r="L346" i="1"/>
  <c r="L379" i="1"/>
  <c r="L380" i="1"/>
  <c r="L381" i="1"/>
  <c r="L308" i="1"/>
  <c r="L309" i="1"/>
  <c r="L382" i="1"/>
  <c r="L347" i="1"/>
  <c r="L383" i="1"/>
  <c r="L348" i="1"/>
  <c r="L276" i="1"/>
  <c r="L349" i="1"/>
  <c r="L384" i="1"/>
  <c r="L350" i="1"/>
  <c r="L385" i="1"/>
  <c r="L386" i="1"/>
  <c r="L387" i="1"/>
  <c r="L310" i="1"/>
  <c r="L388" i="1"/>
  <c r="L389" i="1"/>
  <c r="L277" i="1"/>
  <c r="L278" i="1"/>
  <c r="L279" i="1"/>
  <c r="L280" i="1"/>
  <c r="L281" i="1"/>
  <c r="L282" i="1"/>
  <c r="L311" i="1"/>
  <c r="L283" i="1"/>
  <c r="L351" i="1"/>
  <c r="L284" i="1"/>
  <c r="L285" i="1"/>
  <c r="L390" i="1"/>
  <c r="L312" i="1"/>
  <c r="L313" i="1"/>
  <c r="L391" i="1"/>
  <c r="L352" i="1"/>
  <c r="L314" i="1"/>
  <c r="L315" i="1"/>
  <c r="L316" i="1"/>
  <c r="L353" i="1"/>
  <c r="L317" i="1"/>
  <c r="L354" i="1"/>
  <c r="L355" i="1"/>
  <c r="L356" i="1"/>
  <c r="L357" i="1"/>
  <c r="L392" i="1"/>
  <c r="L318" i="1"/>
  <c r="L358" i="1"/>
  <c r="L286" i="1"/>
  <c r="L287" i="1"/>
  <c r="L393" i="1"/>
  <c r="L359" i="1"/>
  <c r="L319" i="1"/>
  <c r="L394" i="1"/>
  <c r="L320" i="1"/>
  <c r="L288" i="1"/>
  <c r="L289" i="1"/>
  <c r="L395" i="1"/>
  <c r="L290" i="1"/>
  <c r="L321" i="1"/>
  <c r="L322" i="1"/>
  <c r="L291" i="1"/>
  <c r="L323" i="1"/>
  <c r="L292" i="1"/>
  <c r="L293" i="1"/>
  <c r="L396" i="1"/>
  <c r="L294" i="1"/>
  <c r="L295" i="1"/>
  <c r="L397" i="1"/>
  <c r="L398" i="1"/>
  <c r="L296" i="1"/>
  <c r="L297" i="1"/>
  <c r="L399" i="1"/>
  <c r="L324" i="1"/>
  <c r="L298" i="1"/>
  <c r="L360" i="1"/>
  <c r="L325" i="1"/>
  <c r="L361" i="1"/>
  <c r="L362" i="1"/>
  <c r="L400" i="1"/>
  <c r="L401" i="1"/>
  <c r="L402" i="1"/>
  <c r="L326" i="1"/>
  <c r="L482" i="1"/>
  <c r="L405" i="1"/>
  <c r="L406" i="1"/>
  <c r="L407" i="1"/>
  <c r="L483" i="1"/>
  <c r="L484" i="1"/>
  <c r="L430" i="1"/>
  <c r="L455" i="1"/>
  <c r="L456" i="1"/>
  <c r="L457" i="1"/>
  <c r="L431" i="1"/>
  <c r="L458" i="1"/>
  <c r="L408" i="1"/>
  <c r="L459" i="1"/>
  <c r="L460" i="1"/>
  <c r="L432" i="1"/>
  <c r="L409" i="1"/>
  <c r="L410" i="1"/>
  <c r="L411" i="1"/>
  <c r="L433" i="1"/>
  <c r="L485" i="1"/>
  <c r="L412" i="1"/>
  <c r="L486" i="1"/>
  <c r="L413" i="1"/>
  <c r="L414" i="1"/>
  <c r="L434" i="1"/>
  <c r="L415" i="1"/>
  <c r="L435" i="1"/>
  <c r="L436" i="1"/>
  <c r="L461" i="1"/>
  <c r="L462" i="1"/>
  <c r="L437" i="1"/>
  <c r="L487" i="1"/>
  <c r="L416" i="1"/>
  <c r="L463" i="1"/>
  <c r="L438" i="1"/>
  <c r="L417" i="1"/>
  <c r="L488" i="1"/>
  <c r="L439" i="1"/>
  <c r="L464" i="1"/>
  <c r="L440" i="1"/>
  <c r="L441" i="1"/>
  <c r="L489" i="1"/>
  <c r="L465" i="1"/>
  <c r="L490" i="1"/>
  <c r="L466" i="1"/>
  <c r="L442" i="1"/>
  <c r="L467" i="1"/>
  <c r="L418" i="1"/>
  <c r="L419" i="1"/>
  <c r="L468" i="1"/>
  <c r="L420" i="1"/>
  <c r="L421" i="1"/>
  <c r="L469" i="1"/>
  <c r="L443" i="1"/>
  <c r="L444" i="1"/>
  <c r="L422" i="1"/>
  <c r="L491" i="1"/>
  <c r="L470" i="1"/>
  <c r="L445" i="1"/>
  <c r="L446" i="1"/>
  <c r="L492" i="1"/>
  <c r="L423" i="1"/>
  <c r="L493" i="1"/>
  <c r="L471" i="1"/>
  <c r="L472" i="1"/>
  <c r="L494" i="1"/>
  <c r="L495" i="1"/>
  <c r="L447" i="1"/>
  <c r="L496" i="1"/>
  <c r="L497" i="1"/>
  <c r="L424" i="1"/>
  <c r="L448" i="1"/>
  <c r="L425" i="1"/>
  <c r="L449" i="1"/>
  <c r="L450" i="1"/>
  <c r="L451" i="1"/>
  <c r="L473" i="1"/>
  <c r="L426" i="1"/>
  <c r="L427" i="1"/>
  <c r="L498" i="1"/>
  <c r="L452" i="1"/>
  <c r="L499" i="1"/>
  <c r="L453" i="1"/>
  <c r="L474" i="1"/>
  <c r="L475" i="1"/>
  <c r="L476" i="1"/>
  <c r="L500" i="1"/>
  <c r="L477" i="1"/>
  <c r="L478" i="1"/>
  <c r="L428" i="1"/>
  <c r="L479" i="1"/>
  <c r="L454" i="1"/>
  <c r="L429" i="1"/>
  <c r="L501" i="1"/>
  <c r="L502" i="1"/>
  <c r="L480" i="1"/>
  <c r="L503" i="1"/>
  <c r="L504" i="1"/>
  <c r="L481" i="1"/>
  <c r="L505" i="1"/>
  <c r="L539" i="1"/>
  <c r="L540" i="1"/>
  <c r="L541" i="1"/>
  <c r="L573" i="1"/>
  <c r="L574" i="1"/>
  <c r="L542" i="1"/>
  <c r="L599" i="1"/>
  <c r="L508" i="1"/>
  <c r="L543" i="1"/>
  <c r="L600" i="1"/>
  <c r="L509" i="1"/>
  <c r="L544" i="1"/>
  <c r="L545" i="1"/>
  <c r="L510" i="1"/>
  <c r="L511" i="1"/>
  <c r="L601" i="1"/>
  <c r="L512" i="1"/>
  <c r="L546" i="1"/>
  <c r="L547" i="1"/>
  <c r="L575" i="1"/>
  <c r="L576" i="1"/>
  <c r="L513" i="1"/>
  <c r="L514" i="1"/>
  <c r="L548" i="1"/>
  <c r="L602" i="1"/>
  <c r="L603" i="1"/>
  <c r="L549" i="1"/>
  <c r="L604" i="1"/>
  <c r="L605" i="1"/>
  <c r="L606" i="1"/>
  <c r="L515" i="1"/>
  <c r="L607" i="1"/>
  <c r="L608" i="1"/>
  <c r="L516" i="1"/>
  <c r="L577" i="1"/>
  <c r="L578" i="1"/>
  <c r="L517" i="1"/>
  <c r="L518" i="1"/>
  <c r="L609" i="1"/>
  <c r="L550" i="1"/>
  <c r="L519" i="1"/>
  <c r="L579" i="1"/>
  <c r="L551" i="1"/>
  <c r="L552" i="1"/>
  <c r="L580" i="1"/>
  <c r="L520" i="1"/>
  <c r="L521" i="1"/>
  <c r="L610" i="1"/>
  <c r="L581" i="1"/>
  <c r="L522" i="1"/>
  <c r="L553" i="1"/>
  <c r="L582" i="1"/>
  <c r="L554" i="1"/>
  <c r="L611" i="1"/>
  <c r="L583" i="1"/>
  <c r="L612" i="1"/>
  <c r="L555" i="1"/>
  <c r="L613" i="1"/>
  <c r="L614" i="1"/>
  <c r="L615" i="1"/>
  <c r="L523" i="1"/>
  <c r="L584" i="1"/>
  <c r="L616" i="1"/>
  <c r="L585" i="1"/>
  <c r="L617" i="1"/>
  <c r="L618" i="1"/>
  <c r="L586" i="1"/>
  <c r="L524" i="1"/>
  <c r="L587" i="1"/>
  <c r="L525" i="1"/>
  <c r="L526" i="1"/>
  <c r="L527" i="1"/>
  <c r="L556" i="1"/>
  <c r="L557" i="1"/>
  <c r="L528" i="1"/>
  <c r="L558" i="1"/>
  <c r="L619" i="1"/>
  <c r="L529" i="1"/>
  <c r="L588" i="1"/>
  <c r="L559" i="1"/>
  <c r="L620" i="1"/>
  <c r="L530" i="1"/>
  <c r="L621" i="1"/>
  <c r="L560" i="1"/>
  <c r="L561" i="1"/>
  <c r="L589" i="1"/>
  <c r="L562" i="1"/>
  <c r="L622" i="1"/>
  <c r="L590" i="1"/>
  <c r="L531" i="1"/>
  <c r="L532" i="1"/>
  <c r="L591" i="1"/>
  <c r="L563" i="1"/>
  <c r="L564" i="1"/>
  <c r="L565" i="1"/>
  <c r="L533" i="1"/>
  <c r="L623" i="1"/>
  <c r="L592" i="1"/>
  <c r="L534" i="1"/>
  <c r="L566" i="1"/>
  <c r="L624" i="1"/>
  <c r="L625" i="1"/>
  <c r="L535" i="1"/>
  <c r="L626" i="1"/>
  <c r="L536" i="1"/>
  <c r="L593" i="1"/>
  <c r="L594" i="1"/>
  <c r="L595" i="1"/>
  <c r="L596" i="1"/>
  <c r="L567" i="1"/>
  <c r="L627" i="1"/>
  <c r="L568" i="1"/>
  <c r="L569" i="1"/>
  <c r="L628" i="1"/>
  <c r="L629" i="1"/>
  <c r="L570" i="1"/>
  <c r="L630" i="1"/>
  <c r="L537" i="1"/>
  <c r="L597" i="1"/>
  <c r="L631" i="1"/>
  <c r="L538" i="1"/>
  <c r="L598" i="1"/>
  <c r="L571" i="1"/>
  <c r="L572" i="1"/>
  <c r="L722" i="1"/>
  <c r="L723" i="1"/>
  <c r="L665" i="1"/>
  <c r="L666" i="1"/>
  <c r="L667" i="1"/>
  <c r="L724" i="1"/>
  <c r="L668" i="1"/>
  <c r="L634" i="1"/>
  <c r="L635" i="1"/>
  <c r="L696" i="1"/>
  <c r="L669" i="1"/>
  <c r="L697" i="1"/>
  <c r="L725" i="1"/>
  <c r="L726" i="1"/>
  <c r="L636" i="1"/>
  <c r="L727" i="1"/>
  <c r="L637" i="1"/>
  <c r="L698" i="1"/>
  <c r="L728" i="1"/>
  <c r="L699" i="1"/>
  <c r="L638" i="1"/>
  <c r="L700" i="1"/>
  <c r="L670" i="1"/>
  <c r="L671" i="1"/>
  <c r="L701" i="1"/>
  <c r="L639" i="1"/>
  <c r="L640" i="1"/>
  <c r="L641" i="1"/>
  <c r="L642" i="1"/>
  <c r="L672" i="1"/>
  <c r="L702" i="1"/>
  <c r="L729" i="1"/>
  <c r="L643" i="1"/>
  <c r="L730" i="1"/>
  <c r="L673" i="1"/>
  <c r="L674" i="1"/>
  <c r="L703" i="1"/>
  <c r="L704" i="1"/>
  <c r="L731" i="1"/>
  <c r="L705" i="1"/>
  <c r="L644" i="1"/>
  <c r="L732" i="1"/>
  <c r="L675" i="1"/>
  <c r="L645" i="1"/>
  <c r="L646" i="1"/>
  <c r="L676" i="1"/>
  <c r="L733" i="1"/>
  <c r="L734" i="1"/>
  <c r="L735" i="1"/>
  <c r="L647" i="1"/>
  <c r="L648" i="1"/>
  <c r="L677" i="1"/>
  <c r="L678" i="1"/>
  <c r="L679" i="1"/>
  <c r="L706" i="1"/>
  <c r="L736" i="1"/>
  <c r="L737" i="1"/>
  <c r="L707" i="1"/>
  <c r="L708" i="1"/>
  <c r="L649" i="1"/>
  <c r="L650" i="1"/>
  <c r="L651" i="1"/>
  <c r="L738" i="1"/>
  <c r="L680" i="1"/>
  <c r="L681" i="1"/>
  <c r="L682" i="1"/>
  <c r="L683" i="1"/>
  <c r="L739" i="1"/>
  <c r="L709" i="1"/>
  <c r="L684" i="1"/>
  <c r="L652" i="1"/>
  <c r="L710" i="1"/>
  <c r="L740" i="1"/>
  <c r="L685" i="1"/>
  <c r="L711" i="1"/>
  <c r="L712" i="1"/>
  <c r="L653" i="1"/>
  <c r="L654" i="1"/>
  <c r="L741" i="1"/>
  <c r="L713" i="1"/>
  <c r="L714" i="1"/>
  <c r="L742" i="1"/>
  <c r="L743" i="1"/>
  <c r="L744" i="1"/>
  <c r="L715" i="1"/>
  <c r="L686" i="1"/>
  <c r="L745" i="1"/>
  <c r="L687" i="1"/>
  <c r="L655" i="1"/>
  <c r="L656" i="1"/>
  <c r="L746" i="1"/>
  <c r="L747" i="1"/>
  <c r="L748" i="1"/>
  <c r="L716" i="1"/>
  <c r="L688" i="1"/>
  <c r="L717" i="1"/>
  <c r="L718" i="1"/>
  <c r="L689" i="1"/>
  <c r="L749" i="1"/>
  <c r="L690" i="1"/>
  <c r="L657" i="1"/>
  <c r="L658" i="1"/>
  <c r="L691" i="1"/>
  <c r="L719" i="1"/>
  <c r="L659" i="1"/>
  <c r="L750" i="1"/>
  <c r="L751" i="1"/>
  <c r="L660" i="1"/>
  <c r="L752" i="1"/>
  <c r="L720" i="1"/>
  <c r="L753" i="1"/>
  <c r="L692" i="1"/>
  <c r="L754" i="1"/>
  <c r="L755" i="1"/>
  <c r="L661" i="1"/>
  <c r="L693" i="1"/>
  <c r="L721" i="1"/>
  <c r="L694" i="1"/>
  <c r="L695" i="1"/>
  <c r="L662" i="1"/>
  <c r="L663" i="1"/>
  <c r="L664" i="1"/>
  <c r="L856" i="1"/>
  <c r="L787" i="1"/>
  <c r="L823" i="1"/>
  <c r="L758" i="1"/>
  <c r="L857" i="1"/>
  <c r="L759" i="1"/>
  <c r="L824" i="1"/>
  <c r="L858" i="1"/>
  <c r="L788" i="1"/>
  <c r="L789" i="1"/>
  <c r="L859" i="1"/>
  <c r="L825" i="1"/>
  <c r="L826" i="1"/>
  <c r="L827" i="1"/>
  <c r="L828" i="1"/>
  <c r="L829" i="1"/>
  <c r="L790" i="1"/>
  <c r="L760" i="1"/>
  <c r="L830" i="1"/>
  <c r="L831" i="1"/>
  <c r="L791" i="1"/>
  <c r="L832" i="1"/>
  <c r="L792" i="1"/>
  <c r="L761" i="1"/>
  <c r="L762" i="1"/>
  <c r="L793" i="1"/>
  <c r="L833" i="1"/>
  <c r="L763" i="1"/>
  <c r="L794" i="1"/>
  <c r="L860" i="1"/>
  <c r="L795" i="1"/>
  <c r="L796" i="1"/>
  <c r="L861" i="1"/>
  <c r="L797" i="1"/>
  <c r="L862" i="1"/>
  <c r="L834" i="1"/>
  <c r="L835" i="1"/>
  <c r="L798" i="1"/>
  <c r="L836" i="1"/>
  <c r="L837" i="1"/>
  <c r="L799" i="1"/>
  <c r="L764" i="1"/>
  <c r="L800" i="1"/>
  <c r="L838" i="1"/>
  <c r="L863" i="1"/>
  <c r="L839" i="1"/>
  <c r="L840" i="1"/>
  <c r="L864" i="1"/>
  <c r="L801" i="1"/>
  <c r="L865" i="1"/>
  <c r="L841" i="1"/>
  <c r="L802" i="1"/>
  <c r="L866" i="1"/>
  <c r="L867" i="1"/>
  <c r="L868" i="1"/>
  <c r="L869" i="1"/>
  <c r="L870" i="1"/>
  <c r="L803" i="1"/>
  <c r="L842" i="1"/>
  <c r="L804" i="1"/>
  <c r="L871" i="1"/>
  <c r="L872" i="1"/>
  <c r="L805" i="1"/>
  <c r="L806" i="1"/>
  <c r="L807" i="1"/>
  <c r="L808" i="1"/>
  <c r="L765" i="1"/>
  <c r="L766" i="1"/>
  <c r="L767" i="1"/>
  <c r="L843" i="1"/>
  <c r="L768" i="1"/>
  <c r="L769" i="1"/>
  <c r="L809" i="1"/>
  <c r="L810" i="1"/>
  <c r="L770" i="1"/>
  <c r="L771" i="1"/>
  <c r="L772" i="1"/>
  <c r="L844" i="1"/>
  <c r="L873" i="1"/>
  <c r="L874" i="1"/>
  <c r="L875" i="1"/>
  <c r="L876" i="1"/>
  <c r="L845" i="1"/>
  <c r="L877" i="1"/>
  <c r="L773" i="1"/>
  <c r="L811" i="1"/>
  <c r="L774" i="1"/>
  <c r="L878" i="1"/>
  <c r="L775" i="1"/>
  <c r="L776" i="1"/>
  <c r="L846" i="1"/>
  <c r="L847" i="1"/>
  <c r="L812" i="1"/>
  <c r="L879" i="1"/>
  <c r="L777" i="1"/>
  <c r="L778" i="1"/>
  <c r="L848" i="1"/>
  <c r="L849" i="1"/>
  <c r="L850" i="1"/>
  <c r="L813" i="1"/>
  <c r="L880" i="1"/>
  <c r="L851" i="1"/>
  <c r="L814" i="1"/>
  <c r="L779" i="1"/>
  <c r="L852" i="1"/>
  <c r="L815" i="1"/>
  <c r="L780" i="1"/>
  <c r="L816" i="1"/>
  <c r="L781" i="1"/>
  <c r="L782" i="1"/>
  <c r="L881" i="1"/>
  <c r="L783" i="1"/>
  <c r="L853" i="1"/>
  <c r="L817" i="1"/>
  <c r="L882" i="1"/>
  <c r="L784" i="1"/>
  <c r="L818" i="1"/>
  <c r="L819" i="1"/>
  <c r="L785" i="1"/>
  <c r="L820" i="1"/>
  <c r="L854" i="1"/>
  <c r="L821" i="1"/>
  <c r="L855" i="1"/>
  <c r="L786" i="1"/>
  <c r="L822" i="1"/>
  <c r="L919" i="1"/>
  <c r="L984" i="1"/>
  <c r="L952" i="1"/>
  <c r="L953" i="1"/>
  <c r="L886" i="1"/>
  <c r="L920" i="1"/>
  <c r="L887" i="1"/>
  <c r="L954" i="1"/>
  <c r="L955" i="1"/>
  <c r="L888" i="1"/>
  <c r="L889" i="1"/>
  <c r="L890" i="1"/>
  <c r="L891" i="1"/>
  <c r="L956" i="1"/>
  <c r="L957" i="1"/>
  <c r="L921" i="1"/>
  <c r="L892" i="1"/>
  <c r="L922" i="1"/>
  <c r="L958" i="1"/>
  <c r="L923" i="1"/>
  <c r="L959" i="1"/>
  <c r="L893" i="1"/>
  <c r="L924" i="1"/>
  <c r="L985" i="1"/>
  <c r="L925" i="1"/>
  <c r="L960" i="1"/>
  <c r="L926" i="1"/>
  <c r="L894" i="1"/>
  <c r="L927" i="1"/>
  <c r="L986" i="1"/>
  <c r="L961" i="1"/>
  <c r="L928" i="1"/>
  <c r="L895" i="1"/>
  <c r="L929" i="1"/>
  <c r="L896" i="1"/>
  <c r="L987" i="1"/>
  <c r="L988" i="1"/>
  <c r="L962" i="1"/>
  <c r="L930" i="1"/>
  <c r="L897" i="1"/>
  <c r="L989" i="1"/>
  <c r="L963" i="1"/>
  <c r="L990" i="1"/>
  <c r="L991" i="1"/>
  <c r="L992" i="1"/>
  <c r="L993" i="1"/>
  <c r="L964" i="1"/>
  <c r="L898" i="1"/>
  <c r="L931" i="1"/>
  <c r="L932" i="1"/>
  <c r="L994" i="1"/>
  <c r="L995" i="1"/>
  <c r="L933" i="1"/>
  <c r="L899" i="1"/>
  <c r="L996" i="1"/>
  <c r="L965" i="1"/>
  <c r="L997" i="1"/>
  <c r="L966" i="1"/>
  <c r="L934" i="1"/>
  <c r="L998" i="1"/>
  <c r="L999" i="1"/>
  <c r="L900" i="1"/>
  <c r="L967" i="1"/>
  <c r="L968" i="1"/>
  <c r="L1000" i="1"/>
  <c r="L935" i="1"/>
  <c r="L969" i="1"/>
  <c r="L970" i="1"/>
  <c r="L901" i="1"/>
  <c r="L902" i="1"/>
  <c r="L971" i="1"/>
  <c r="L903" i="1"/>
  <c r="L1001" i="1"/>
  <c r="L936" i="1"/>
  <c r="L972" i="1"/>
  <c r="L1002" i="1"/>
  <c r="L973" i="1"/>
  <c r="L974" i="1"/>
  <c r="L904" i="1"/>
  <c r="L905" i="1"/>
  <c r="L1003" i="1"/>
  <c r="L937" i="1"/>
  <c r="L975" i="1"/>
  <c r="L1004" i="1"/>
  <c r="L938" i="1"/>
  <c r="L1005" i="1"/>
  <c r="L1006" i="1"/>
  <c r="L939" i="1"/>
  <c r="L906" i="1"/>
  <c r="L1007" i="1"/>
  <c r="L976" i="1"/>
  <c r="L940" i="1"/>
  <c r="L941" i="1"/>
  <c r="L977" i="1"/>
  <c r="L978" i="1"/>
  <c r="L979" i="1"/>
  <c r="L980" i="1"/>
  <c r="L907" i="1"/>
  <c r="L1008" i="1"/>
  <c r="L942" i="1"/>
  <c r="L943" i="1"/>
  <c r="L944" i="1"/>
  <c r="L945" i="1"/>
  <c r="L908" i="1"/>
  <c r="L909" i="1"/>
  <c r="L910" i="1"/>
  <c r="L1009" i="1"/>
  <c r="L1010" i="1"/>
  <c r="L1011" i="1"/>
  <c r="L946" i="1"/>
  <c r="L1012" i="1"/>
  <c r="L911" i="1"/>
  <c r="L1013" i="1"/>
  <c r="L1014" i="1"/>
  <c r="L947" i="1"/>
  <c r="L912" i="1"/>
  <c r="L948" i="1"/>
  <c r="L949" i="1"/>
  <c r="L981" i="1"/>
  <c r="L982" i="1"/>
  <c r="L913" i="1"/>
  <c r="L914" i="1"/>
  <c r="L1015" i="1"/>
  <c r="L950" i="1"/>
  <c r="L915" i="1"/>
  <c r="L1016" i="1"/>
  <c r="L951" i="1"/>
  <c r="L1017" i="1"/>
  <c r="L916" i="1"/>
  <c r="L983" i="1"/>
  <c r="L917" i="1"/>
  <c r="L918" i="1"/>
  <c r="Q8" i="14" l="1"/>
  <c r="Q8" i="13"/>
  <c r="Q8" i="10"/>
  <c r="Q8" i="9"/>
  <c r="R8" i="8"/>
  <c r="Q8" i="8" l="1"/>
</calcChain>
</file>

<file path=xl/sharedStrings.xml><?xml version="1.0" encoding="utf-8"?>
<sst xmlns="http://schemas.openxmlformats.org/spreadsheetml/2006/main" count="12473" uniqueCount="808">
  <si>
    <t>nigeria_agricultural_exports</t>
  </si>
  <si>
    <t xml:space="preserve"> </t>
  </si>
  <si>
    <t>Product Name</t>
  </si>
  <si>
    <t>Company</t>
  </si>
  <si>
    <t>Export Country</t>
  </si>
  <si>
    <t>Date</t>
  </si>
  <si>
    <t>Units Sold</t>
  </si>
  <si>
    <t>unit_price</t>
  </si>
  <si>
    <t>Profit per unit</t>
  </si>
  <si>
    <t>Export Value</t>
  </si>
  <si>
    <t>Destination Port</t>
  </si>
  <si>
    <t>Transportation Mode</t>
  </si>
  <si>
    <t>Year</t>
  </si>
  <si>
    <t>Cashew</t>
  </si>
  <si>
    <t>Greenfield Agro Exporters Nigeria Limited</t>
  </si>
  <si>
    <t>Netherlands</t>
  </si>
  <si>
    <t>10/10/2023</t>
  </si>
  <si>
    <t>Lagos</t>
  </si>
  <si>
    <t>Sea</t>
  </si>
  <si>
    <t>Golden Farms Nigeria Limited</t>
  </si>
  <si>
    <t>11/26/2020</t>
  </si>
  <si>
    <t>12/17/2020</t>
  </si>
  <si>
    <t>Port Harcourt</t>
  </si>
  <si>
    <t>Nigeria Agro Export Company</t>
  </si>
  <si>
    <t>12/17/2023</t>
  </si>
  <si>
    <t>Agriplus Nigeria Limited</t>
  </si>
  <si>
    <t>Denmark</t>
  </si>
  <si>
    <t>6/11/2023</t>
  </si>
  <si>
    <t>Warri</t>
  </si>
  <si>
    <t>6/24/2021</t>
  </si>
  <si>
    <t>Calabar</t>
  </si>
  <si>
    <t>Agro Export Nigeria Ltd</t>
  </si>
  <si>
    <t>8/17/2021</t>
  </si>
  <si>
    <t>8/18/2021</t>
  </si>
  <si>
    <t>9/22/2020</t>
  </si>
  <si>
    <t>Solid Agro Nigeria Limited</t>
  </si>
  <si>
    <t>1/17/2021</t>
  </si>
  <si>
    <t>1/2/2022</t>
  </si>
  <si>
    <t>Nigerian Export Promotion Council (NEPC)</t>
  </si>
  <si>
    <t>1/24/2023</t>
  </si>
  <si>
    <t>1/9/2020</t>
  </si>
  <si>
    <t>10/6/2021</t>
  </si>
  <si>
    <t>11/29/2020</t>
  </si>
  <si>
    <t>Farmgate Nigeria Limited</t>
  </si>
  <si>
    <t>12/23/2021</t>
  </si>
  <si>
    <t>2/24/2021</t>
  </si>
  <si>
    <t>2/9/2023</t>
  </si>
  <si>
    <t>3/13/2022</t>
  </si>
  <si>
    <t>5/10/2020</t>
  </si>
  <si>
    <t>5/22/2022</t>
  </si>
  <si>
    <t>7/12/2020</t>
  </si>
  <si>
    <t>8/26/2022</t>
  </si>
  <si>
    <t>8/29/2023</t>
  </si>
  <si>
    <t>Sweden</t>
  </si>
  <si>
    <t>1/12/2022</t>
  </si>
  <si>
    <t>10/13/2022</t>
  </si>
  <si>
    <t>11/6/2020</t>
  </si>
  <si>
    <t>Agro Allied Exporters Nigeria Limited</t>
  </si>
  <si>
    <t>12/29/2023</t>
  </si>
  <si>
    <t>12/30/2023</t>
  </si>
  <si>
    <t>3/10/2022</t>
  </si>
  <si>
    <t>3/10/2023</t>
  </si>
  <si>
    <t>3/27/2022</t>
  </si>
  <si>
    <t>3/3/2022</t>
  </si>
  <si>
    <t>4/19/2020</t>
  </si>
  <si>
    <t>7/1/2021</t>
  </si>
  <si>
    <t>7/18/2021</t>
  </si>
  <si>
    <t>8/6/2021</t>
  </si>
  <si>
    <t>France</t>
  </si>
  <si>
    <t>9/7/2021</t>
  </si>
  <si>
    <t>Belgium</t>
  </si>
  <si>
    <t>1/15/2023</t>
  </si>
  <si>
    <t>1/31/2023</t>
  </si>
  <si>
    <t>10/25/2021</t>
  </si>
  <si>
    <t>11/16/2021</t>
  </si>
  <si>
    <t>12/22/2022</t>
  </si>
  <si>
    <t>2/7/2023</t>
  </si>
  <si>
    <t>2/8/2021</t>
  </si>
  <si>
    <t>3/31/2020</t>
  </si>
  <si>
    <t>Prime Agro Exports Nigeria Limited</t>
  </si>
  <si>
    <t>4/14/2022</t>
  </si>
  <si>
    <t>4/24/2022</t>
  </si>
  <si>
    <t>5/14/2021</t>
  </si>
  <si>
    <t>5/28/2023</t>
  </si>
  <si>
    <t>6/30/2021</t>
  </si>
  <si>
    <t>7/8/2020</t>
  </si>
  <si>
    <t>8/14/2022</t>
  </si>
  <si>
    <t>9/16/2020</t>
  </si>
  <si>
    <t>9/9/2023</t>
  </si>
  <si>
    <t>Austria</t>
  </si>
  <si>
    <t>1/9/2023</t>
  </si>
  <si>
    <t>10/24/2020</t>
  </si>
  <si>
    <t>10/4/2021</t>
  </si>
  <si>
    <t>11/24/2022</t>
  </si>
  <si>
    <t>11/6/2021</t>
  </si>
  <si>
    <t>2/25/2022</t>
  </si>
  <si>
    <t>2/26/2022</t>
  </si>
  <si>
    <t>3/26/2022</t>
  </si>
  <si>
    <t>4/21/2021</t>
  </si>
  <si>
    <t>4/5/2022</t>
  </si>
  <si>
    <t>5/17/2022</t>
  </si>
  <si>
    <t>5/27/2023</t>
  </si>
  <si>
    <t>6/21/2023</t>
  </si>
  <si>
    <t>6/29/2020</t>
  </si>
  <si>
    <t>7/5/2021</t>
  </si>
  <si>
    <t>9/11/2020</t>
  </si>
  <si>
    <t>9/9/2022</t>
  </si>
  <si>
    <t>Italy</t>
  </si>
  <si>
    <t>12/28/2021</t>
  </si>
  <si>
    <t>3/13/2020</t>
  </si>
  <si>
    <t>3/4/2020</t>
  </si>
  <si>
    <t>4/1/2021</t>
  </si>
  <si>
    <t>4/13/2022</t>
  </si>
  <si>
    <t>4/8/2022</t>
  </si>
  <si>
    <t>Germany</t>
  </si>
  <si>
    <t>5/25/2021</t>
  </si>
  <si>
    <t>5/29/2021</t>
  </si>
  <si>
    <t>8/6/2020</t>
  </si>
  <si>
    <t>9/22/2023</t>
  </si>
  <si>
    <t>9/5/2020</t>
  </si>
  <si>
    <t>1/11/2020</t>
  </si>
  <si>
    <t>1/3/2022</t>
  </si>
  <si>
    <t>1/5/2022</t>
  </si>
  <si>
    <t>11/11/2023</t>
  </si>
  <si>
    <t>11/8/2020</t>
  </si>
  <si>
    <t>11/9/2020</t>
  </si>
  <si>
    <t>12/15/2021</t>
  </si>
  <si>
    <t>12/24/2021</t>
  </si>
  <si>
    <t>12/25/2021</t>
  </si>
  <si>
    <t>12/3/2022</t>
  </si>
  <si>
    <t>4/12/2021</t>
  </si>
  <si>
    <t>4/21/2020</t>
  </si>
  <si>
    <t>5/9/2023</t>
  </si>
  <si>
    <t>7/18/2020</t>
  </si>
  <si>
    <t>7/22/2022</t>
  </si>
  <si>
    <t>7/28/2022</t>
  </si>
  <si>
    <t>7/6/2020</t>
  </si>
  <si>
    <t>8/8/2020</t>
  </si>
  <si>
    <t>8/8/2021</t>
  </si>
  <si>
    <t>Spain</t>
  </si>
  <si>
    <t>1/19/2022</t>
  </si>
  <si>
    <t>10/20/2022</t>
  </si>
  <si>
    <t>12/20/2023</t>
  </si>
  <si>
    <t>12/3/2020</t>
  </si>
  <si>
    <t>12/4/2023</t>
  </si>
  <si>
    <t>2/12/2021</t>
  </si>
  <si>
    <t>3/1/2021</t>
  </si>
  <si>
    <t>6/1/2023</t>
  </si>
  <si>
    <t>7/17/2021</t>
  </si>
  <si>
    <t>7/20/2022</t>
  </si>
  <si>
    <t>7/3/2020</t>
  </si>
  <si>
    <t>9/1/2020</t>
  </si>
  <si>
    <t>9/3/2020</t>
  </si>
  <si>
    <t>Switzerland</t>
  </si>
  <si>
    <t>1/27/2021</t>
  </si>
  <si>
    <t>10/5/2021</t>
  </si>
  <si>
    <t>11/1/2020</t>
  </si>
  <si>
    <t>11/21/2020</t>
  </si>
  <si>
    <t>11/29/2022</t>
  </si>
  <si>
    <t>12/7/2020</t>
  </si>
  <si>
    <t>3/17/2021</t>
  </si>
  <si>
    <t>5/23/2023</t>
  </si>
  <si>
    <t>5/25/2020</t>
  </si>
  <si>
    <t>5/3/2023</t>
  </si>
  <si>
    <t>5/30/2020</t>
  </si>
  <si>
    <t>6/17/2021</t>
  </si>
  <si>
    <t>6/26/2021</t>
  </si>
  <si>
    <t>9/4/2021</t>
  </si>
  <si>
    <t>2/8/2023</t>
  </si>
  <si>
    <t>3/31/2023</t>
  </si>
  <si>
    <t>3/5/2023</t>
  </si>
  <si>
    <t>6/18/2021</t>
  </si>
  <si>
    <t>6/28/2020</t>
  </si>
  <si>
    <t>9/13/2022</t>
  </si>
  <si>
    <t>Cassava</t>
  </si>
  <si>
    <t>10/14/2020</t>
  </si>
  <si>
    <t>10/8/2020</t>
  </si>
  <si>
    <t>11/30/2022</t>
  </si>
  <si>
    <t>12/18/2022</t>
  </si>
  <si>
    <t>2/13/2020</t>
  </si>
  <si>
    <t>2/13/2022</t>
  </si>
  <si>
    <t>3/16/2021</t>
  </si>
  <si>
    <t>3/16/2022</t>
  </si>
  <si>
    <t>3/29/2022</t>
  </si>
  <si>
    <t>3/9/2022</t>
  </si>
  <si>
    <t>3/9/2023</t>
  </si>
  <si>
    <t>5/2/2022</t>
  </si>
  <si>
    <t>6/23/2021</t>
  </si>
  <si>
    <t>6/9/2021</t>
  </si>
  <si>
    <t>7/2/2020</t>
  </si>
  <si>
    <t>7/27/2022</t>
  </si>
  <si>
    <t>8/21/2023</t>
  </si>
  <si>
    <t>8/25/2022</t>
  </si>
  <si>
    <t>11/28/2023</t>
  </si>
  <si>
    <t>12/27/2021</t>
  </si>
  <si>
    <t>12/3/2023</t>
  </si>
  <si>
    <t>12/6/2021</t>
  </si>
  <si>
    <t>4/15/2023</t>
  </si>
  <si>
    <t>4/26/2020</t>
  </si>
  <si>
    <t>8/5/2022</t>
  </si>
  <si>
    <t>10/14/2023</t>
  </si>
  <si>
    <t>10/24/2023</t>
  </si>
  <si>
    <t>11/8/2022</t>
  </si>
  <si>
    <t>12/23/2020</t>
  </si>
  <si>
    <t>2/1/2022</t>
  </si>
  <si>
    <t>3/14/2021</t>
  </si>
  <si>
    <t>4/11/2023</t>
  </si>
  <si>
    <t>4/19/2021</t>
  </si>
  <si>
    <t>4/2/2021</t>
  </si>
  <si>
    <t>4/26/2022</t>
  </si>
  <si>
    <t>6/1/2021</t>
  </si>
  <si>
    <t>7/24/2023</t>
  </si>
  <si>
    <t>7/25/2020</t>
  </si>
  <si>
    <t>7/26/2022</t>
  </si>
  <si>
    <t>8/9/2020</t>
  </si>
  <si>
    <t>9/29/2022</t>
  </si>
  <si>
    <t>9/8/2023</t>
  </si>
  <si>
    <t>11/13/2020</t>
  </si>
  <si>
    <t>3/26/2020</t>
  </si>
  <si>
    <t>3/4/2022</t>
  </si>
  <si>
    <t>5/15/2023</t>
  </si>
  <si>
    <t>6/4/2023</t>
  </si>
  <si>
    <t>8/11/2020</t>
  </si>
  <si>
    <t>9/10/2023</t>
  </si>
  <si>
    <t>9/22/2022</t>
  </si>
  <si>
    <t>1/20/2021</t>
  </si>
  <si>
    <t>12/1/2023</t>
  </si>
  <si>
    <t>2/21/2020</t>
  </si>
  <si>
    <t>3/15/2022</t>
  </si>
  <si>
    <t>6/26/2020</t>
  </si>
  <si>
    <t>8/29/2021</t>
  </si>
  <si>
    <t>10/15/2021</t>
  </si>
  <si>
    <t>11/22/2023</t>
  </si>
  <si>
    <t>11/4/2023</t>
  </si>
  <si>
    <t>12/21/2021</t>
  </si>
  <si>
    <t>4/14/2023</t>
  </si>
  <si>
    <t>5/13/2020</t>
  </si>
  <si>
    <t>9/10/2022</t>
  </si>
  <si>
    <t>10/11/2022</t>
  </si>
  <si>
    <t>11/26/2023</t>
  </si>
  <si>
    <t>12/23/2022</t>
  </si>
  <si>
    <t>3/26/2021</t>
  </si>
  <si>
    <t>5/18/2021</t>
  </si>
  <si>
    <t>6/8/2021</t>
  </si>
  <si>
    <t>7/16/2021</t>
  </si>
  <si>
    <t>8/27/2023</t>
  </si>
  <si>
    <t>9/10/2020</t>
  </si>
  <si>
    <t>9/20/2023</t>
  </si>
  <si>
    <t>10/1/2022</t>
  </si>
  <si>
    <t>10/4/2022</t>
  </si>
  <si>
    <t>10/7/2020</t>
  </si>
  <si>
    <t>10/9/2022</t>
  </si>
  <si>
    <t>11/30/2020</t>
  </si>
  <si>
    <t>12/16/2022</t>
  </si>
  <si>
    <t>2/5/2020</t>
  </si>
  <si>
    <t>3/13/2021</t>
  </si>
  <si>
    <t>4/30/2021</t>
  </si>
  <si>
    <t>6/21/2020</t>
  </si>
  <si>
    <t>6/28/2023</t>
  </si>
  <si>
    <t>6/30/2023</t>
  </si>
  <si>
    <t>8/10/2020</t>
  </si>
  <si>
    <t>1/13/2023</t>
  </si>
  <si>
    <t>11/12/2023</t>
  </si>
  <si>
    <t>3/20/2020</t>
  </si>
  <si>
    <t>5/2/2020</t>
  </si>
  <si>
    <t>5/9/2022</t>
  </si>
  <si>
    <t>6/3/2022</t>
  </si>
  <si>
    <t>9/20/2021</t>
  </si>
  <si>
    <t>12/20/2021</t>
  </si>
  <si>
    <t>2/17/2023</t>
  </si>
  <si>
    <t>2/6/2021</t>
  </si>
  <si>
    <t>3/23/2022</t>
  </si>
  <si>
    <t>4/17/2020</t>
  </si>
  <si>
    <t>4/7/2020</t>
  </si>
  <si>
    <t>6/4/2020</t>
  </si>
  <si>
    <t>7/22/2021</t>
  </si>
  <si>
    <t>9/12/2022</t>
  </si>
  <si>
    <t>Cocoa</t>
  </si>
  <si>
    <t>10/14/2022</t>
  </si>
  <si>
    <t>12/10/2022</t>
  </si>
  <si>
    <t>2/18/2023</t>
  </si>
  <si>
    <t>2/21/2023</t>
  </si>
  <si>
    <t>2/3/2020</t>
  </si>
  <si>
    <t>3/23/2021</t>
  </si>
  <si>
    <t>3/30/2020</t>
  </si>
  <si>
    <t>5/19/2021</t>
  </si>
  <si>
    <t>6/14/2020</t>
  </si>
  <si>
    <t>6/2/2022</t>
  </si>
  <si>
    <t>6/3/2021</t>
  </si>
  <si>
    <t>6/7/2023</t>
  </si>
  <si>
    <t>6/9/2022</t>
  </si>
  <si>
    <t>7/16/2022</t>
  </si>
  <si>
    <t>7/18/2023</t>
  </si>
  <si>
    <t>8/18/2020</t>
  </si>
  <si>
    <t>9/15/2023</t>
  </si>
  <si>
    <t>9/26/2023</t>
  </si>
  <si>
    <t>9/6/2022</t>
  </si>
  <si>
    <t>10/23/2023</t>
  </si>
  <si>
    <t>12/15/2022</t>
  </si>
  <si>
    <t>12/23/2023</t>
  </si>
  <si>
    <t>12/24/2020</t>
  </si>
  <si>
    <t>2/23/2023</t>
  </si>
  <si>
    <t>2/6/2022</t>
  </si>
  <si>
    <t>4/15/2021</t>
  </si>
  <si>
    <t>6/13/2022</t>
  </si>
  <si>
    <t>7/19/2020</t>
  </si>
  <si>
    <t>7/2/2022</t>
  </si>
  <si>
    <t>8/21/2022</t>
  </si>
  <si>
    <t>8/7/2021</t>
  </si>
  <si>
    <t>11/25/2022</t>
  </si>
  <si>
    <t>2/12/2022</t>
  </si>
  <si>
    <t>2/16/2022</t>
  </si>
  <si>
    <t>3/24/2021</t>
  </si>
  <si>
    <t>4/1/2023</t>
  </si>
  <si>
    <t>6/7/2022</t>
  </si>
  <si>
    <t>8/17/2023</t>
  </si>
  <si>
    <t>8/18/2022</t>
  </si>
  <si>
    <t>1/18/2023</t>
  </si>
  <si>
    <t>10/12/2023</t>
  </si>
  <si>
    <t>10/2/2021</t>
  </si>
  <si>
    <t>2/26/2021</t>
  </si>
  <si>
    <t>2/5/2023</t>
  </si>
  <si>
    <t>2/7/2022</t>
  </si>
  <si>
    <t>3/20/2023</t>
  </si>
  <si>
    <t>4/29/2022</t>
  </si>
  <si>
    <t>4/5/2020</t>
  </si>
  <si>
    <t>5/26/2022</t>
  </si>
  <si>
    <t>9/18/2022</t>
  </si>
  <si>
    <t>1/12/2023</t>
  </si>
  <si>
    <t>1/20/2023</t>
  </si>
  <si>
    <t>1/5/2023</t>
  </si>
  <si>
    <t>10/1/2021</t>
  </si>
  <si>
    <t>2/24/2023</t>
  </si>
  <si>
    <t>4/24/2020</t>
  </si>
  <si>
    <t>5/26/2020</t>
  </si>
  <si>
    <t>5/31/2020</t>
  </si>
  <si>
    <t>6/30/2020</t>
  </si>
  <si>
    <t>7/29/2020</t>
  </si>
  <si>
    <t>9/2/2020</t>
  </si>
  <si>
    <t>10/29/2020</t>
  </si>
  <si>
    <t>11/30/2023</t>
  </si>
  <si>
    <t>11/4/2021</t>
  </si>
  <si>
    <t>11/8/2021</t>
  </si>
  <si>
    <t>12/9/2023</t>
  </si>
  <si>
    <t>3/17/2022</t>
  </si>
  <si>
    <t>3/18/2021</t>
  </si>
  <si>
    <t>3/19/2021</t>
  </si>
  <si>
    <t>3/31/2021</t>
  </si>
  <si>
    <t>3/5/2022</t>
  </si>
  <si>
    <t>5/27/2021</t>
  </si>
  <si>
    <t>7/18/2022</t>
  </si>
  <si>
    <t>7/7/2022</t>
  </si>
  <si>
    <t>8/10/2022</t>
  </si>
  <si>
    <t>8/11/2023</t>
  </si>
  <si>
    <t>8/31/2021</t>
  </si>
  <si>
    <t>1/9/2022</t>
  </si>
  <si>
    <t>11/11/2020</t>
  </si>
  <si>
    <t>3/27/2020</t>
  </si>
  <si>
    <t>3/4/2023</t>
  </si>
  <si>
    <t>7/2/2021</t>
  </si>
  <si>
    <t>7/29/2023</t>
  </si>
  <si>
    <t>7/7/2021</t>
  </si>
  <si>
    <t>8/17/2020</t>
  </si>
  <si>
    <t>8/31/2020</t>
  </si>
  <si>
    <t>9/21/2023</t>
  </si>
  <si>
    <t>1/16/2020</t>
  </si>
  <si>
    <t>12/13/2021</t>
  </si>
  <si>
    <t>12/14/2020</t>
  </si>
  <si>
    <t>12/31/2021</t>
  </si>
  <si>
    <t>4/10/2020</t>
  </si>
  <si>
    <t>4/20/2020</t>
  </si>
  <si>
    <t>6/16/2023</t>
  </si>
  <si>
    <t>7/14/2020</t>
  </si>
  <si>
    <t>7/31/2020</t>
  </si>
  <si>
    <t>8/23/2023</t>
  </si>
  <si>
    <t>1/21/2023</t>
  </si>
  <si>
    <t>1/24/2020</t>
  </si>
  <si>
    <t>1/6/2020</t>
  </si>
  <si>
    <t>11/25/2023</t>
  </si>
  <si>
    <t>12/14/2021</t>
  </si>
  <si>
    <t>12/16/2020</t>
  </si>
  <si>
    <t>12/6/2022</t>
  </si>
  <si>
    <t>2/15/2021</t>
  </si>
  <si>
    <t>3/7/2022</t>
  </si>
  <si>
    <t>8/23/2022</t>
  </si>
  <si>
    <t>9/16/2023</t>
  </si>
  <si>
    <t>11/16/2023</t>
  </si>
  <si>
    <t>11/20/2023</t>
  </si>
  <si>
    <t>3/7/2021</t>
  </si>
  <si>
    <t>Ginger</t>
  </si>
  <si>
    <t>1/10/2023</t>
  </si>
  <si>
    <t>1/8/2020</t>
  </si>
  <si>
    <t>10/15/2020</t>
  </si>
  <si>
    <t>11/18/2023</t>
  </si>
  <si>
    <t>6/21/2021</t>
  </si>
  <si>
    <t>1/21/2022</t>
  </si>
  <si>
    <t>1/27/2022</t>
  </si>
  <si>
    <t>1/29/2021</t>
  </si>
  <si>
    <t>12/30/2022</t>
  </si>
  <si>
    <t>3/25/2020</t>
  </si>
  <si>
    <t>5/10/2021</t>
  </si>
  <si>
    <t>6/13/2020</t>
  </si>
  <si>
    <t>6/16/2020</t>
  </si>
  <si>
    <t>7/10/2023</t>
  </si>
  <si>
    <t>9/7/2023</t>
  </si>
  <si>
    <t>1/13/2020</t>
  </si>
  <si>
    <t>11/13/2021</t>
  </si>
  <si>
    <t>12/12/2020</t>
  </si>
  <si>
    <t>4/22/2021</t>
  </si>
  <si>
    <t>4/4/2022</t>
  </si>
  <si>
    <t>5/5/2022</t>
  </si>
  <si>
    <t>5/9/2021</t>
  </si>
  <si>
    <t>6/29/2022</t>
  </si>
  <si>
    <t>7/6/2021</t>
  </si>
  <si>
    <t>1/28/2023</t>
  </si>
  <si>
    <t>12/30/2021</t>
  </si>
  <si>
    <t>2/2/2022</t>
  </si>
  <si>
    <t>2/7/2021</t>
  </si>
  <si>
    <t>7/30/2023</t>
  </si>
  <si>
    <t>10/17/2023</t>
  </si>
  <si>
    <t>11/22/2022</t>
  </si>
  <si>
    <t>11/24/2021</t>
  </si>
  <si>
    <t>11/4/2022</t>
  </si>
  <si>
    <t>12/2/2020</t>
  </si>
  <si>
    <t>12/25/2020</t>
  </si>
  <si>
    <t>12/9/2022</t>
  </si>
  <si>
    <t>3/5/2020</t>
  </si>
  <si>
    <t>4/17/2022</t>
  </si>
  <si>
    <t>7/13/2021</t>
  </si>
  <si>
    <t>10/31/2023</t>
  </si>
  <si>
    <t>11/2/2021</t>
  </si>
  <si>
    <t>4/2/2023</t>
  </si>
  <si>
    <t>4/23/2020</t>
  </si>
  <si>
    <t>5/21/2023</t>
  </si>
  <si>
    <t>5/8/2022</t>
  </si>
  <si>
    <t>9/2/2022</t>
  </si>
  <si>
    <t>10/29/2023</t>
  </si>
  <si>
    <t>10/7/2023</t>
  </si>
  <si>
    <t>11/5/2021</t>
  </si>
  <si>
    <t>12/14/2023</t>
  </si>
  <si>
    <t>2/8/2020</t>
  </si>
  <si>
    <t>4/15/2020</t>
  </si>
  <si>
    <t>5/15/2021</t>
  </si>
  <si>
    <t>5/4/2022</t>
  </si>
  <si>
    <t>7/17/2020</t>
  </si>
  <si>
    <t>7/23/2020</t>
  </si>
  <si>
    <t>4/5/2023</t>
  </si>
  <si>
    <t>5/6/2021</t>
  </si>
  <si>
    <t>6/13/2023</t>
  </si>
  <si>
    <t>7/30/2021</t>
  </si>
  <si>
    <t>10/6/2022</t>
  </si>
  <si>
    <t>2/21/2022</t>
  </si>
  <si>
    <t>5/30/2022</t>
  </si>
  <si>
    <t>6/2/2020</t>
  </si>
  <si>
    <t>1/28/2021</t>
  </si>
  <si>
    <t>12/15/2020</t>
  </si>
  <si>
    <t>12/24/2023</t>
  </si>
  <si>
    <t>2/2/2023</t>
  </si>
  <si>
    <t>3/24/2022</t>
  </si>
  <si>
    <t>4/30/2023</t>
  </si>
  <si>
    <t>9/25/2023</t>
  </si>
  <si>
    <t>Palm Oil</t>
  </si>
  <si>
    <t>1/8/2021</t>
  </si>
  <si>
    <t>11/7/2022</t>
  </si>
  <si>
    <t>12/19/2022</t>
  </si>
  <si>
    <t>12/5/2021</t>
  </si>
  <si>
    <t>4/6/2023</t>
  </si>
  <si>
    <t>7/24/2021</t>
  </si>
  <si>
    <t>8/26/2023</t>
  </si>
  <si>
    <t>1/30/2020</t>
  </si>
  <si>
    <t>10/27/2021</t>
  </si>
  <si>
    <t>10/9/2021</t>
  </si>
  <si>
    <t>11/18/2020</t>
  </si>
  <si>
    <t>2/18/2020</t>
  </si>
  <si>
    <t>5/20/2020</t>
  </si>
  <si>
    <t>5/28/2021</t>
  </si>
  <si>
    <t>7/13/2022</t>
  </si>
  <si>
    <t>8/12/2020</t>
  </si>
  <si>
    <t>8/4/2020</t>
  </si>
  <si>
    <t>9/10/2021</t>
  </si>
  <si>
    <t>11/17/2023</t>
  </si>
  <si>
    <t>11/7/2021</t>
  </si>
  <si>
    <t>6/5/2023</t>
  </si>
  <si>
    <t>7/20/2020</t>
  </si>
  <si>
    <t>7/4/2023</t>
  </si>
  <si>
    <t>7/9/2022</t>
  </si>
  <si>
    <t>8/24/2022</t>
  </si>
  <si>
    <t>9/4/2020</t>
  </si>
  <si>
    <t>1/8/2023</t>
  </si>
  <si>
    <t>2/13/2021</t>
  </si>
  <si>
    <t>2/20/2020</t>
  </si>
  <si>
    <t>3/12/2022</t>
  </si>
  <si>
    <t>3/21/2021</t>
  </si>
  <si>
    <t>3/3/2021</t>
  </si>
  <si>
    <t>7/26/2020</t>
  </si>
  <si>
    <t>7/3/2023</t>
  </si>
  <si>
    <t>8/15/2022</t>
  </si>
  <si>
    <t>10/10/2021</t>
  </si>
  <si>
    <t>11/16/2022</t>
  </si>
  <si>
    <t>11/20/2021</t>
  </si>
  <si>
    <t>2/12/2023</t>
  </si>
  <si>
    <t>3/30/2023</t>
  </si>
  <si>
    <t>4/13/2021</t>
  </si>
  <si>
    <t>4/4/2023</t>
  </si>
  <si>
    <t>5/7/2023</t>
  </si>
  <si>
    <t>7/30/2022</t>
  </si>
  <si>
    <t>8/1/2023</t>
  </si>
  <si>
    <t>8/20/2023</t>
  </si>
  <si>
    <t>8/3/2022</t>
  </si>
  <si>
    <t>1/20/2020</t>
  </si>
  <si>
    <t>10/24/2022</t>
  </si>
  <si>
    <t>11/10/2020</t>
  </si>
  <si>
    <t>11/27/2020</t>
  </si>
  <si>
    <t>2/15/2020</t>
  </si>
  <si>
    <t>2/18/2021</t>
  </si>
  <si>
    <t>3/29/2021</t>
  </si>
  <si>
    <t>4/3/2020</t>
  </si>
  <si>
    <t>5/2/2021</t>
  </si>
  <si>
    <t>8/30/2023</t>
  </si>
  <si>
    <t>10/19/2020</t>
  </si>
  <si>
    <t>10/28/2022</t>
  </si>
  <si>
    <t>10/7/2021</t>
  </si>
  <si>
    <t>3/17/2020</t>
  </si>
  <si>
    <t>3/3/2023</t>
  </si>
  <si>
    <t>4/25/2021</t>
  </si>
  <si>
    <t>4/28/2021</t>
  </si>
  <si>
    <t>5/19/2022</t>
  </si>
  <si>
    <t>1/10/2022</t>
  </si>
  <si>
    <t>1/7/2020</t>
  </si>
  <si>
    <t>1/8/2022</t>
  </si>
  <si>
    <t>11/14/2021</t>
  </si>
  <si>
    <t>11/30/2021</t>
  </si>
  <si>
    <t>12/13/2020</t>
  </si>
  <si>
    <t>12/15/2023</t>
  </si>
  <si>
    <t>2/8/2022</t>
  </si>
  <si>
    <t>7/15/2020</t>
  </si>
  <si>
    <t>7/31/2021</t>
  </si>
  <si>
    <t>7/31/2023</t>
  </si>
  <si>
    <t>10/9/2020</t>
  </si>
  <si>
    <t>11/1/2023</t>
  </si>
  <si>
    <t>11/2/2020</t>
  </si>
  <si>
    <t>2/19/2022</t>
  </si>
  <si>
    <t>2/26/2023</t>
  </si>
  <si>
    <t>2/27/2021</t>
  </si>
  <si>
    <t>6/14/2023</t>
  </si>
  <si>
    <t>8/19/2021</t>
  </si>
  <si>
    <t>9/6/2023</t>
  </si>
  <si>
    <t>1/5/2020</t>
  </si>
  <si>
    <t>4/10/2023</t>
  </si>
  <si>
    <t>5/4/2020</t>
  </si>
  <si>
    <t>8/5/2021</t>
  </si>
  <si>
    <t>Plantain</t>
  </si>
  <si>
    <t>10/13/2023</t>
  </si>
  <si>
    <t>10/31/2021</t>
  </si>
  <si>
    <t>12/12/2021</t>
  </si>
  <si>
    <t>2/20/2021</t>
  </si>
  <si>
    <t>2/22/2023</t>
  </si>
  <si>
    <t>3/2/2020</t>
  </si>
  <si>
    <t>3/6/2020</t>
  </si>
  <si>
    <t>4/11/2022</t>
  </si>
  <si>
    <t>4/16/2021</t>
  </si>
  <si>
    <t>5/15/2022</t>
  </si>
  <si>
    <t>5/18/2023</t>
  </si>
  <si>
    <t>6/19/2023</t>
  </si>
  <si>
    <t>6/25/2020</t>
  </si>
  <si>
    <t>8/16/2020</t>
  </si>
  <si>
    <t>10/26/2023</t>
  </si>
  <si>
    <t>10/29/2022</t>
  </si>
  <si>
    <t>4/15/2022</t>
  </si>
  <si>
    <t>5/26/2021</t>
  </si>
  <si>
    <t>6/19/2021</t>
  </si>
  <si>
    <t>6/26/2022</t>
  </si>
  <si>
    <t>7/24/2020</t>
  </si>
  <si>
    <t>8/29/2020</t>
  </si>
  <si>
    <t>10/1/2020</t>
  </si>
  <si>
    <t>10/3/2021</t>
  </si>
  <si>
    <t>11/14/2022</t>
  </si>
  <si>
    <t>12/30/2020</t>
  </si>
  <si>
    <t>3/30/2021</t>
  </si>
  <si>
    <t>7/25/2022</t>
  </si>
  <si>
    <t>2/10/2023</t>
  </si>
  <si>
    <t>2/5/2021</t>
  </si>
  <si>
    <t>5/18/2020</t>
  </si>
  <si>
    <t>6/4/2021</t>
  </si>
  <si>
    <t>6/9/2023</t>
  </si>
  <si>
    <t>7/13/2023</t>
  </si>
  <si>
    <t>7/7/2023</t>
  </si>
  <si>
    <t>8/13/2020</t>
  </si>
  <si>
    <t>1/23/2020</t>
  </si>
  <si>
    <t>10/8/2021</t>
  </si>
  <si>
    <t>11/17/2021</t>
  </si>
  <si>
    <t>12/18/2021</t>
  </si>
  <si>
    <t>4/9/2022</t>
  </si>
  <si>
    <t>5/25/2023</t>
  </si>
  <si>
    <t>6/12/2022</t>
  </si>
  <si>
    <t>6/15/2022</t>
  </si>
  <si>
    <t>8/25/2020</t>
  </si>
  <si>
    <t>9/13/2023</t>
  </si>
  <si>
    <t>11/29/2021</t>
  </si>
  <si>
    <t>3/8/2021</t>
  </si>
  <si>
    <t>6/15/2023</t>
  </si>
  <si>
    <t>6/23/2022</t>
  </si>
  <si>
    <t>8/28/2020</t>
  </si>
  <si>
    <t>8/9/2022</t>
  </si>
  <si>
    <t>9/2/2023</t>
  </si>
  <si>
    <t>9/27/2021</t>
  </si>
  <si>
    <t>12/19/2023</t>
  </si>
  <si>
    <t>3/23/2023</t>
  </si>
  <si>
    <t>3/7/2023</t>
  </si>
  <si>
    <t>4/18/2023</t>
  </si>
  <si>
    <t>5/31/2022</t>
  </si>
  <si>
    <t>11/15/2020</t>
  </si>
  <si>
    <t>12/20/2020</t>
  </si>
  <si>
    <t>12/8/2023</t>
  </si>
  <si>
    <t>3/27/2023</t>
  </si>
  <si>
    <t>6/24/2022</t>
  </si>
  <si>
    <t>8/1/2021</t>
  </si>
  <si>
    <t>8/11/2022</t>
  </si>
  <si>
    <t>1/11/2022</t>
  </si>
  <si>
    <t>11/22/2021</t>
  </si>
  <si>
    <t>2/14/2021</t>
  </si>
  <si>
    <t>2/7/2020</t>
  </si>
  <si>
    <t>3/1/2020</t>
  </si>
  <si>
    <t>4/13/2020</t>
  </si>
  <si>
    <t>5/6/2023</t>
  </si>
  <si>
    <t>7/15/2023</t>
  </si>
  <si>
    <t>8/19/2022</t>
  </si>
  <si>
    <t>10/17/2021</t>
  </si>
  <si>
    <t>12/19/2020</t>
  </si>
  <si>
    <t>2/4/2021</t>
  </si>
  <si>
    <t>2/4/2022</t>
  </si>
  <si>
    <t>2/9/2021</t>
  </si>
  <si>
    <t>Rubber</t>
  </si>
  <si>
    <t>1/7/2023</t>
  </si>
  <si>
    <t>10/13/2021</t>
  </si>
  <si>
    <t>12/10/2020</t>
  </si>
  <si>
    <t>6/17/2022</t>
  </si>
  <si>
    <t>6/2/2023</t>
  </si>
  <si>
    <t>11/1/2021</t>
  </si>
  <si>
    <t>11/25/2021</t>
  </si>
  <si>
    <t>11/9/2023</t>
  </si>
  <si>
    <t>12/31/2022</t>
  </si>
  <si>
    <t>2/11/2022</t>
  </si>
  <si>
    <t>4/14/2020</t>
  </si>
  <si>
    <t>6/30/2022</t>
  </si>
  <si>
    <t>7/12/2021</t>
  </si>
  <si>
    <t>8/4/2021</t>
  </si>
  <si>
    <t>9/30/2020</t>
  </si>
  <si>
    <t>12/19/2021</t>
  </si>
  <si>
    <t>2/22/2022</t>
  </si>
  <si>
    <t>2/28/2020</t>
  </si>
  <si>
    <t>3/25/2023</t>
  </si>
  <si>
    <t>4/3/2023</t>
  </si>
  <si>
    <t>4/6/2021</t>
  </si>
  <si>
    <t>5/2/2023</t>
  </si>
  <si>
    <t>8/1/2022</t>
  </si>
  <si>
    <t>8/11/2021</t>
  </si>
  <si>
    <t>10/3/2022</t>
  </si>
  <si>
    <t>12/28/2023</t>
  </si>
  <si>
    <t>2/28/2022</t>
  </si>
  <si>
    <t>3/6/2021</t>
  </si>
  <si>
    <t>5/10/2022</t>
  </si>
  <si>
    <t>8/10/2021</t>
  </si>
  <si>
    <t>8/15/2023</t>
  </si>
  <si>
    <t>9/5/2023</t>
  </si>
  <si>
    <t>1/25/2023</t>
  </si>
  <si>
    <t>10/3/2023</t>
  </si>
  <si>
    <t>3/26/2023</t>
  </si>
  <si>
    <t>6/25/2021</t>
  </si>
  <si>
    <t>6/27/2021</t>
  </si>
  <si>
    <t>7/25/2021</t>
  </si>
  <si>
    <t>1/19/2020</t>
  </si>
  <si>
    <t>11/20/2020</t>
  </si>
  <si>
    <t>5/13/2021</t>
  </si>
  <si>
    <t>5/31/2021</t>
  </si>
  <si>
    <t>6/11/2020</t>
  </si>
  <si>
    <t>8/4/2023</t>
  </si>
  <si>
    <t>8/6/2023</t>
  </si>
  <si>
    <t>9/24/2023</t>
  </si>
  <si>
    <t>1/28/2022</t>
  </si>
  <si>
    <t>10/2/2023</t>
  </si>
  <si>
    <t>4/30/2020</t>
  </si>
  <si>
    <t>10/20/2020</t>
  </si>
  <si>
    <t>11/16/2020</t>
  </si>
  <si>
    <t>11/17/2022</t>
  </si>
  <si>
    <t>5/3/2020</t>
  </si>
  <si>
    <t>7/26/2021</t>
  </si>
  <si>
    <t>8/13/2023</t>
  </si>
  <si>
    <t>9/28/2022</t>
  </si>
  <si>
    <t>9/3/2021</t>
  </si>
  <si>
    <t>1/14/2020</t>
  </si>
  <si>
    <t>1/14/2022</t>
  </si>
  <si>
    <t>1/25/2021</t>
  </si>
  <si>
    <t>10/14/2021</t>
  </si>
  <si>
    <t>10/2/2020</t>
  </si>
  <si>
    <t>12/31/2020</t>
  </si>
  <si>
    <t>5/25/2022</t>
  </si>
  <si>
    <t>6/10/2021</t>
  </si>
  <si>
    <t>6/18/2023</t>
  </si>
  <si>
    <t>6/3/2020</t>
  </si>
  <si>
    <t>10/12/2021</t>
  </si>
  <si>
    <t>10/20/2021</t>
  </si>
  <si>
    <t>12/27/2020</t>
  </si>
  <si>
    <t>3/20/2021</t>
  </si>
  <si>
    <t>5/6/2022</t>
  </si>
  <si>
    <t>6/8/2020</t>
  </si>
  <si>
    <t>8/14/2021</t>
  </si>
  <si>
    <t>Sesame</t>
  </si>
  <si>
    <t>11/24/2023</t>
  </si>
  <si>
    <t>5/1/2022</t>
  </si>
  <si>
    <t>5/24/2020</t>
  </si>
  <si>
    <t>8/17/2022</t>
  </si>
  <si>
    <t>9/24/2020</t>
  </si>
  <si>
    <t>1/16/2022</t>
  </si>
  <si>
    <t>1/25/2022</t>
  </si>
  <si>
    <t>1/6/2021</t>
  </si>
  <si>
    <t>2/2/2021</t>
  </si>
  <si>
    <t>3/14/2022</t>
  </si>
  <si>
    <t>3/22/2021</t>
  </si>
  <si>
    <t>3/5/2021</t>
  </si>
  <si>
    <t>4/8/2021</t>
  </si>
  <si>
    <t>6/11/2022</t>
  </si>
  <si>
    <t>1/21/2021</t>
  </si>
  <si>
    <t>10/22/2023</t>
  </si>
  <si>
    <t>10/25/2022</t>
  </si>
  <si>
    <t>11/10/2021</t>
  </si>
  <si>
    <t>11/17/2020</t>
  </si>
  <si>
    <t>12/4/2021</t>
  </si>
  <si>
    <t>2/19/2020</t>
  </si>
  <si>
    <t>3/16/2023</t>
  </si>
  <si>
    <t>7/10/2020</t>
  </si>
  <si>
    <t>8/5/2023</t>
  </si>
  <si>
    <t>12/11/2021</t>
  </si>
  <si>
    <t>2/21/2021</t>
  </si>
  <si>
    <t>3/4/2021</t>
  </si>
  <si>
    <t>4/22/2020</t>
  </si>
  <si>
    <t>5/12/2023</t>
  </si>
  <si>
    <t>5/23/2022</t>
  </si>
  <si>
    <t>6/20/2021</t>
  </si>
  <si>
    <t>8/19/2020</t>
  </si>
  <si>
    <t>8/6/2022</t>
  </si>
  <si>
    <t>9/12/2023</t>
  </si>
  <si>
    <t>1/4/2021</t>
  </si>
  <si>
    <t>11/20/2022</t>
  </si>
  <si>
    <t>2/23/2022</t>
  </si>
  <si>
    <t>2/6/2020</t>
  </si>
  <si>
    <t>3/16/2020</t>
  </si>
  <si>
    <t>5/13/2022</t>
  </si>
  <si>
    <t>5/7/2020</t>
  </si>
  <si>
    <t>6/13/2021</t>
  </si>
  <si>
    <t>6/27/2022</t>
  </si>
  <si>
    <t>6/8/2023</t>
  </si>
  <si>
    <t>7/24/2022</t>
  </si>
  <si>
    <t>8/16/2022</t>
  </si>
  <si>
    <t>8/24/2020</t>
  </si>
  <si>
    <t>9/15/2020</t>
  </si>
  <si>
    <t>9/18/2023</t>
  </si>
  <si>
    <t>9/2/2021</t>
  </si>
  <si>
    <t>10/19/2021</t>
  </si>
  <si>
    <t>3/19/2020</t>
  </si>
  <si>
    <t>4/20/2022</t>
  </si>
  <si>
    <t>9/23/2022</t>
  </si>
  <si>
    <t>9/25/2020</t>
  </si>
  <si>
    <t>1/4/2023</t>
  </si>
  <si>
    <t>10/16/2021</t>
  </si>
  <si>
    <t>12/22/2021</t>
  </si>
  <si>
    <t>12/3/2021</t>
  </si>
  <si>
    <t>2/16/2021</t>
  </si>
  <si>
    <t>2/25/2020</t>
  </si>
  <si>
    <t>2/9/2020</t>
  </si>
  <si>
    <t>3/15/2020</t>
  </si>
  <si>
    <t>3/18/2023</t>
  </si>
  <si>
    <t>4/25/2023</t>
  </si>
  <si>
    <t>4/26/2021</t>
  </si>
  <si>
    <t>4/9/2023</t>
  </si>
  <si>
    <t>9/17/2023</t>
  </si>
  <si>
    <t>10/18/2021</t>
  </si>
  <si>
    <t>10/30/2020</t>
  </si>
  <si>
    <t>5/3/2021</t>
  </si>
  <si>
    <t>6/19/2022</t>
  </si>
  <si>
    <t>6/6/2022</t>
  </si>
  <si>
    <t>8/8/2023</t>
  </si>
  <si>
    <t>9/1/2021</t>
  </si>
  <si>
    <t>10/22/2021</t>
  </si>
  <si>
    <t>10/28/2023</t>
  </si>
  <si>
    <t>Sum of Units Sold</t>
  </si>
  <si>
    <t>Column Labels</t>
  </si>
  <si>
    <t>Row Labels</t>
  </si>
  <si>
    <t>(blank)</t>
  </si>
  <si>
    <t>Grand Total</t>
  </si>
  <si>
    <t>Sum of Export Value</t>
  </si>
  <si>
    <t>Sum of unit_price</t>
  </si>
  <si>
    <t>Total export unit</t>
  </si>
  <si>
    <t>Total Profit</t>
  </si>
  <si>
    <t>Total profit</t>
  </si>
  <si>
    <t>Total</t>
  </si>
  <si>
    <t>Sum of Total Profit</t>
  </si>
  <si>
    <t>Average of unit_price</t>
  </si>
  <si>
    <t>Sum of Total profit</t>
  </si>
  <si>
    <t>Average of Units Sold</t>
  </si>
  <si>
    <t>Total Sum of Total Profit</t>
  </si>
  <si>
    <t>Sum of Total Profit2</t>
  </si>
  <si>
    <t>Total Sum of Units Sold</t>
  </si>
  <si>
    <t>Total Sum of Export Value</t>
  </si>
  <si>
    <t>Total Average of unit_price</t>
  </si>
  <si>
    <t>Field9</t>
  </si>
  <si>
    <t>Field11</t>
  </si>
  <si>
    <t>Sum of Field7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</si>
</sst>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0"/>
      <color indexed="8"/>
      <name val="Helvetica Neue"/>
    </font>
    <font>
      <sz val="12"/>
      <color indexed="8"/>
      <name val="Helvetica Neue"/>
      <family val="2"/>
    </font>
    <font>
      <b/>
      <sz val="10"/>
      <color indexed="8"/>
      <name val="Helvetica Neue"/>
      <family val="2"/>
    </font>
    <font>
      <sz val="10"/>
      <color indexed="8"/>
      <name val="Helvetica Neue"/>
      <family val="2"/>
    </font>
    <font>
      <b/>
      <sz val="10"/>
      <color rgb="FF000000"/>
      <name val="Helvetica Neue"/>
      <family val="2"/>
    </font>
    <font>
      <sz val="10"/>
      <color rgb="FF000000"/>
      <name val="Helvetica Neue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3"/>
        <bgColor auto="1"/>
      </patternFill>
    </fill>
    <fill>
      <patternFill patternType="solid">
        <fgColor rgb="FFBDC0BF"/>
        <bgColor rgb="FF000000"/>
      </patternFill>
    </fill>
  </fills>
  <borders count="3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medium">
        <color indexed="8"/>
      </bottom>
      <diagonal/>
    </border>
    <border>
      <left style="thin">
        <color indexed="10"/>
      </left>
      <right style="thin">
        <color indexed="10"/>
      </right>
      <top style="medium">
        <color indexed="8"/>
      </top>
      <bottom style="thin">
        <color indexed="12"/>
      </bottom>
      <diagonal/>
    </border>
    <border>
      <left style="thin">
        <color indexed="10"/>
      </left>
      <right style="thin">
        <color indexed="10"/>
      </right>
      <top style="thin">
        <color indexed="12"/>
      </top>
      <bottom style="thin">
        <color indexed="10"/>
      </bottom>
      <diagonal/>
    </border>
    <border>
      <left style="thin">
        <color indexed="10"/>
      </left>
      <right style="thin">
        <color indexed="12"/>
      </right>
      <top style="thin">
        <color indexed="12"/>
      </top>
      <bottom style="thin">
        <color indexed="10"/>
      </bottom>
      <diagonal/>
    </border>
    <border>
      <left style="thin">
        <color indexed="12"/>
      </left>
      <right style="thin">
        <color indexed="10"/>
      </right>
      <top style="thin">
        <color indexed="12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2"/>
      </right>
      <top style="thin">
        <color indexed="10"/>
      </top>
      <bottom style="thin">
        <color indexed="10"/>
      </bottom>
      <diagonal/>
    </border>
    <border>
      <left style="thin">
        <color indexed="12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2"/>
      </right>
      <top style="thin">
        <color indexed="10"/>
      </top>
      <bottom style="medium">
        <color indexed="8"/>
      </bottom>
      <diagonal/>
    </border>
    <border>
      <left style="thin">
        <color indexed="12"/>
      </left>
      <right style="thin">
        <color indexed="10"/>
      </right>
      <top style="thin">
        <color indexed="10"/>
      </top>
      <bottom style="medium">
        <color indexed="8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/>
      <right/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/>
      <right/>
      <top style="thin">
        <color indexed="65"/>
      </top>
      <bottom/>
      <diagonal/>
    </border>
    <border>
      <left style="thin">
        <color rgb="FF999999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 style="thin">
        <color indexed="10"/>
      </right>
      <top/>
      <bottom/>
      <diagonal/>
    </border>
    <border>
      <left style="thin">
        <color indexed="10"/>
      </left>
      <right/>
      <top/>
      <bottom/>
      <diagonal/>
    </border>
    <border>
      <left/>
      <right style="thin">
        <color indexed="10"/>
      </right>
      <top/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/>
      <right style="thin">
        <color rgb="FF999999"/>
      </right>
      <top style="thin">
        <color indexed="65"/>
      </top>
      <bottom/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A5A5A5"/>
      </left>
      <right style="thin">
        <color rgb="FFA5A5A5"/>
      </right>
      <top style="thin">
        <color rgb="FFA5A5A5"/>
      </top>
      <bottom style="medium">
        <color rgb="FF000000"/>
      </bottom>
      <diagonal/>
    </border>
    <border>
      <left/>
      <right style="thin">
        <color rgb="FFA5A5A5"/>
      </right>
      <top style="thin">
        <color rgb="FFA5A5A5"/>
      </top>
      <bottom style="medium">
        <color rgb="FF000000"/>
      </bottom>
      <diagonal/>
    </border>
    <border>
      <left/>
      <right style="thin">
        <color rgb="FFA5A5A5"/>
      </right>
      <top/>
      <bottom/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95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2" fillId="2" borderId="1" xfId="0" applyNumberFormat="1" applyFont="1" applyFill="1" applyBorder="1" applyAlignment="1">
      <alignment vertical="top"/>
    </xf>
    <xf numFmtId="49" fontId="2" fillId="3" borderId="2" xfId="0" applyNumberFormat="1" applyFont="1" applyFill="1" applyBorder="1" applyAlignment="1">
      <alignment vertical="top"/>
    </xf>
    <xf numFmtId="0" fontId="2" fillId="3" borderId="2" xfId="0" applyFont="1" applyFill="1" applyBorder="1" applyAlignment="1">
      <alignment vertical="top"/>
    </xf>
    <xf numFmtId="0" fontId="2" fillId="4" borderId="3" xfId="0" applyFont="1" applyFill="1" applyBorder="1" applyAlignment="1">
      <alignment vertical="top"/>
    </xf>
    <xf numFmtId="49" fontId="2" fillId="4" borderId="4" xfId="0" applyNumberFormat="1" applyFont="1" applyFill="1" applyBorder="1" applyAlignment="1">
      <alignment vertical="top"/>
    </xf>
    <xf numFmtId="49" fontId="0" fillId="0" borderId="5" xfId="0" applyNumberFormat="1" applyBorder="1" applyAlignment="1">
      <alignment vertical="top"/>
    </xf>
    <xf numFmtId="49" fontId="0" fillId="0" borderId="3" xfId="0" applyNumberFormat="1" applyBorder="1" applyAlignment="1">
      <alignment vertical="top"/>
    </xf>
    <xf numFmtId="0" fontId="0" fillId="0" borderId="3" xfId="0" applyNumberFormat="1" applyBorder="1" applyAlignment="1">
      <alignment vertical="top"/>
    </xf>
    <xf numFmtId="2" fontId="0" fillId="0" borderId="3" xfId="0" applyNumberFormat="1" applyBorder="1" applyAlignment="1">
      <alignment vertical="top"/>
    </xf>
    <xf numFmtId="0" fontId="0" fillId="0" borderId="3" xfId="0" applyBorder="1" applyAlignment="1">
      <alignment vertical="top"/>
    </xf>
    <xf numFmtId="0" fontId="2" fillId="4" borderId="6" xfId="0" applyFont="1" applyFill="1" applyBorder="1" applyAlignment="1">
      <alignment vertical="top"/>
    </xf>
    <xf numFmtId="49" fontId="2" fillId="4" borderId="7" xfId="0" applyNumberFormat="1" applyFont="1" applyFill="1" applyBorder="1" applyAlignment="1">
      <alignment vertical="top"/>
    </xf>
    <xf numFmtId="49" fontId="0" fillId="0" borderId="8" xfId="0" applyNumberFormat="1" applyBorder="1" applyAlignment="1">
      <alignment vertical="top"/>
    </xf>
    <xf numFmtId="49" fontId="0" fillId="0" borderId="6" xfId="0" applyNumberFormat="1" applyBorder="1" applyAlignment="1">
      <alignment vertical="top"/>
    </xf>
    <xf numFmtId="0" fontId="0" fillId="0" borderId="6" xfId="0" applyNumberFormat="1" applyBorder="1" applyAlignment="1">
      <alignment vertical="top"/>
    </xf>
    <xf numFmtId="2" fontId="0" fillId="0" borderId="6" xfId="0" applyNumberFormat="1" applyBorder="1" applyAlignment="1">
      <alignment vertical="top"/>
    </xf>
    <xf numFmtId="0" fontId="0" fillId="0" borderId="6" xfId="0" applyBorder="1" applyAlignment="1">
      <alignment vertical="top"/>
    </xf>
    <xf numFmtId="164" fontId="0" fillId="0" borderId="6" xfId="0" applyNumberFormat="1" applyBorder="1" applyAlignment="1">
      <alignment vertical="top"/>
    </xf>
    <xf numFmtId="0" fontId="2" fillId="4" borderId="1" xfId="0" applyFont="1" applyFill="1" applyBorder="1" applyAlignment="1">
      <alignment vertical="top"/>
    </xf>
    <xf numFmtId="49" fontId="2" fillId="4" borderId="9" xfId="0" applyNumberFormat="1" applyFont="1" applyFill="1" applyBorder="1" applyAlignment="1">
      <alignment vertical="top"/>
    </xf>
    <xf numFmtId="49" fontId="0" fillId="0" borderId="10" xfId="0" applyNumberFormat="1" applyBorder="1" applyAlignment="1">
      <alignment vertical="top"/>
    </xf>
    <xf numFmtId="49" fontId="0" fillId="0" borderId="1" xfId="0" applyNumberFormat="1" applyBorder="1" applyAlignment="1">
      <alignment vertical="top"/>
    </xf>
    <xf numFmtId="0" fontId="0" fillId="0" borderId="1" xfId="0" applyNumberFormat="1" applyBorder="1" applyAlignment="1">
      <alignment vertical="top"/>
    </xf>
    <xf numFmtId="2" fontId="0" fillId="0" borderId="1" xfId="0" applyNumberFormat="1" applyBorder="1" applyAlignment="1">
      <alignment vertical="top"/>
    </xf>
    <xf numFmtId="164" fontId="0" fillId="0" borderId="3" xfId="0" applyNumberFormat="1" applyBorder="1" applyAlignment="1">
      <alignment vertical="top"/>
    </xf>
    <xf numFmtId="164" fontId="0" fillId="0" borderId="1" xfId="0" applyNumberFormat="1" applyBorder="1" applyAlignment="1">
      <alignment vertical="top"/>
    </xf>
    <xf numFmtId="0" fontId="1" fillId="0" borderId="0" xfId="0" applyFont="1" applyAlignment="1">
      <alignment horizontal="center" vertical="center"/>
    </xf>
    <xf numFmtId="0" fontId="2" fillId="4" borderId="2" xfId="0" applyFont="1" applyFill="1" applyBorder="1" applyAlignment="1">
      <alignment vertical="top"/>
    </xf>
    <xf numFmtId="49" fontId="2" fillId="3" borderId="6" xfId="0" applyNumberFormat="1" applyFont="1" applyFill="1" applyBorder="1" applyAlignment="1">
      <alignment vertical="top"/>
    </xf>
    <xf numFmtId="0" fontId="3" fillId="0" borderId="1" xfId="0" applyNumberFormat="1" applyFont="1" applyBorder="1" applyAlignment="1">
      <alignment vertical="top"/>
    </xf>
    <xf numFmtId="0" fontId="0" fillId="0" borderId="11" xfId="0" applyBorder="1">
      <alignment vertical="top" wrapText="1"/>
    </xf>
    <xf numFmtId="0" fontId="0" fillId="0" borderId="12" xfId="0" applyBorder="1">
      <alignment vertical="top" wrapText="1"/>
    </xf>
    <xf numFmtId="0" fontId="0" fillId="0" borderId="13" xfId="0" applyBorder="1">
      <alignment vertical="top" wrapText="1"/>
    </xf>
    <xf numFmtId="0" fontId="0" fillId="0" borderId="14" xfId="0" applyBorder="1">
      <alignment vertical="top" wrapText="1"/>
    </xf>
    <xf numFmtId="0" fontId="0" fillId="0" borderId="11" xfId="0" pivotButton="1" applyBorder="1">
      <alignment vertical="top" wrapText="1"/>
    </xf>
    <xf numFmtId="0" fontId="0" fillId="0" borderId="15" xfId="0" applyBorder="1">
      <alignment vertical="top" wrapText="1"/>
    </xf>
    <xf numFmtId="0" fontId="0" fillId="0" borderId="16" xfId="0" applyBorder="1">
      <alignment vertical="top" wrapText="1"/>
    </xf>
    <xf numFmtId="0" fontId="0" fillId="0" borderId="11" xfId="0" applyBorder="1" applyAlignment="1">
      <alignment horizontal="left" vertical="top" wrapText="1"/>
    </xf>
    <xf numFmtId="0" fontId="0" fillId="0" borderId="11" xfId="0" applyNumberFormat="1" applyBorder="1">
      <alignment vertical="top" wrapText="1"/>
    </xf>
    <xf numFmtId="0" fontId="0" fillId="0" borderId="15" xfId="0" applyNumberFormat="1" applyBorder="1">
      <alignment vertical="top" wrapText="1"/>
    </xf>
    <xf numFmtId="0" fontId="0" fillId="0" borderId="14" xfId="0" applyBorder="1" applyAlignment="1">
      <alignment horizontal="left" vertical="top" wrapText="1"/>
    </xf>
    <xf numFmtId="0" fontId="0" fillId="0" borderId="14" xfId="0" applyNumberFormat="1" applyBorder="1">
      <alignment vertical="top" wrapText="1"/>
    </xf>
    <xf numFmtId="0" fontId="0" fillId="0" borderId="17" xfId="0" applyNumberFormat="1" applyBorder="1">
      <alignment vertical="top" wrapText="1"/>
    </xf>
    <xf numFmtId="0" fontId="0" fillId="0" borderId="18" xfId="0" applyNumberFormat="1" applyBorder="1">
      <alignment vertical="top" wrapText="1"/>
    </xf>
    <xf numFmtId="0" fontId="0" fillId="0" borderId="19" xfId="0" applyBorder="1" applyAlignment="1">
      <alignment horizontal="left" vertical="top" wrapText="1"/>
    </xf>
    <xf numFmtId="0" fontId="0" fillId="0" borderId="19" xfId="0" applyNumberFormat="1" applyBorder="1">
      <alignment vertical="top" wrapText="1"/>
    </xf>
    <xf numFmtId="0" fontId="0" fillId="0" borderId="20" xfId="0" applyNumberFormat="1" applyBorder="1">
      <alignment vertical="top" wrapText="1"/>
    </xf>
    <xf numFmtId="0" fontId="0" fillId="0" borderId="21" xfId="0" applyNumberFormat="1" applyBorder="1">
      <alignment vertical="top" wrapText="1"/>
    </xf>
    <xf numFmtId="0" fontId="2" fillId="4" borderId="22" xfId="0" applyFont="1" applyFill="1" applyBorder="1" applyAlignment="1">
      <alignment vertical="top"/>
    </xf>
    <xf numFmtId="0" fontId="2" fillId="4" borderId="23" xfId="0" applyFont="1" applyFill="1" applyBorder="1" applyAlignment="1">
      <alignment vertical="top"/>
    </xf>
    <xf numFmtId="49" fontId="2" fillId="4" borderId="24" xfId="0" applyNumberFormat="1" applyFont="1" applyFill="1" applyBorder="1" applyAlignment="1">
      <alignment vertical="top"/>
    </xf>
    <xf numFmtId="49" fontId="0" fillId="0" borderId="25" xfId="0" applyNumberFormat="1" applyBorder="1" applyAlignment="1">
      <alignment vertical="top"/>
    </xf>
    <xf numFmtId="49" fontId="0" fillId="0" borderId="23" xfId="0" applyNumberFormat="1" applyBorder="1" applyAlignment="1">
      <alignment vertical="top"/>
    </xf>
    <xf numFmtId="0" fontId="0" fillId="0" borderId="23" xfId="0" applyNumberFormat="1" applyBorder="1" applyAlignment="1">
      <alignment vertical="top"/>
    </xf>
    <xf numFmtId="2" fontId="0" fillId="0" borderId="23" xfId="0" applyNumberFormat="1" applyBorder="1" applyAlignment="1">
      <alignment vertical="top"/>
    </xf>
    <xf numFmtId="164" fontId="0" fillId="0" borderId="23" xfId="0" applyNumberFormat="1" applyBorder="1" applyAlignment="1">
      <alignment vertical="top"/>
    </xf>
    <xf numFmtId="0" fontId="3" fillId="0" borderId="3" xfId="0" applyNumberFormat="1" applyFont="1" applyBorder="1" applyAlignment="1">
      <alignment vertical="top"/>
    </xf>
    <xf numFmtId="0" fontId="0" fillId="0" borderId="26" xfId="0" applyBorder="1">
      <alignment vertical="top" wrapText="1"/>
    </xf>
    <xf numFmtId="0" fontId="0" fillId="0" borderId="26" xfId="0" applyNumberFormat="1" applyBorder="1">
      <alignment vertical="top" wrapText="1"/>
    </xf>
    <xf numFmtId="0" fontId="0" fillId="0" borderId="27" xfId="0" applyNumberFormat="1" applyBorder="1">
      <alignment vertical="top" wrapText="1"/>
    </xf>
    <xf numFmtId="0" fontId="0" fillId="0" borderId="28" xfId="0" applyNumberFormat="1" applyBorder="1">
      <alignment vertical="top" wrapText="1"/>
    </xf>
    <xf numFmtId="0" fontId="0" fillId="0" borderId="14" xfId="0" applyBorder="1" applyAlignment="1">
      <alignment horizontal="left" vertical="top" wrapText="1" indent="1"/>
    </xf>
    <xf numFmtId="49" fontId="2" fillId="2" borderId="23" xfId="0" applyNumberFormat="1" applyFont="1" applyFill="1" applyBorder="1" applyAlignment="1">
      <alignment vertical="top"/>
    </xf>
    <xf numFmtId="49" fontId="2" fillId="2" borderId="24" xfId="0" applyNumberFormat="1" applyFont="1" applyFill="1" applyBorder="1" applyAlignment="1">
      <alignment vertical="top"/>
    </xf>
    <xf numFmtId="49" fontId="2" fillId="2" borderId="25" xfId="0" applyNumberFormat="1" applyFont="1" applyFill="1" applyBorder="1" applyAlignment="1">
      <alignment vertical="top"/>
    </xf>
    <xf numFmtId="0" fontId="3" fillId="0" borderId="23" xfId="0" applyNumberFormat="1" applyFont="1" applyBorder="1" applyAlignment="1">
      <alignment vertical="top"/>
    </xf>
    <xf numFmtId="49" fontId="4" fillId="5" borderId="29" xfId="0" applyNumberFormat="1" applyFont="1" applyFill="1" applyBorder="1" applyAlignment="1">
      <alignment vertical="top"/>
    </xf>
    <xf numFmtId="49" fontId="4" fillId="5" borderId="30" xfId="0" applyNumberFormat="1" applyFont="1" applyFill="1" applyBorder="1" applyAlignment="1">
      <alignment vertical="top"/>
    </xf>
    <xf numFmtId="0" fontId="3" fillId="0" borderId="0" xfId="0" applyFont="1">
      <alignment vertical="top" wrapText="1"/>
    </xf>
    <xf numFmtId="49" fontId="4" fillId="5" borderId="31" xfId="0" applyNumberFormat="1" applyFont="1" applyFill="1" applyBorder="1" applyAlignment="1">
      <alignment vertical="top"/>
    </xf>
    <xf numFmtId="49" fontId="3" fillId="0" borderId="6" xfId="0" applyNumberFormat="1" applyFont="1" applyBorder="1" applyAlignment="1">
      <alignment vertical="top"/>
    </xf>
    <xf numFmtId="0" fontId="5" fillId="0" borderId="0" xfId="0" applyFont="1" applyAlignment="1"/>
    <xf numFmtId="0" fontId="0" fillId="0" borderId="0" xfId="0" applyAlignment="1"/>
    <xf numFmtId="49" fontId="4" fillId="5" borderId="0" xfId="0" applyNumberFormat="1" applyFont="1" applyFill="1" applyBorder="1" applyAlignment="1">
      <alignment vertical="top"/>
    </xf>
    <xf numFmtId="0" fontId="2" fillId="0" borderId="14" xfId="0" applyFont="1" applyBorder="1" applyAlignment="1">
      <alignment horizontal="left" vertical="top" wrapText="1"/>
    </xf>
    <xf numFmtId="0" fontId="2" fillId="0" borderId="14" xfId="0" applyNumberFormat="1" applyFont="1" applyBorder="1">
      <alignment vertical="top" wrapText="1"/>
    </xf>
    <xf numFmtId="0" fontId="2" fillId="0" borderId="17" xfId="0" applyNumberFormat="1" applyFont="1" applyBorder="1">
      <alignment vertical="top" wrapText="1"/>
    </xf>
    <xf numFmtId="0" fontId="2" fillId="0" borderId="27" xfId="0" applyNumberFormat="1" applyFont="1" applyBorder="1">
      <alignment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11" xfId="0" applyNumberFormat="1" applyFont="1" applyBorder="1">
      <alignment vertical="top" wrapText="1"/>
    </xf>
    <xf numFmtId="0" fontId="2" fillId="0" borderId="15" xfId="0" applyNumberFormat="1" applyFont="1" applyBorder="1">
      <alignment vertical="top" wrapText="1"/>
    </xf>
    <xf numFmtId="0" fontId="2" fillId="0" borderId="26" xfId="0" applyNumberFormat="1" applyFont="1" applyBorder="1">
      <alignment vertical="top" wrapText="1"/>
    </xf>
    <xf numFmtId="0" fontId="2" fillId="0" borderId="19" xfId="0" applyFont="1" applyBorder="1" applyAlignment="1">
      <alignment horizontal="left" vertical="top" wrapText="1"/>
    </xf>
    <xf numFmtId="0" fontId="2" fillId="0" borderId="19" xfId="0" applyNumberFormat="1" applyFont="1" applyBorder="1">
      <alignment vertical="top" wrapText="1"/>
    </xf>
    <xf numFmtId="0" fontId="2" fillId="0" borderId="20" xfId="0" applyNumberFormat="1" applyFont="1" applyBorder="1">
      <alignment vertical="top" wrapText="1"/>
    </xf>
    <xf numFmtId="0" fontId="2" fillId="0" borderId="28" xfId="0" applyNumberFormat="1" applyFont="1" applyBorder="1">
      <alignment vertical="top" wrapText="1"/>
    </xf>
    <xf numFmtId="0" fontId="2" fillId="0" borderId="14" xfId="0" applyFont="1" applyBorder="1" applyAlignment="1">
      <alignment horizontal="left" vertical="top" wrapText="1" indent="1"/>
    </xf>
    <xf numFmtId="0" fontId="0" fillId="0" borderId="18" xfId="0" applyBorder="1">
      <alignment vertical="top" wrapText="1"/>
    </xf>
    <xf numFmtId="0" fontId="2" fillId="0" borderId="0" xfId="0" applyFont="1">
      <alignment vertical="top" wrapText="1"/>
    </xf>
    <xf numFmtId="0" fontId="2" fillId="0" borderId="18" xfId="0" applyNumberFormat="1" applyFont="1" applyBorder="1">
      <alignment vertical="top" wrapText="1"/>
    </xf>
    <xf numFmtId="0" fontId="2" fillId="0" borderId="16" xfId="0" applyNumberFormat="1" applyFont="1" applyBorder="1">
      <alignment vertical="top" wrapText="1"/>
    </xf>
    <xf numFmtId="2" fontId="0" fillId="0" borderId="0" xfId="0" applyNumberFormat="1">
      <alignment vertical="top" wrapText="1"/>
    </xf>
    <xf numFmtId="0" fontId="0" fillId="0" borderId="0" xfId="0" pivotButton="1">
      <alignment vertical="top" wrapText="1"/>
    </xf>
  </cellXfs>
  <cellStyles count="1">
    <cellStyle name="Normal" xfId="0" builtinId="0"/>
  </cellStyles>
  <dxfs count="75"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 val="0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</dxfs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D3D3D3"/>
      <rgbColor rgb="FF3F3F3F"/>
      <rgbColor rgb="FFDBDBDB"/>
      <rgbColor rgb="FFFFFF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18" Type="http://schemas.openxmlformats.org/officeDocument/2006/relationships/pivotCacheDefinition" Target="pivotCache/pivotCacheDefinition6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pivotCacheDefinition" Target="pivotCache/pivotCacheDefinition9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5.xml"/><Relationship Id="rId25" Type="http://schemas.openxmlformats.org/officeDocument/2006/relationships/pivotCacheDefinition" Target="pivotCache/pivotCacheDefinition13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4.xml"/><Relationship Id="rId20" Type="http://schemas.openxmlformats.org/officeDocument/2006/relationships/pivotCacheDefinition" Target="pivotCache/pivotCacheDefinition8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ivotCacheDefinition" Target="pivotCache/pivotCacheDefinition12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23" Type="http://schemas.openxmlformats.org/officeDocument/2006/relationships/pivotCacheDefinition" Target="pivotCache/pivotCacheDefinition11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2.xml"/><Relationship Id="rId22" Type="http://schemas.openxmlformats.org/officeDocument/2006/relationships/pivotCacheDefinition" Target="pivotCache/pivotCacheDefinition10.xml"/><Relationship Id="rId27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[nigeria_agricultural_exports numbers.xlsx]Sheet40!PivotTable1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'Field7' by 'Field11' and 'Field9'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Sheet40!$B$2:$B$3</c:f>
              <c:strCache>
                <c:ptCount val="1"/>
                <c:pt idx="0">
                  <c:v>Calabar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Sheet40!$A$4:$A$8</c:f>
              <c:strCache>
                <c:ptCount val="4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</c:strCache>
            </c:strRef>
          </c:cat>
          <c:val>
            <c:numRef>
              <c:f>Sheet40!$B$4:$B$8</c:f>
              <c:numCache>
                <c:formatCode>0.00</c:formatCode>
                <c:ptCount val="4"/>
                <c:pt idx="0">
                  <c:v>19273.879999999997</c:v>
                </c:pt>
                <c:pt idx="1">
                  <c:v>46932.270000000004</c:v>
                </c:pt>
                <c:pt idx="2">
                  <c:v>7986.77</c:v>
                </c:pt>
                <c:pt idx="3">
                  <c:v>19036.190000000002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794-C141-BFD0-20C8B54DEE05}"/>
            </c:ext>
          </c:extLst>
        </c:ser>
        <c:ser>
          <c:idx val="1"/>
          <c:order val="1"/>
          <c:tx>
            <c:strRef>
              <c:f>Sheet40!$C$2:$C$3</c:f>
              <c:strCache>
                <c:ptCount val="1"/>
                <c:pt idx="0">
                  <c:v>Lagos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Sheet40!$A$4:$A$8</c:f>
              <c:strCache>
                <c:ptCount val="4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</c:strCache>
            </c:strRef>
          </c:cat>
          <c:val>
            <c:numRef>
              <c:f>Sheet40!$C$4:$C$8</c:f>
              <c:numCache>
                <c:formatCode>0.00</c:formatCode>
                <c:ptCount val="4"/>
                <c:pt idx="0">
                  <c:v>154675.32000000004</c:v>
                </c:pt>
                <c:pt idx="1">
                  <c:v>193778.34999999998</c:v>
                </c:pt>
                <c:pt idx="2">
                  <c:v>136838.21</c:v>
                </c:pt>
                <c:pt idx="3">
                  <c:v>96547.58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794-C141-BFD0-20C8B54DEE05}"/>
            </c:ext>
          </c:extLst>
        </c:ser>
        <c:ser>
          <c:idx val="2"/>
          <c:order val="2"/>
          <c:tx>
            <c:strRef>
              <c:f>Sheet40!$D$2:$D$3</c:f>
              <c:strCache>
                <c:ptCount val="1"/>
                <c:pt idx="0">
                  <c:v>Port Harcourt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Sheet40!$A$4:$A$8</c:f>
              <c:strCache>
                <c:ptCount val="4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</c:strCache>
            </c:strRef>
          </c:cat>
          <c:val>
            <c:numRef>
              <c:f>Sheet40!$D$4:$D$8</c:f>
              <c:numCache>
                <c:formatCode>0.00</c:formatCode>
                <c:ptCount val="4"/>
                <c:pt idx="0">
                  <c:v>37964.49</c:v>
                </c:pt>
                <c:pt idx="1">
                  <c:v>11599.369999999999</c:v>
                </c:pt>
                <c:pt idx="2">
                  <c:v>26750.09</c:v>
                </c:pt>
                <c:pt idx="3">
                  <c:v>38755.97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794-C141-BFD0-20C8B54DEE05}"/>
            </c:ext>
          </c:extLst>
        </c:ser>
        <c:ser>
          <c:idx val="3"/>
          <c:order val="3"/>
          <c:tx>
            <c:strRef>
              <c:f>Sheet40!$E$2:$E$3</c:f>
              <c:strCache>
                <c:ptCount val="1"/>
                <c:pt idx="0">
                  <c:v>Warri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Sheet40!$A$4:$A$8</c:f>
              <c:strCache>
                <c:ptCount val="4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</c:strCache>
            </c:strRef>
          </c:cat>
          <c:val>
            <c:numRef>
              <c:f>Sheet40!$E$4:$E$8</c:f>
              <c:numCache>
                <c:formatCode>0.00</c:formatCode>
                <c:ptCount val="4"/>
                <c:pt idx="0">
                  <c:v>21030.449999999997</c:v>
                </c:pt>
                <c:pt idx="1">
                  <c:v>29037.37</c:v>
                </c:pt>
                <c:pt idx="2">
                  <c:v>9542.98</c:v>
                </c:pt>
                <c:pt idx="3">
                  <c:v>27458.589999999997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794-C141-BFD0-20C8B54DEE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53286480"/>
        <c:axId val="553288192"/>
      </c:lineChart>
      <c:catAx>
        <c:axId val="55328648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Field11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3288192"/>
        <c:crosses val="autoZero"/>
        <c:auto val="1"/>
        <c:lblAlgn val="ctr"/>
        <c:lblOffset val="100"/>
        <c:noMultiLvlLbl val="0"/>
      </c:catAx>
      <c:valAx>
        <c:axId val="553288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Field7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3286480"/>
        <c:crosses val="autoZero"/>
        <c:crossBetween val="midCat"/>
        <c:dispUnits>
          <c:builtInUnit val="thousand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12</xdr:col>
      <xdr:colOff>444500</xdr:colOff>
      <xdr:row>14</xdr:row>
      <xdr:rowOff>25400</xdr:rowOff>
    </xdr:to>
    <xdr:graphicFrame macro="">
      <xdr:nvGraphicFramePr>
        <xdr:cNvPr id="2" name="Chart 1" descr="Chart type: Line. 'Field7' by 'Field11' and 'Field9'&#10;&#10;Description automatically generated">
          <a:extLst>
            <a:ext uri="{FF2B5EF4-FFF2-40B4-BE49-F238E27FC236}">
              <a16:creationId xmlns:a16="http://schemas.microsoft.com/office/drawing/2014/main" id="{90CE1A17-0526-2DAC-0119-825F01B6F0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_rels/pivotCacheDefinition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8.xml"/></Relationships>
</file>

<file path=xl/pivotCache/_rels/pivotCacheDefinition9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9.xml"/></Relationships>
</file>

<file path=xl/pivotCache/_rels/pivotCacheDefinition10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0.xml"/></Relationships>
</file>

<file path=xl/pivotCache/_rels/pivotCacheDefinition1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1.xml"/></Relationships>
</file>

<file path=xl/pivotCache/_rels/pivotCacheDefinition1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2.xml"/></Relationships>
</file>

<file path=xl/pivotCache/_rels/pivotCacheDefinition1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yowa Elizabeth Adebowale" refreshedDate="45967.614607754629" createdVersion="8" refreshedVersion="8" minRefreshableVersion="3" recordCount="138" xr:uid="{ED46B299-F56E-AD4E-AC79-A466EC325678}">
  <cacheSource type="worksheet">
    <worksheetSource ref="B2:M140" sheet="Cashew"/>
  </cacheSource>
  <cacheFields count="12">
    <cacheField name="Product Name" numFmtId="49">
      <sharedItems count="1">
        <s v="Cashew"/>
      </sharedItems>
    </cacheField>
    <cacheField name="Company" numFmtId="49">
      <sharedItems/>
    </cacheField>
    <cacheField name="Export Country" numFmtId="49">
      <sharedItems count="10">
        <s v="Netherlands"/>
        <s v="Denmark"/>
        <s v="Sweden"/>
        <s v="Belgium"/>
        <s v="Austria"/>
        <s v="Italy"/>
        <s v="France"/>
        <s v="Spain"/>
        <s v="Switzerland"/>
        <s v="Germany"/>
      </sharedItems>
    </cacheField>
    <cacheField name="Date" numFmtId="49">
      <sharedItems count="134">
        <s v="12/17/2020"/>
        <s v="9/22/2020"/>
        <s v="1/9/2020"/>
        <s v="11/29/2020"/>
        <s v="5/10/2020"/>
        <s v="7/12/2020"/>
        <s v="11/6/2020"/>
        <s v="4/19/2020"/>
        <s v="3/31/2020"/>
        <s v="7/8/2020"/>
        <s v="9/16/2020"/>
        <s v="10/24/2020"/>
        <s v="6/29/2020"/>
        <s v="9/11/2020"/>
        <s v="3/13/2020"/>
        <s v="3/4/2020"/>
        <s v="8/6/2020"/>
        <s v="9/5/2020"/>
        <s v="1/11/2020"/>
        <s v="11/8/2020"/>
        <s v="11/9/2020"/>
        <s v="4/21/2020"/>
        <s v="7/18/2020"/>
        <s v="7/6/2020"/>
        <s v="8/8/2020"/>
        <s v="12/3/2020"/>
        <s v="7/3/2020"/>
        <s v="9/1/2020"/>
        <s v="9/3/2020"/>
        <s v="11/1/2020"/>
        <s v="11/21/2020"/>
        <s v="12/7/2020"/>
        <s v="5/25/2020"/>
        <s v="5/30/2020"/>
        <s v="6/28/2020"/>
        <s v="6/24/2021"/>
        <s v="8/17/2021"/>
        <s v="8/18/2021"/>
        <s v="1/17/2021"/>
        <s v="10/6/2021"/>
        <s v="12/23/2021"/>
        <s v="2/24/2021"/>
        <s v="7/1/2021"/>
        <s v="7/18/2021"/>
        <s v="8/6/2021"/>
        <s v="9/7/2021"/>
        <s v="10/25/2021"/>
        <s v="11/16/2021"/>
        <s v="2/8/2021"/>
        <s v="5/14/2021"/>
        <s v="6/30/2021"/>
        <s v="10/4/2021"/>
        <s v="11/6/2021"/>
        <s v="4/21/2021"/>
        <s v="7/5/2021"/>
        <s v="12/28/2021"/>
        <s v="4/1/2021"/>
        <s v="5/25/2021"/>
        <s v="5/29/2021"/>
        <s v="12/15/2021"/>
        <s v="12/24/2021"/>
        <s v="12/25/2021"/>
        <s v="4/12/2021"/>
        <s v="8/8/2021"/>
        <s v="2/12/2021"/>
        <s v="3/1/2021"/>
        <s v="7/17/2021"/>
        <s v="1/27/2021"/>
        <s v="10/5/2021"/>
        <s v="3/17/2021"/>
        <s v="6/17/2021"/>
        <s v="6/26/2021"/>
        <s v="9/4/2021"/>
        <s v="6/18/2021"/>
        <s v="1/2/2022"/>
        <s v="3/13/2022"/>
        <s v="5/22/2022"/>
        <s v="8/26/2022"/>
        <s v="1/12/2022"/>
        <s v="10/13/2022"/>
        <s v="3/10/2022"/>
        <s v="3/27/2022"/>
        <s v="3/3/2022"/>
        <s v="12/22/2022"/>
        <s v="4/14/2022"/>
        <s v="4/24/2022"/>
        <s v="8/14/2022"/>
        <s v="11/24/2022"/>
        <s v="2/25/2022"/>
        <s v="2/26/2022"/>
        <s v="3/26/2022"/>
        <s v="4/5/2022"/>
        <s v="5/17/2022"/>
        <s v="9/9/2022"/>
        <s v="4/13/2022"/>
        <s v="4/8/2022"/>
        <s v="1/3/2022"/>
        <s v="1/5/2022"/>
        <s v="12/3/2022"/>
        <s v="7/22/2022"/>
        <s v="7/28/2022"/>
        <s v="1/19/2022"/>
        <s v="10/20/2022"/>
        <s v="7/20/2022"/>
        <s v="11/29/2022"/>
        <s v="9/13/2022"/>
        <s v="10/10/2023"/>
        <s v="12/17/2023"/>
        <s v="6/11/2023"/>
        <s v="1/24/2023"/>
        <s v="2/9/2023"/>
        <s v="8/29/2023"/>
        <s v="12/29/2023"/>
        <s v="12/30/2023"/>
        <s v="3/10/2023"/>
        <s v="1/15/2023"/>
        <s v="1/31/2023"/>
        <s v="2/7/2023"/>
        <s v="5/28/2023"/>
        <s v="9/9/2023"/>
        <s v="1/9/2023"/>
        <s v="5/27/2023"/>
        <s v="6/21/2023"/>
        <s v="9/22/2023"/>
        <s v="11/11/2023"/>
        <s v="5/9/2023"/>
        <s v="12/20/2023"/>
        <s v="12/4/2023"/>
        <s v="6/1/2023"/>
        <s v="5/23/2023"/>
        <s v="5/3/2023"/>
        <s v="2/8/2023"/>
        <s v="3/31/2023"/>
        <s v="3/5/2023"/>
      </sharedItems>
    </cacheField>
    <cacheField name="Units Sold" numFmtId="0">
      <sharedItems containsSemiMixedTypes="0" containsString="0" containsNumber="1" containsInteger="1" minValue="104" maxValue="998"/>
    </cacheField>
    <cacheField name="unit_price" numFmtId="0">
      <sharedItems containsSemiMixedTypes="0" containsString="0" containsNumber="1" minValue="10021.32" maxValue="49952.76"/>
    </cacheField>
    <cacheField name="Profit per unit" numFmtId="0">
      <sharedItems containsSemiMixedTypes="0" containsString="0" containsNumber="1" minValue="2110.33" maxValue="9931.61"/>
    </cacheField>
    <cacheField name="Export Value" numFmtId="0">
      <sharedItems containsSemiMixedTypes="0" containsString="0" containsNumber="1" minValue="1679176.96" maxValue="43353048.439999998"/>
    </cacheField>
    <cacheField name="Destination Port" numFmtId="49">
      <sharedItems/>
    </cacheField>
    <cacheField name="Transportation Mode" numFmtId="49">
      <sharedItems/>
    </cacheField>
    <cacheField name="Year" numFmtId="0">
      <sharedItems containsSemiMixedTypes="0" containsString="0" containsNumber="1" containsInteger="1" minValue="2020" maxValue="2023" count="4">
        <n v="2020"/>
        <n v="2021"/>
        <n v="2022"/>
        <n v="2023"/>
      </sharedItems>
    </cacheField>
    <cacheField name="Total Profit" numFmtId="0">
      <sharedItems containsSemiMixedTypes="0" containsString="0" containsNumber="1" minValue="456305.4" maxValue="8901170.66999999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yowa Elizabeth Adebowale" refreshedDate="45967.637423726854" createdVersion="8" refreshedVersion="8" minRefreshableVersion="3" recordCount="120" xr:uid="{6A9016A4-BFFF-504B-9D89-E1A1AC686F38}">
  <cacheSource type="worksheet">
    <worksheetSource ref="A2:M122" sheet="Cassava"/>
  </cacheSource>
  <cacheFields count="13">
    <cacheField name="Cassava" numFmtId="0">
      <sharedItems containsNonDate="0" containsString="0" containsBlank="1"/>
    </cacheField>
    <cacheField name="Product Name" numFmtId="49">
      <sharedItems/>
    </cacheField>
    <cacheField name="Company" numFmtId="49">
      <sharedItems/>
    </cacheField>
    <cacheField name="Export Country" numFmtId="49">
      <sharedItems count="10">
        <s v="Germany"/>
        <s v="Spain"/>
        <s v="Italy"/>
        <s v="Denmark"/>
        <s v="Netherlands"/>
        <s v="Belgium"/>
        <s v="Switzerland"/>
        <s v="France"/>
        <s v="Sweden"/>
        <s v="Austria"/>
      </sharedItems>
    </cacheField>
    <cacheField name="Date" numFmtId="49">
      <sharedItems/>
    </cacheField>
    <cacheField name="Units Sold" numFmtId="0">
      <sharedItems containsSemiMixedTypes="0" containsString="0" containsNumber="1" containsInteger="1" minValue="115" maxValue="991"/>
    </cacheField>
    <cacheField name="unit_price" numFmtId="0">
      <sharedItems containsSemiMixedTypes="0" containsString="0" containsNumber="1" minValue="10006.540000000001" maxValue="49985.86"/>
    </cacheField>
    <cacheField name="Profit per unit" numFmtId="0">
      <sharedItems containsSemiMixedTypes="0" containsString="0" containsNumber="1" minValue="2017.08" maxValue="9979.02"/>
    </cacheField>
    <cacheField name="Export Value" numFmtId="0">
      <sharedItems containsSemiMixedTypes="0" containsString="0" containsNumber="1" minValue="2067527.28" maxValue="44321757.780000001"/>
    </cacheField>
    <cacheField name="Destination Port" numFmtId="49">
      <sharedItems/>
    </cacheField>
    <cacheField name="Transportation Mode" numFmtId="49">
      <sharedItems/>
    </cacheField>
    <cacheField name="Year" numFmtId="0">
      <sharedItems containsSemiMixedTypes="0" containsString="0" containsNumber="1" containsInteger="1" minValue="2020" maxValue="2023" count="4">
        <n v="2020"/>
        <n v="2021"/>
        <n v="2022"/>
        <n v="2023"/>
      </sharedItems>
    </cacheField>
    <cacheField name="Total Profit" numFmtId="0">
      <sharedItems containsSemiMixedTypes="0" containsString="0" containsNumber="1" minValue="502701.24000000005" maxValue="9498502.549999998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yowa Elizabeth Adebowale" refreshedDate="45967.640487500001" createdVersion="8" refreshedVersion="8" minRefreshableVersion="3" recordCount="136" xr:uid="{1522B0A8-C459-F647-96A5-D0D6EC368945}">
  <cacheSource type="worksheet">
    <worksheetSource ref="B2:M138" sheet="Cocoa"/>
  </cacheSource>
  <cacheFields count="12">
    <cacheField name="Product Name" numFmtId="49">
      <sharedItems/>
    </cacheField>
    <cacheField name="Company" numFmtId="49">
      <sharedItems/>
    </cacheField>
    <cacheField name="Export Country" numFmtId="49">
      <sharedItems count="10">
        <s v="Sweden"/>
        <s v="Spain"/>
        <s v="Germany"/>
        <s v="Netherlands"/>
        <s v="Denmark"/>
        <s v="Switzerland"/>
        <s v="France"/>
        <s v="Austria"/>
        <s v="Belgium"/>
        <s v="Italy"/>
      </sharedItems>
    </cacheField>
    <cacheField name="Date" numFmtId="49">
      <sharedItems/>
    </cacheField>
    <cacheField name="Units Sold" numFmtId="0">
      <sharedItems containsSemiMixedTypes="0" containsString="0" containsNumber="1" containsInteger="1" minValue="113" maxValue="999"/>
    </cacheField>
    <cacheField name="unit_price" numFmtId="0">
      <sharedItems containsSemiMixedTypes="0" containsString="0" containsNumber="1" minValue="10155.64" maxValue="49924.06"/>
    </cacheField>
    <cacheField name="Profit per unit" numFmtId="0">
      <sharedItems containsSemiMixedTypes="0" containsString="0" containsNumber="1" minValue="2018.73" maxValue="9857.8700000000008"/>
    </cacheField>
    <cacheField name="Export Value" numFmtId="0">
      <sharedItems containsSemiMixedTypes="0" containsString="0" containsNumber="1" minValue="1782328.37" maxValue="47120823.210000001"/>
    </cacheField>
    <cacheField name="Destination Port" numFmtId="49">
      <sharedItems/>
    </cacheField>
    <cacheField name="Transportation Mode" numFmtId="49">
      <sharedItems/>
    </cacheField>
    <cacheField name="Year" numFmtId="0">
      <sharedItems containsSemiMixedTypes="0" containsString="0" containsNumber="1" containsInteger="1" minValue="2020" maxValue="2023" count="4">
        <n v="2020"/>
        <n v="2021"/>
        <n v="2022"/>
        <n v="2023"/>
      </sharedItems>
    </cacheField>
    <cacheField name="Total profit" numFmtId="0">
      <sharedItems containsSemiMixedTypes="0" containsString="0" containsNumber="1" minValue="501325.98999999993" maxValue="8924725.25999999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yowa Elizabeth Adebowale" refreshedDate="45967.642611342591" createdVersion="8" refreshedVersion="8" minRefreshableVersion="3" recordCount="101" xr:uid="{8EFFC8A9-DE83-7342-93C8-8D5A244F5AC5}">
  <cacheSource type="worksheet">
    <worksheetSource ref="B2:M103" sheet="Ginger"/>
  </cacheSource>
  <cacheFields count="12">
    <cacheField name="Product Name" numFmtId="49">
      <sharedItems/>
    </cacheField>
    <cacheField name="Company" numFmtId="49">
      <sharedItems/>
    </cacheField>
    <cacheField name="Export Country" numFmtId="49">
      <sharedItems count="10">
        <s v="Italy"/>
        <s v="Netherlands"/>
        <s v="Denmark"/>
        <s v="Spain"/>
        <s v="Belgium"/>
        <s v="Austria"/>
        <s v="Switzerland"/>
        <s v="Sweden"/>
        <s v="Germany"/>
        <s v="France"/>
      </sharedItems>
    </cacheField>
    <cacheField name="Date" numFmtId="49">
      <sharedItems/>
    </cacheField>
    <cacheField name="Units Sold" numFmtId="0">
      <sharedItems containsSemiMixedTypes="0" containsString="0" containsNumber="1" containsInteger="1" minValue="105" maxValue="999"/>
    </cacheField>
    <cacheField name="unit_price" numFmtId="0">
      <sharedItems containsSemiMixedTypes="0" containsString="0" containsNumber="1" minValue="10142.15" maxValue="49218.64"/>
    </cacheField>
    <cacheField name="Profit per unit" numFmtId="0">
      <sharedItems containsSemiMixedTypes="0" containsString="0" containsNumber="1" minValue="2000.3" maxValue="9986.08"/>
    </cacheField>
    <cacheField name="Export Value" numFmtId="0">
      <sharedItems containsSemiMixedTypes="0" containsString="0" containsNumber="1" minValue="2388854.75" maxValue="41256967.079999998"/>
    </cacheField>
    <cacheField name="Destination Port" numFmtId="49">
      <sharedItems/>
    </cacheField>
    <cacheField name="Transportation Mode" numFmtId="49">
      <sharedItems/>
    </cacheField>
    <cacheField name="Year" numFmtId="0">
      <sharedItems containsSemiMixedTypes="0" containsString="0" containsNumber="1" containsInteger="1" minValue="2020" maxValue="2023" count="4">
        <n v="2020"/>
        <n v="2021"/>
        <n v="2022"/>
        <n v="2023"/>
      </sharedItems>
    </cacheField>
    <cacheField name="Total profit" numFmtId="0">
      <sharedItems containsSemiMixedTypes="0" containsString="0" containsNumber="1" minValue="307583.75999999995" maxValue="9196078.200000001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yowa Elizabeth Adebowale" refreshedDate="45967.676694212962" createdVersion="8" refreshedVersion="8" minRefreshableVersion="3" recordCount="140" xr:uid="{9ED2BB0A-12DF-A84C-9B67-229831997605}">
  <cacheSource type="worksheet">
    <worksheetSource ref="B2:M142" sheet="Sheet 1"/>
  </cacheSource>
  <cacheFields count="12">
    <cacheField name="Product Name" numFmtId="49">
      <sharedItems containsBlank="1"/>
    </cacheField>
    <cacheField name="Company" numFmtId="49">
      <sharedItems containsBlank="1"/>
    </cacheField>
    <cacheField name="Export Country" numFmtId="49">
      <sharedItems containsBlank="1" count="11">
        <m/>
        <s v="Netherlands"/>
        <s v="Denmark"/>
        <s v="Sweden"/>
        <s v="Belgium"/>
        <s v="Austria"/>
        <s v="Italy"/>
        <s v="France"/>
        <s v="Spain"/>
        <s v="Switzerland"/>
        <s v="Germany"/>
      </sharedItems>
    </cacheField>
    <cacheField name="Date" numFmtId="49">
      <sharedItems containsBlank="1"/>
    </cacheField>
    <cacheField name="Units Sold" numFmtId="0">
      <sharedItems containsString="0" containsBlank="1" containsNumber="1" containsInteger="1" minValue="104" maxValue="998"/>
    </cacheField>
    <cacheField name="unit_price" numFmtId="0">
      <sharedItems containsString="0" containsBlank="1" containsNumber="1" minValue="10021.32" maxValue="49952.76"/>
    </cacheField>
    <cacheField name="Profit per unit" numFmtId="0">
      <sharedItems containsString="0" containsBlank="1" containsNumber="1" minValue="2110.33" maxValue="9931.61"/>
    </cacheField>
    <cacheField name="Export Value" numFmtId="0">
      <sharedItems containsString="0" containsBlank="1" containsNumber="1" minValue="1679176.96" maxValue="43353048.439999998"/>
    </cacheField>
    <cacheField name="Destination Port" numFmtId="49">
      <sharedItems containsBlank="1"/>
    </cacheField>
    <cacheField name="Transportation Mode" numFmtId="49">
      <sharedItems containsBlank="1"/>
    </cacheField>
    <cacheField name="Year" numFmtId="0">
      <sharedItems containsString="0" containsBlank="1" containsNumber="1" containsInteger="1" minValue="2020" maxValue="2023" count="5">
        <m/>
        <n v="2020"/>
        <n v="2021"/>
        <n v="2022"/>
        <n v="2023"/>
      </sharedItems>
    </cacheField>
    <cacheField name="Total Profit" numFmtId="0">
      <sharedItems containsString="0" containsBlank="1" containsNumber="1" minValue="456305.4" maxValue="8901170.66999999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yowa Elizabeth Adebowale" refreshedDate="45967.681547453707" createdVersion="8" refreshedVersion="8" minRefreshableVersion="3" recordCount="120" xr:uid="{36656C24-11AC-ED46-974F-3CC890D1DE2E}">
  <cacheSource type="worksheet">
    <worksheetSource ref="B144:M264" sheet="Sheet 1"/>
  </cacheSource>
  <cacheFields count="12">
    <cacheField name="Product Name" numFmtId="49">
      <sharedItems/>
    </cacheField>
    <cacheField name="Company" numFmtId="49">
      <sharedItems/>
    </cacheField>
    <cacheField name="Export Country" numFmtId="49">
      <sharedItems count="10">
        <s v="Germany"/>
        <s v="Spain"/>
        <s v="Italy"/>
        <s v="Denmark"/>
        <s v="Netherlands"/>
        <s v="Belgium"/>
        <s v="Switzerland"/>
        <s v="France"/>
        <s v="Sweden"/>
        <s v="Austria"/>
      </sharedItems>
    </cacheField>
    <cacheField name="Date" numFmtId="49">
      <sharedItems/>
    </cacheField>
    <cacheField name="Units Sold" numFmtId="0">
      <sharedItems containsSemiMixedTypes="0" containsString="0" containsNumber="1" containsInteger="1" minValue="115" maxValue="991"/>
    </cacheField>
    <cacheField name="unit_price" numFmtId="0">
      <sharedItems containsSemiMixedTypes="0" containsString="0" containsNumber="1" minValue="10006.540000000001" maxValue="49985.86"/>
    </cacheField>
    <cacheField name="Profit per unit" numFmtId="0">
      <sharedItems containsSemiMixedTypes="0" containsString="0" containsNumber="1" minValue="2017.08" maxValue="9979.02"/>
    </cacheField>
    <cacheField name="Export Value" numFmtId="0">
      <sharedItems containsSemiMixedTypes="0" containsString="0" containsNumber="1" minValue="2067527.28" maxValue="44321757.780000001"/>
    </cacheField>
    <cacheField name="Destination Port" numFmtId="49">
      <sharedItems/>
    </cacheField>
    <cacheField name="Transportation Mode" numFmtId="49">
      <sharedItems/>
    </cacheField>
    <cacheField name="Year" numFmtId="0">
      <sharedItems containsSemiMixedTypes="0" containsString="0" containsNumber="1" containsInteger="1" minValue="2020" maxValue="2023" count="4">
        <n v="2020"/>
        <n v="2021"/>
        <n v="2022"/>
        <n v="2023"/>
      </sharedItems>
    </cacheField>
    <cacheField name="Total Profit" numFmtId="0">
      <sharedItems containsSemiMixedTypes="0" containsString="0" containsNumber="1" minValue="502701.24000000005" maxValue="9498502.549999998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yowa Elizabeth Adebowale" refreshedDate="45967.682871874997" createdVersion="8" refreshedVersion="8" minRefreshableVersion="3" recordCount="136" xr:uid="{B5979B75-0E47-FB40-B84C-D188346EE376}">
  <cacheSource type="worksheet">
    <worksheetSource ref="A266:M402" sheet="Sheet 1"/>
  </cacheSource>
  <cacheFields count="13">
    <cacheField name="Cocoa" numFmtId="0">
      <sharedItems containsNonDate="0" containsString="0" containsBlank="1"/>
    </cacheField>
    <cacheField name="Product Name" numFmtId="49">
      <sharedItems/>
    </cacheField>
    <cacheField name="Company" numFmtId="49">
      <sharedItems/>
    </cacheField>
    <cacheField name="Export Country" numFmtId="49">
      <sharedItems count="10">
        <s v="Sweden"/>
        <s v="Spain"/>
        <s v="Germany"/>
        <s v="Netherlands"/>
        <s v="Denmark"/>
        <s v="Switzerland"/>
        <s v="France"/>
        <s v="Austria"/>
        <s v="Belgium"/>
        <s v="Italy"/>
      </sharedItems>
    </cacheField>
    <cacheField name="Date" numFmtId="49">
      <sharedItems/>
    </cacheField>
    <cacheField name="Units Sold" numFmtId="0">
      <sharedItems containsSemiMixedTypes="0" containsString="0" containsNumber="1" containsInteger="1" minValue="113" maxValue="999"/>
    </cacheField>
    <cacheField name="unit_price" numFmtId="0">
      <sharedItems containsSemiMixedTypes="0" containsString="0" containsNumber="1" minValue="10155.64" maxValue="49924.06"/>
    </cacheField>
    <cacheField name="Profit per unit" numFmtId="0">
      <sharedItems containsSemiMixedTypes="0" containsString="0" containsNumber="1" minValue="2018.73" maxValue="9857.8700000000008"/>
    </cacheField>
    <cacheField name="Export Value" numFmtId="0">
      <sharedItems containsSemiMixedTypes="0" containsString="0" containsNumber="1" minValue="1782328.37" maxValue="47120823.210000001" count="136">
        <n v="8327491.5199999996"/>
        <n v="36409546.799999997"/>
        <n v="25481075.52"/>
        <n v="5609043.7199999997"/>
        <n v="17639976.899999999"/>
        <n v="24007431.050000001"/>
        <n v="11159405.58"/>
        <n v="10135510.48"/>
        <n v="7677877.4800000004"/>
        <n v="4800879.49"/>
        <n v="16627872.119999999"/>
        <n v="34338275.159999996"/>
        <n v="5593473.3600000003"/>
        <n v="20251866.57"/>
        <n v="18000191.190000001"/>
        <n v="6832546.5499999998"/>
        <n v="23267686.899999999"/>
        <n v="7719622.8499999996"/>
        <n v="29272100.219999999"/>
        <n v="16943529.489999998"/>
        <n v="6550016.8499999996"/>
        <n v="4075770.27"/>
        <n v="2690007.06"/>
        <n v="3001860.18"/>
        <n v="14169394.800000001"/>
        <n v="35379289.530000001"/>
        <n v="9710750.8800000008"/>
        <n v="9578534.4000000004"/>
        <n v="17246018.600000001"/>
        <n v="16597049.699999999"/>
        <n v="16719257.16"/>
        <n v="23579051.25"/>
        <n v="35403652.799999997"/>
        <n v="15472982.43"/>
        <n v="1782328.37"/>
        <n v="41511249.119999997"/>
        <n v="7242785.6399999997"/>
        <n v="9382880.4000000004"/>
        <n v="8635623.1500000004"/>
        <n v="13413916.560000001"/>
        <n v="21940602.449999999"/>
        <n v="8534433.3000000007"/>
        <n v="35361223.380000003"/>
        <n v="10320736.199999999"/>
        <n v="27313030.559999999"/>
        <n v="38604758.140000001"/>
        <n v="16249879.800000001"/>
        <n v="21739298.57"/>
        <n v="33598892.380000003"/>
        <n v="30940502"/>
        <n v="6009297.5999999996"/>
        <n v="4478326.08"/>
        <n v="20914854.48"/>
        <n v="15823631.939999999"/>
        <n v="19732871.399999999"/>
        <n v="10165975.92"/>
        <n v="17403762.239999998"/>
        <n v="19526538.350000001"/>
        <n v="13066643.199999999"/>
        <n v="12788867.6"/>
        <n v="9325551.9299999997"/>
        <n v="22766276.039999999"/>
        <n v="3979829.7"/>
        <n v="18967887.84"/>
        <n v="37282797.899999999"/>
        <n v="9444745.1999999993"/>
        <n v="25329014.399999999"/>
        <n v="9001357.3499999996"/>
        <n v="23290891.280000001"/>
        <n v="8880116.5999999996"/>
        <n v="36048643.399999999"/>
        <n v="24059008"/>
        <n v="13562903.74"/>
        <n v="4346646.22"/>
        <n v="8014837.7400000002"/>
        <n v="18904933.199999999"/>
        <n v="12044217.24"/>
        <n v="10575107.5"/>
        <n v="8327317.6799999997"/>
        <n v="18277580.530000001"/>
        <n v="5335899.55"/>
        <n v="15466922.460000001"/>
        <n v="15407386.26"/>
        <n v="20795873.280000001"/>
        <n v="38758654.340000004"/>
        <n v="8606781.0399999991"/>
        <n v="13434110.34"/>
        <n v="30721997.25"/>
        <n v="16743403.529999999"/>
        <n v="30827422.440000001"/>
        <n v="11657316.880000001"/>
        <n v="12827142.800000001"/>
        <n v="47120823.210000001"/>
        <n v="4411244.25"/>
        <n v="6610329.0499999998"/>
        <n v="22616107.829999998"/>
        <n v="3370281.52"/>
        <n v="27254349.780000001"/>
        <n v="24471639"/>
        <n v="6408192.8399999999"/>
        <n v="13331354.279999999"/>
        <n v="6267419.6399999997"/>
        <n v="12986746.08"/>
        <n v="9792877.5"/>
        <n v="27691853.579999998"/>
        <n v="5950800.1799999997"/>
        <n v="39189684.509999998"/>
        <n v="24464897.52"/>
        <n v="13804989.300000001"/>
        <n v="23578252.940000001"/>
        <n v="3508046.46"/>
        <n v="7269555.8399999999"/>
        <n v="2427596.21"/>
        <n v="12714039"/>
        <n v="32655020.16"/>
        <n v="14033989.74"/>
        <n v="4203394.3600000003"/>
        <n v="3986626.08"/>
        <n v="4500242.7"/>
        <n v="35496109.960000001"/>
        <n v="29900893.140000001"/>
        <n v="22217634.079999998"/>
        <n v="20461697.039999999"/>
        <n v="33919370.240000002"/>
        <n v="35852504"/>
        <n v="21331926.280000001"/>
        <n v="20945579.670000002"/>
        <n v="6801650.2999999998"/>
        <n v="19935169.760000002"/>
        <n v="20456110.98"/>
        <n v="35893812.240000002"/>
        <n v="29513439.239999998"/>
        <n v="36141791.600000001"/>
        <n v="31403667.550000001"/>
        <n v="13884436.800000001"/>
        <n v="16348053.359999999"/>
      </sharedItems>
    </cacheField>
    <cacheField name="Destination Port" numFmtId="49">
      <sharedItems/>
    </cacheField>
    <cacheField name="Transportation Mode" numFmtId="49">
      <sharedItems/>
    </cacheField>
    <cacheField name="Year" numFmtId="0">
      <sharedItems containsSemiMixedTypes="0" containsString="0" containsNumber="1" containsInteger="1" minValue="2020" maxValue="2023" count="4">
        <n v="2020"/>
        <n v="2021"/>
        <n v="2022"/>
        <n v="2023"/>
      </sharedItems>
    </cacheField>
    <cacheField name="Total Profit" numFmtId="0">
      <sharedItems containsSemiMixedTypes="0" containsString="0" containsNumber="1" minValue="501325.98999999993" maxValue="8924725.25999999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yowa Elizabeth Adebowale" refreshedDate="45967.68692615741" createdVersion="8" refreshedVersion="8" minRefreshableVersion="3" recordCount="122" xr:uid="{66536033-8C85-634B-8219-51FAE5E95EAC}">
  <cacheSource type="worksheet">
    <worksheetSource ref="B2:M124" sheet="Plantain"/>
  </cacheSource>
  <cacheFields count="12">
    <cacheField name="Product Name" numFmtId="49">
      <sharedItems/>
    </cacheField>
    <cacheField name="Company" numFmtId="49">
      <sharedItems/>
    </cacheField>
    <cacheField name="Export Country" numFmtId="49">
      <sharedItems count="10">
        <s v="Italy"/>
        <s v="Sweden"/>
        <s v="Netherlands"/>
        <s v="Spain"/>
        <s v="Germany"/>
        <s v="Switzerland"/>
        <s v="Belgium"/>
        <s v="Austria"/>
        <s v="France"/>
        <s v="Denmark"/>
      </sharedItems>
    </cacheField>
    <cacheField name="Date" numFmtId="49">
      <sharedItems/>
    </cacheField>
    <cacheField name="Units Sold" numFmtId="0">
      <sharedItems containsSemiMixedTypes="0" containsString="0" containsNumber="1" containsInteger="1" minValue="103" maxValue="999"/>
    </cacheField>
    <cacheField name="unit_price" numFmtId="0">
      <sharedItems containsSemiMixedTypes="0" containsString="0" containsNumber="1" minValue="10306.64" maxValue="49472.480000000003" count="122">
        <n v="49472.480000000003"/>
        <n v="30048.91"/>
        <n v="18902.8"/>
        <n v="11446.76"/>
        <n v="34668.65"/>
        <n v="15043.56"/>
        <n v="30503.360000000001"/>
        <n v="13812.54"/>
        <n v="32345.62"/>
        <n v="13194.29"/>
        <n v="21256.720000000001"/>
        <n v="48711.59"/>
        <n v="23501.68"/>
        <n v="26050.959999999999"/>
        <n v="28422.6"/>
        <n v="46391.24"/>
        <n v="34836.78"/>
        <n v="21324.19"/>
        <n v="33065.69"/>
        <n v="13079.61"/>
        <n v="22984.27"/>
        <n v="19171.77"/>
        <n v="17101.55"/>
        <n v="39681.370000000003"/>
        <n v="32503.8"/>
        <n v="31735.91"/>
        <n v="19006.96"/>
        <n v="46080.72"/>
        <n v="23415.71"/>
        <n v="48791.16"/>
        <n v="10338.09"/>
        <n v="33855.64"/>
        <n v="25745.26"/>
        <n v="48735.7"/>
        <n v="35980.93"/>
        <n v="46796.4"/>
        <n v="38635.31"/>
        <n v="20126.79"/>
        <n v="33495.61"/>
        <n v="22143.33"/>
        <n v="38459.71"/>
        <n v="12552.78"/>
        <n v="10811.43"/>
        <n v="20493.759999999998"/>
        <n v="34678.879999999997"/>
        <n v="43898.69"/>
        <n v="37340.11"/>
        <n v="10306.64"/>
        <n v="19308.830000000002"/>
        <n v="47976.47"/>
        <n v="42679.03"/>
        <n v="24056.22"/>
        <n v="42779.72"/>
        <n v="45040.57"/>
        <n v="30671.94"/>
        <n v="32039.53"/>
        <n v="45905.279999999999"/>
        <n v="48437.82"/>
        <n v="31711.95"/>
        <n v="21238.1"/>
        <n v="41667.730000000003"/>
        <n v="24660.78"/>
        <n v="33608.720000000001"/>
        <n v="44466.3"/>
        <n v="28428.84"/>
        <n v="11379.89"/>
        <n v="24045.41"/>
        <n v="38153.089999999997"/>
        <n v="22070.13"/>
        <n v="26423.8"/>
        <n v="18835.79"/>
        <n v="12852.2"/>
        <n v="28314.400000000001"/>
        <n v="21222.42"/>
        <n v="44517.66"/>
        <n v="28437.69"/>
        <n v="21185.94"/>
        <n v="26243.24"/>
        <n v="49198.6"/>
        <n v="29803.5"/>
        <n v="46216.74"/>
        <n v="23220.19"/>
        <n v="30535.43"/>
        <n v="16243.24"/>
        <n v="16103.22"/>
        <n v="27262.69"/>
        <n v="43082.11"/>
        <n v="13931.93"/>
        <n v="12470.14"/>
        <n v="40095.35"/>
        <n v="33820.94"/>
        <n v="32511.33"/>
        <n v="38183.620000000003"/>
        <n v="24041.35"/>
        <n v="35665.11"/>
        <n v="32644.13"/>
        <n v="47737.46"/>
        <n v="23511.99"/>
        <n v="12314.65"/>
        <n v="17166.97"/>
        <n v="30767.55"/>
        <n v="20845.14"/>
        <n v="16159.22"/>
        <n v="28089.29"/>
        <n v="34074.97"/>
        <n v="35538.5"/>
        <n v="25170.32"/>
        <n v="44869.36"/>
        <n v="29521.86"/>
        <n v="14925.52"/>
        <n v="46932.39"/>
        <n v="38066.85"/>
        <n v="39070.74"/>
        <n v="42655.08"/>
        <n v="16079.55"/>
        <n v="48325.91"/>
        <n v="46063.17"/>
        <n v="42176.76"/>
        <n v="15317.68"/>
        <n v="43808.94"/>
        <n v="41952.09"/>
        <n v="38930.959999999999"/>
      </sharedItems>
    </cacheField>
    <cacheField name="Profit per unit" numFmtId="0">
      <sharedItems containsSemiMixedTypes="0" containsString="0" containsNumber="1" minValue="2088.86" maxValue="9990.57"/>
    </cacheField>
    <cacheField name="Export Value" numFmtId="0">
      <sharedItems containsSemiMixedTypes="0" containsString="0" containsNumber="1" minValue="1323776.6000000001" maxValue="39797338.5"/>
    </cacheField>
    <cacheField name="Destination Port" numFmtId="49">
      <sharedItems/>
    </cacheField>
    <cacheField name="Transportation Mode" numFmtId="49">
      <sharedItems/>
    </cacheField>
    <cacheField name="Year" numFmtId="0">
      <sharedItems containsSemiMixedTypes="0" containsString="0" containsNumber="1" containsInteger="1" minValue="2020" maxValue="2023" count="4">
        <n v="2020"/>
        <n v="2021"/>
        <n v="2022"/>
        <n v="2023"/>
      </sharedItems>
    </cacheField>
    <cacheField name="Total Profit" numFmtId="0">
      <sharedItems containsSemiMixedTypes="0" containsString="0" containsNumber="1" minValue="335522.11" maxValue="8981879.130000000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yowa Elizabeth Adebowale" refreshedDate="45967.689550925927" createdVersion="8" refreshedVersion="8" minRefreshableVersion="3" recordCount="124" xr:uid="{E9FD3BD3-5CBC-A240-B09D-3FC69F095BE2}">
  <cacheSource type="worksheet">
    <worksheetSource ref="B2:M126" sheet="Palm Oil"/>
  </cacheSource>
  <cacheFields count="12">
    <cacheField name="Product Name" numFmtId="49">
      <sharedItems/>
    </cacheField>
    <cacheField name="Company" numFmtId="49">
      <sharedItems/>
    </cacheField>
    <cacheField name="Export Country" numFmtId="49">
      <sharedItems count="10">
        <s v="Germany"/>
        <s v="Netherlands"/>
        <s v="Belgium"/>
        <s v="Austria"/>
        <s v="Sweden"/>
        <s v="Denmark"/>
        <s v="Italy"/>
        <s v="Spain"/>
        <s v="France"/>
        <s v="Switzerland"/>
      </sharedItems>
    </cacheField>
    <cacheField name="Date" numFmtId="49">
      <sharedItems/>
    </cacheField>
    <cacheField name="Units Sold" numFmtId="0">
      <sharedItems containsSemiMixedTypes="0" containsString="0" containsNumber="1" containsInteger="1" minValue="109" maxValue="988"/>
    </cacheField>
    <cacheField name="unit_price" numFmtId="0">
      <sharedItems containsSemiMixedTypes="0" containsString="0" containsNumber="1" minValue="10348.61" maxValue="49695.31"/>
    </cacheField>
    <cacheField name="Profit per unit" numFmtId="0">
      <sharedItems containsSemiMixedTypes="0" containsString="0" containsNumber="1" minValue="2057.84" maxValue="9981.99"/>
    </cacheField>
    <cacheField name="Export Value" numFmtId="0">
      <sharedItems containsSemiMixedTypes="0" containsString="0" containsNumber="1" minValue="2411981.4300000002" maxValue="42761615.479999997"/>
    </cacheField>
    <cacheField name="Destination Port" numFmtId="49">
      <sharedItems/>
    </cacheField>
    <cacheField name="Transportation Mode" numFmtId="49">
      <sharedItems/>
    </cacheField>
    <cacheField name="Year" numFmtId="0">
      <sharedItems containsSemiMixedTypes="0" containsString="0" containsNumber="1" containsInteger="1" minValue="2020" maxValue="2023" count="4">
        <n v="2020"/>
        <n v="2021"/>
        <n v="2022"/>
        <n v="2023"/>
      </sharedItems>
    </cacheField>
    <cacheField name="Total Profit" numFmtId="0">
      <sharedItems containsSemiMixedTypes="0" containsString="0" containsNumber="1" minValue="252491.96" maxValue="8952297.119999999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yowa Elizabeth Adebowale" refreshedDate="45967.691464467593" createdVersion="8" refreshedVersion="8" minRefreshableVersion="3" recordCount="125" xr:uid="{20CD5C87-757D-4C42-94E3-88C516007844}">
  <cacheSource type="worksheet">
    <worksheetSource ref="B2:M127" sheet="Rubber"/>
  </cacheSource>
  <cacheFields count="12">
    <cacheField name="Product Name" numFmtId="49">
      <sharedItems/>
    </cacheField>
    <cacheField name="Company" numFmtId="49">
      <sharedItems/>
    </cacheField>
    <cacheField name="Export Country" numFmtId="49">
      <sharedItems count="10">
        <s v="Austria"/>
        <s v="Belgium"/>
        <s v="Denmark"/>
        <s v="Switzerland"/>
        <s v="Sweden"/>
        <s v="Netherlands"/>
        <s v="Spain"/>
        <s v="Italy"/>
        <s v="Germany"/>
        <s v="France"/>
      </sharedItems>
    </cacheField>
    <cacheField name="Date" numFmtId="49">
      <sharedItems/>
    </cacheField>
    <cacheField name="Units Sold" numFmtId="0">
      <sharedItems containsSemiMixedTypes="0" containsString="0" containsNumber="1" containsInteger="1" minValue="131" maxValue="995" count="119">
        <n v="342"/>
        <n v="615"/>
        <n v="558"/>
        <n v="227"/>
        <n v="938"/>
        <n v="712"/>
        <n v="504"/>
        <n v="670"/>
        <n v="567"/>
        <n v="924"/>
        <n v="491"/>
        <n v="684"/>
        <n v="794"/>
        <n v="673"/>
        <n v="340"/>
        <n v="143"/>
        <n v="945"/>
        <n v="860"/>
        <n v="915"/>
        <n v="824"/>
        <n v="310"/>
        <n v="189"/>
        <n v="547"/>
        <n v="405"/>
        <n v="374"/>
        <n v="435"/>
        <n v="710"/>
        <n v="401"/>
        <n v="133"/>
        <n v="210"/>
        <n v="301"/>
        <n v="671"/>
        <n v="709"/>
        <n v="599"/>
        <n v="424"/>
        <n v="562"/>
        <n v="957"/>
        <n v="177"/>
        <n v="804"/>
        <n v="807"/>
        <n v="357"/>
        <n v="267"/>
        <n v="173"/>
        <n v="199"/>
        <n v="343"/>
        <n v="667"/>
        <n v="413"/>
        <n v="855"/>
        <n v="821"/>
        <n v="393"/>
        <n v="730"/>
        <n v="842"/>
        <n v="471"/>
        <n v="346"/>
        <n v="696"/>
        <n v="887"/>
        <n v="371"/>
        <n v="789"/>
        <n v="795"/>
        <n v="182"/>
        <n v="608"/>
        <n v="439"/>
        <n v="262"/>
        <n v="217"/>
        <n v="647"/>
        <n v="250"/>
        <n v="191"/>
        <n v="383"/>
        <n v="877"/>
        <n v="290"/>
        <n v="661"/>
        <n v="987"/>
        <n v="317"/>
        <n v="304"/>
        <n v="142"/>
        <n v="911"/>
        <n v="606"/>
        <n v="616"/>
        <n v="722"/>
        <n v="192"/>
        <n v="141"/>
        <n v="379"/>
        <n v="221"/>
        <n v="450"/>
        <n v="291"/>
        <n v="805"/>
        <n v="654"/>
        <n v="430"/>
        <n v="737"/>
        <n v="272"/>
        <n v="995"/>
        <n v="951"/>
        <n v="579"/>
        <n v="611"/>
        <n v="309"/>
        <n v="727"/>
        <n v="433"/>
        <n v="721"/>
        <n v="160"/>
        <n v="131"/>
        <n v="563"/>
        <n v="476"/>
        <n v="763"/>
        <n v="741"/>
        <n v="893"/>
        <n v="238"/>
        <n v="531"/>
        <n v="952"/>
        <n v="196"/>
        <n v="408"/>
        <n v="785"/>
        <n v="447"/>
        <n v="972"/>
        <n v="246"/>
        <n v="576"/>
        <n v="483"/>
        <n v="812"/>
        <n v="472"/>
        <n v="247"/>
      </sharedItems>
    </cacheField>
    <cacheField name="unit_price" numFmtId="0">
      <sharedItems containsSemiMixedTypes="0" containsString="0" containsNumber="1" minValue="10293.39" maxValue="49738"/>
    </cacheField>
    <cacheField name="Profit per unit" numFmtId="0">
      <sharedItems containsSemiMixedTypes="0" containsString="0" containsNumber="1" minValue="2169.04" maxValue="9917.77"/>
    </cacheField>
    <cacheField name="Export Value" numFmtId="0">
      <sharedItems containsSemiMixedTypes="0" containsString="0" containsNumber="1" minValue="1409617.79" maxValue="41195367.399999999"/>
    </cacheField>
    <cacheField name="Destination Port" numFmtId="49">
      <sharedItems/>
    </cacheField>
    <cacheField name="Transportation Mode" numFmtId="49">
      <sharedItems/>
    </cacheField>
    <cacheField name="Year" numFmtId="0">
      <sharedItems containsSemiMixedTypes="0" containsString="0" containsNumber="1" containsInteger="1" minValue="2020" maxValue="2023" count="4">
        <n v="2020"/>
        <n v="2021"/>
        <n v="2022"/>
        <n v="2023"/>
      </sharedItems>
    </cacheField>
    <cacheField name="Total Profit" numFmtId="0">
      <sharedItems containsSemiMixedTypes="0" containsString="0" containsNumber="1" minValue="296216.27" maxValue="9074759.550000000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yowa Elizabeth Adebowale" refreshedDate="45967.69258865741" createdVersion="8" refreshedVersion="8" minRefreshableVersion="3" recordCount="133" xr:uid="{14BAE221-F86F-C54A-A566-5A16718E33B0}">
  <cacheSource type="worksheet">
    <worksheetSource ref="B2:M135" sheet="Sesame"/>
  </cacheSource>
  <cacheFields count="12">
    <cacheField name="Product Name" numFmtId="49">
      <sharedItems/>
    </cacheField>
    <cacheField name="Company" numFmtId="49">
      <sharedItems/>
    </cacheField>
    <cacheField name="Export Country" numFmtId="49">
      <sharedItems count="10">
        <s v="France"/>
        <s v="Denmark"/>
        <s v="Sweden"/>
        <s v="Austria"/>
        <s v="Italy"/>
        <s v="Switzerland"/>
        <s v="Spain"/>
        <s v="Germany"/>
        <s v="Belgium"/>
        <s v="Netherlands"/>
      </sharedItems>
    </cacheField>
    <cacheField name="Date" numFmtId="49">
      <sharedItems/>
    </cacheField>
    <cacheField name="Units Sold" numFmtId="0">
      <sharedItems containsSemiMixedTypes="0" containsString="0" containsNumber="1" containsInteger="1" minValue="108" maxValue="995"/>
    </cacheField>
    <cacheField name="unit_price" numFmtId="0">
      <sharedItems containsSemiMixedTypes="0" containsString="0" containsNumber="1" minValue="10417.459999999999" maxValue="49344.94"/>
    </cacheField>
    <cacheField name="Profit per unit" numFmtId="0">
      <sharedItems containsSemiMixedTypes="0" containsString="0" containsNumber="1" minValue="2030.3" maxValue="9971.93"/>
    </cacheField>
    <cacheField name="Export Value" numFmtId="0">
      <sharedItems containsSemiMixedTypes="0" containsString="0" containsNumber="1" minValue="2084155.3" maxValue="41215428.210000001"/>
    </cacheField>
    <cacheField name="Destination Port" numFmtId="49">
      <sharedItems/>
    </cacheField>
    <cacheField name="Transportation Mode" numFmtId="49">
      <sharedItems/>
    </cacheField>
    <cacheField name="Year" numFmtId="0">
      <sharedItems containsSemiMixedTypes="0" containsString="0" containsNumber="1" containsInteger="1" minValue="2020" maxValue="2023" count="4">
        <n v="2020"/>
        <n v="2021"/>
        <n v="2022"/>
        <n v="2023"/>
      </sharedItems>
    </cacheField>
    <cacheField name="Total Profit" numFmtId="0">
      <sharedItems containsSemiMixedTypes="0" containsString="0" containsNumber="1" minValue="574839" maxValue="8327413.700000000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yowa Elizabeth Adebowale" refreshedDate="45967.831836921294" createdVersion="8" refreshedVersion="8" minRefreshableVersion="3" recordCount="1000" xr:uid="{6244979B-800D-C847-A9D4-5983B411305D}">
  <cacheSource type="worksheet">
    <worksheetSource ref="A1:L1001" sheet="Sheet31"/>
  </cacheSource>
  <cacheFields count="13">
    <cacheField name="Product Name" numFmtId="49">
      <sharedItems count="8">
        <s v="Cashew"/>
        <s v="Cassava"/>
        <s v="Cocoa"/>
        <s v="Ginger"/>
        <s v="Palm Oil"/>
        <s v="Plantain"/>
        <s v="Rubber"/>
        <s v="Sesame"/>
      </sharedItems>
    </cacheField>
    <cacheField name="Company" numFmtId="49">
      <sharedItems/>
    </cacheField>
    <cacheField name="Export Country" numFmtId="49">
      <sharedItems count="10">
        <s v="Netherlands"/>
        <s v="Denmark"/>
        <s v="Sweden"/>
        <s v="Belgium"/>
        <s v="Austria"/>
        <s v="Italy"/>
        <s v="France"/>
        <s v="Spain"/>
        <s v="Switzerland"/>
        <s v="Germany"/>
      </sharedItems>
    </cacheField>
    <cacheField name="Date" numFmtId="49">
      <sharedItems/>
    </cacheField>
    <cacheField name="Units Sold" numFmtId="0">
      <sharedItems containsSemiMixedTypes="0" containsString="0" containsNumber="1" containsInteger="1" minValue="103" maxValue="999"/>
    </cacheField>
    <cacheField name="unit_price" numFmtId="0">
      <sharedItems containsSemiMixedTypes="0" containsString="0" containsNumber="1" minValue="10006.540000000001" maxValue="49985.86"/>
    </cacheField>
    <cacheField name="Profit per unit" numFmtId="0">
      <sharedItems containsSemiMixedTypes="0" containsString="0" containsNumber="1" minValue="2000.3" maxValue="9990.57"/>
    </cacheField>
    <cacheField name="Export Value" numFmtId="0">
      <sharedItems containsSemiMixedTypes="0" containsString="0" containsNumber="1" minValue="1323776.6000000001" maxValue="47120823.210000001"/>
    </cacheField>
    <cacheField name="Destination Port" numFmtId="49">
      <sharedItems/>
    </cacheField>
    <cacheField name="Transportation Mode" numFmtId="49">
      <sharedItems/>
    </cacheField>
    <cacheField name="Year" numFmtId="0">
      <sharedItems containsSemiMixedTypes="0" containsString="0" containsNumber="1" containsInteger="1" minValue="2020" maxValue="2023" count="4">
        <n v="2020"/>
        <n v="2021"/>
        <n v="2022"/>
        <n v="2023"/>
      </sharedItems>
    </cacheField>
    <cacheField name="Total Profit" numFmtId="0">
      <sharedItems containsSemiMixedTypes="0" containsString="0" containsNumber="1" minValue="252491.96" maxValue="9498502.5499999989"/>
    </cacheField>
    <cacheField name="Field1" numFmtId="0" formula=" 0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yowa Elizabeth Adebowale" refreshedDate="45968.354739930553" createdVersion="8" refreshedVersion="8" minRefreshableVersion="3" recordCount="138" xr:uid="{F6EFB9C5-A1F3-1240-9063-3293D0933AF9}">
  <cacheSource type="worksheet">
    <worksheetSource ref="C6:N144" sheet="Sheet39"/>
  </cacheSource>
  <cacheFields count="12">
    <cacheField name="Field1" numFmtId="49">
      <sharedItems/>
    </cacheField>
    <cacheField name="Field2" numFmtId="49">
      <sharedItems/>
    </cacheField>
    <cacheField name="Field3" numFmtId="49">
      <sharedItems/>
    </cacheField>
    <cacheField name="Field4" numFmtId="49">
      <sharedItems containsSemiMixedTypes="0" containsString="0" containsNumber="1" containsInteger="1" minValue="43839" maxValue="45290"/>
    </cacheField>
    <cacheField name="Field5" numFmtId="0">
      <sharedItems containsSemiMixedTypes="0" containsString="0" containsNumber="1" containsInteger="1" minValue="104" maxValue="998"/>
    </cacheField>
    <cacheField name="Field6" numFmtId="0">
      <sharedItems containsSemiMixedTypes="0" containsString="0" containsNumber="1" minValue="10021.32" maxValue="49952.76"/>
    </cacheField>
    <cacheField name="Field7" numFmtId="0">
      <sharedItems containsSemiMixedTypes="0" containsString="0" containsNumber="1" minValue="2110.33" maxValue="9931.61"/>
    </cacheField>
    <cacheField name="Field8" numFmtId="0">
      <sharedItems containsSemiMixedTypes="0" containsString="0" containsNumber="1" minValue="1679176.96" maxValue="43353048.439999998"/>
    </cacheField>
    <cacheField name="Field9" numFmtId="49">
      <sharedItems count="4">
        <s v="Port Harcourt"/>
        <s v="Warri"/>
        <s v="Lagos"/>
        <s v="Calabar"/>
      </sharedItems>
    </cacheField>
    <cacheField name="Field10" numFmtId="49">
      <sharedItems/>
    </cacheField>
    <cacheField name="Field11" numFmtId="0">
      <sharedItems containsSemiMixedTypes="0" containsString="0" containsNumber="1" containsInteger="1" minValue="2020" maxValue="2023" count="4">
        <n v="2020"/>
        <n v="2021"/>
        <n v="2022"/>
        <n v="2023"/>
      </sharedItems>
    </cacheField>
    <cacheField name="Field12" numFmtId="0">
      <sharedItems containsSemiMixedTypes="0" containsString="0" containsNumber="1" minValue="456305.4" maxValue="8901170.66999999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8">
  <r>
    <x v="0"/>
    <s v="Golden Farms Nigeria Limited"/>
    <x v="0"/>
    <x v="0"/>
    <n v="620"/>
    <n v="35549.32"/>
    <n v="2269.9699999999998"/>
    <n v="22040578.399999999"/>
    <s v="Port Harcourt"/>
    <s v="Sea"/>
    <x v="0"/>
    <n v="1407381.4"/>
  </r>
  <r>
    <x v="0"/>
    <s v="Greenfield Agro Exporters Nigeria Limited"/>
    <x v="0"/>
    <x v="1"/>
    <n v="479"/>
    <n v="17626.87"/>
    <n v="6801.41"/>
    <n v="8443270.7300000004"/>
    <s v="Warri"/>
    <s v="Sea"/>
    <x v="0"/>
    <n v="3257875.39"/>
  </r>
  <r>
    <x v="0"/>
    <s v="Golden Farms Nigeria Limited"/>
    <x v="1"/>
    <x v="2"/>
    <n v="151"/>
    <n v="15679.05"/>
    <n v="8708.7099999999991"/>
    <n v="2367536.5499999998"/>
    <s v="Warri"/>
    <s v="Sea"/>
    <x v="0"/>
    <n v="1315015.21"/>
  </r>
  <r>
    <x v="0"/>
    <s v="Nigeria Agro Export Company"/>
    <x v="1"/>
    <x v="3"/>
    <n v="987"/>
    <n v="38561.5"/>
    <n v="9018.41"/>
    <n v="38060200.5"/>
    <s v="Lagos"/>
    <s v="Sea"/>
    <x v="0"/>
    <n v="8901170.6699999999"/>
  </r>
  <r>
    <x v="0"/>
    <s v="Agriplus Nigeria Limited"/>
    <x v="1"/>
    <x v="4"/>
    <n v="445"/>
    <n v="20520.439999999999"/>
    <n v="6305.29"/>
    <n v="9131595.8000000007"/>
    <s v="Lagos"/>
    <s v="Sea"/>
    <x v="0"/>
    <n v="2805854.05"/>
  </r>
  <r>
    <x v="0"/>
    <s v="Greenfield Agro Exporters Nigeria Limited"/>
    <x v="1"/>
    <x v="5"/>
    <n v="774"/>
    <n v="24784.46"/>
    <n v="6047.25"/>
    <n v="19183172.039999999"/>
    <s v="Lagos"/>
    <s v="Sea"/>
    <x v="0"/>
    <n v="4680571.5"/>
  </r>
  <r>
    <x v="0"/>
    <s v="Solid Agro Nigeria Limited"/>
    <x v="2"/>
    <x v="6"/>
    <n v="413"/>
    <n v="28753.55"/>
    <n v="6243.28"/>
    <n v="11875216.15"/>
    <s v="Lagos"/>
    <s v="Sea"/>
    <x v="0"/>
    <n v="2578474.6399999997"/>
  </r>
  <r>
    <x v="0"/>
    <s v="Nigerian Export Promotion Council (NEPC)"/>
    <x v="2"/>
    <x v="7"/>
    <n v="636"/>
    <n v="18138.259999999998"/>
    <n v="6241.93"/>
    <n v="11535933.359999999"/>
    <s v="Lagos"/>
    <s v="Sea"/>
    <x v="0"/>
    <n v="3969867.48"/>
  </r>
  <r>
    <x v="0"/>
    <s v="Nigeria Agro Export Company"/>
    <x v="3"/>
    <x v="8"/>
    <n v="627"/>
    <n v="34746.28"/>
    <n v="9410.6200000000008"/>
    <n v="21785917.559999999"/>
    <s v="Lagos"/>
    <s v="Sea"/>
    <x v="0"/>
    <n v="5900458.7400000002"/>
  </r>
  <r>
    <x v="0"/>
    <s v="Nigerian Export Promotion Council (NEPC)"/>
    <x v="3"/>
    <x v="9"/>
    <n v="804"/>
    <n v="24263.35"/>
    <n v="4847.33"/>
    <n v="19507733.399999999"/>
    <s v="Calabar"/>
    <s v="Sea"/>
    <x v="0"/>
    <n v="3897253.32"/>
  </r>
  <r>
    <x v="0"/>
    <s v="Farmgate Nigeria Limited"/>
    <x v="3"/>
    <x v="10"/>
    <n v="158"/>
    <n v="33199.440000000002"/>
    <n v="5295.09"/>
    <n v="5245511.5199999996"/>
    <s v="Lagos"/>
    <s v="Sea"/>
    <x v="0"/>
    <n v="836624.22"/>
  </r>
  <r>
    <x v="0"/>
    <s v="Prime Agro Exports Nigeria Limited"/>
    <x v="4"/>
    <x v="11"/>
    <n v="208"/>
    <n v="31322.799999999999"/>
    <n v="7800.08"/>
    <n v="6515142.4000000004"/>
    <s v="Lagos"/>
    <s v="Sea"/>
    <x v="0"/>
    <n v="1622416.64"/>
  </r>
  <r>
    <x v="0"/>
    <s v="Solid Agro Nigeria Limited"/>
    <x v="4"/>
    <x v="12"/>
    <n v="585"/>
    <n v="36047.54"/>
    <n v="7586.5"/>
    <n v="21087810.899999999"/>
    <s v="Lagos"/>
    <s v="Sea"/>
    <x v="0"/>
    <n v="4438102.5"/>
  </r>
  <r>
    <x v="0"/>
    <s v="Agro Export Nigeria Ltd"/>
    <x v="4"/>
    <x v="13"/>
    <n v="481"/>
    <n v="28731.34"/>
    <n v="7792.24"/>
    <n v="13819774.539999999"/>
    <s v="Port Harcourt"/>
    <s v="Sea"/>
    <x v="0"/>
    <n v="3748067.44"/>
  </r>
  <r>
    <x v="0"/>
    <s v="Golden Farms Nigeria Limited"/>
    <x v="5"/>
    <x v="14"/>
    <n v="592"/>
    <n v="10021.32"/>
    <n v="7255.38"/>
    <n v="5932621.4400000004"/>
    <s v="Lagos"/>
    <s v="Sea"/>
    <x v="0"/>
    <n v="4295184.96"/>
  </r>
  <r>
    <x v="0"/>
    <s v="Nigeria Agro Export Company"/>
    <x v="5"/>
    <x v="15"/>
    <n v="537"/>
    <n v="18603.64"/>
    <n v="5520.33"/>
    <n v="9990154.6799999997"/>
    <s v="Warri"/>
    <s v="Sea"/>
    <x v="0"/>
    <n v="2964417.21"/>
  </r>
  <r>
    <x v="0"/>
    <s v="Farmgate Nigeria Limited"/>
    <x v="5"/>
    <x v="16"/>
    <n v="492"/>
    <n v="49229.66"/>
    <n v="7287.84"/>
    <n v="24220992.719999999"/>
    <s v="Lagos"/>
    <s v="Sea"/>
    <x v="0"/>
    <n v="3585617.2800000003"/>
  </r>
  <r>
    <x v="0"/>
    <s v="Nigeria Agro Export Company"/>
    <x v="5"/>
    <x v="17"/>
    <n v="604"/>
    <n v="26272.25"/>
    <n v="3836.47"/>
    <n v="15868439"/>
    <s v="Lagos"/>
    <s v="Sea"/>
    <x v="0"/>
    <n v="2317227.88"/>
  </r>
  <r>
    <x v="0"/>
    <s v="Farmgate Nigeria Limited"/>
    <x v="6"/>
    <x v="18"/>
    <n v="204"/>
    <n v="22765.81"/>
    <n v="5848.05"/>
    <n v="4644225.24"/>
    <s v="Lagos"/>
    <s v="Sea"/>
    <x v="0"/>
    <n v="1193002.2"/>
  </r>
  <r>
    <x v="0"/>
    <s v="Nigerian Export Promotion Council (NEPC)"/>
    <x v="6"/>
    <x v="19"/>
    <n v="898"/>
    <n v="21737.75"/>
    <n v="5661.66"/>
    <n v="19520499.5"/>
    <s v="Lagos"/>
    <s v="Sea"/>
    <x v="0"/>
    <n v="5084170.68"/>
  </r>
  <r>
    <x v="0"/>
    <s v="Nigerian Export Promotion Council (NEPC)"/>
    <x v="6"/>
    <x v="20"/>
    <n v="519"/>
    <n v="33727.94"/>
    <n v="6857.59"/>
    <n v="17504800.859999999"/>
    <s v="Lagos"/>
    <s v="Sea"/>
    <x v="0"/>
    <n v="3559089.21"/>
  </r>
  <r>
    <x v="0"/>
    <s v="Prime Agro Exports Nigeria Limited"/>
    <x v="6"/>
    <x v="21"/>
    <n v="123"/>
    <n v="28223.94"/>
    <n v="4207.7299999999996"/>
    <n v="3471544.62"/>
    <s v="Lagos"/>
    <s v="Sea"/>
    <x v="0"/>
    <n v="517550.78999999992"/>
  </r>
  <r>
    <x v="0"/>
    <s v="Prime Agro Exports Nigeria Limited"/>
    <x v="6"/>
    <x v="22"/>
    <n v="647"/>
    <n v="24424.61"/>
    <n v="4660.79"/>
    <n v="15802722.67"/>
    <s v="Calabar"/>
    <s v="Sea"/>
    <x v="0"/>
    <n v="3015531.13"/>
  </r>
  <r>
    <x v="0"/>
    <s v="Solid Agro Nigeria Limited"/>
    <x v="6"/>
    <x v="23"/>
    <n v="396"/>
    <n v="28963.42"/>
    <n v="9765.76"/>
    <n v="11469514.32"/>
    <s v="Calabar"/>
    <s v="Sea"/>
    <x v="0"/>
    <n v="3867240.96"/>
  </r>
  <r>
    <x v="0"/>
    <s v="Farmgate Nigeria Limited"/>
    <x v="6"/>
    <x v="24"/>
    <n v="390"/>
    <n v="38419.120000000003"/>
    <n v="7127.08"/>
    <n v="14983456.800000001"/>
    <s v="Lagos"/>
    <s v="Sea"/>
    <x v="0"/>
    <n v="2779561.2"/>
  </r>
  <r>
    <x v="0"/>
    <s v="Greenfield Agro Exporters Nigeria Limited"/>
    <x v="7"/>
    <x v="25"/>
    <n v="290"/>
    <n v="18007.189999999999"/>
    <n v="9572.06"/>
    <n v="5222085.0999999996"/>
    <s v="Port Harcourt"/>
    <s v="Sea"/>
    <x v="0"/>
    <n v="2775897.4"/>
  </r>
  <r>
    <x v="0"/>
    <s v="Agro Export Nigeria Ltd"/>
    <x v="7"/>
    <x v="26"/>
    <n v="511"/>
    <n v="28130.25"/>
    <n v="9295.18"/>
    <n v="14374557.75"/>
    <s v="Lagos"/>
    <s v="Sea"/>
    <x v="0"/>
    <n v="4749836.9800000004"/>
  </r>
  <r>
    <x v="0"/>
    <s v="Farmgate Nigeria Limited"/>
    <x v="7"/>
    <x v="27"/>
    <n v="747"/>
    <n v="32440.35"/>
    <n v="7368.96"/>
    <n v="24232941.449999999"/>
    <s v="Lagos"/>
    <s v="Sea"/>
    <x v="0"/>
    <n v="5504613.1200000001"/>
  </r>
  <r>
    <x v="0"/>
    <s v="Farmgate Nigeria Limited"/>
    <x v="7"/>
    <x v="28"/>
    <n v="729"/>
    <n v="43688.56"/>
    <n v="7472"/>
    <n v="31848960.239999998"/>
    <s v="Port Harcourt"/>
    <s v="Sea"/>
    <x v="0"/>
    <n v="5447088"/>
  </r>
  <r>
    <x v="0"/>
    <s v="Agriplus Nigeria Limited"/>
    <x v="8"/>
    <x v="29"/>
    <n v="618"/>
    <n v="34261.660000000003"/>
    <n v="9850.59"/>
    <n v="21173705.879999999"/>
    <s v="Lagos"/>
    <s v="Sea"/>
    <x v="0"/>
    <n v="6087664.6200000001"/>
  </r>
  <r>
    <x v="0"/>
    <s v="Prime Agro Exports Nigeria Limited"/>
    <x v="8"/>
    <x v="30"/>
    <n v="706"/>
    <n v="35409.89"/>
    <n v="6520"/>
    <n v="24999382.34"/>
    <s v="Port Harcourt"/>
    <s v="Sea"/>
    <x v="0"/>
    <n v="4603120"/>
  </r>
  <r>
    <x v="0"/>
    <s v="Golden Farms Nigeria Limited"/>
    <x v="8"/>
    <x v="31"/>
    <n v="316"/>
    <n v="35104.26"/>
    <n v="2739.19"/>
    <n v="11092946.16"/>
    <s v="Lagos"/>
    <s v="Sea"/>
    <x v="0"/>
    <n v="865584.04"/>
  </r>
  <r>
    <x v="0"/>
    <s v="Agriplus Nigeria Limited"/>
    <x v="8"/>
    <x v="32"/>
    <n v="890"/>
    <n v="20914.84"/>
    <n v="7851.32"/>
    <n v="18614207.600000001"/>
    <s v="Lagos"/>
    <s v="Sea"/>
    <x v="0"/>
    <n v="6987674.7999999998"/>
  </r>
  <r>
    <x v="0"/>
    <s v="Nigerian Export Promotion Council (NEPC)"/>
    <x v="8"/>
    <x v="33"/>
    <n v="444"/>
    <n v="25730.68"/>
    <n v="5539.83"/>
    <n v="11424421.92"/>
    <s v="Lagos"/>
    <s v="Sea"/>
    <x v="0"/>
    <n v="2459684.52"/>
  </r>
  <r>
    <x v="0"/>
    <s v="Nigeria Agro Export Company"/>
    <x v="9"/>
    <x v="34"/>
    <n v="825"/>
    <n v="40168.050000000003"/>
    <n v="4338.22"/>
    <n v="33138641.25"/>
    <s v="Port Harcourt"/>
    <s v="Sea"/>
    <x v="0"/>
    <n v="3579031.5"/>
  </r>
  <r>
    <x v="0"/>
    <s v="Nigeria Agro Export Company"/>
    <x v="0"/>
    <x v="35"/>
    <n v="670"/>
    <n v="29082.54"/>
    <n v="4982.72"/>
    <n v="19485301.800000001"/>
    <s v="Calabar"/>
    <s v="Sea"/>
    <x v="1"/>
    <n v="3338422.4000000004"/>
  </r>
  <r>
    <x v="0"/>
    <s v="Agro Export Nigeria Ltd"/>
    <x v="0"/>
    <x v="36"/>
    <n v="293"/>
    <n v="35250.959999999999"/>
    <n v="4432.8900000000003"/>
    <n v="10328531.279999999"/>
    <s v="Lagos"/>
    <s v="Sea"/>
    <x v="1"/>
    <n v="1298836.77"/>
  </r>
  <r>
    <x v="0"/>
    <s v="Agriplus Nigeria Limited"/>
    <x v="0"/>
    <x v="37"/>
    <n v="109"/>
    <n v="37687.33"/>
    <n v="8794.43"/>
    <n v="4107918.97"/>
    <s v="Warri"/>
    <s v="Sea"/>
    <x v="1"/>
    <n v="958592.87"/>
  </r>
  <r>
    <x v="0"/>
    <s v="Solid Agro Nigeria Limited"/>
    <x v="1"/>
    <x v="38"/>
    <n v="108"/>
    <n v="37249.78"/>
    <n v="4225.05"/>
    <n v="4022976.24"/>
    <s v="Port Harcourt"/>
    <s v="Sea"/>
    <x v="1"/>
    <n v="456305.4"/>
  </r>
  <r>
    <x v="0"/>
    <s v="Golden Farms Nigeria Limited"/>
    <x v="1"/>
    <x v="39"/>
    <n v="344"/>
    <n v="11762.79"/>
    <n v="5039.24"/>
    <n v="4046399.76"/>
    <s v="Lagos"/>
    <s v="Sea"/>
    <x v="1"/>
    <n v="1733498.5599999998"/>
  </r>
  <r>
    <x v="0"/>
    <s v="Farmgate Nigeria Limited"/>
    <x v="1"/>
    <x v="40"/>
    <n v="188"/>
    <n v="38387.230000000003"/>
    <n v="9785.67"/>
    <n v="7216799.2400000002"/>
    <s v="Calabar"/>
    <s v="Sea"/>
    <x v="1"/>
    <n v="1839705.96"/>
  </r>
  <r>
    <x v="0"/>
    <s v="Solid Agro Nigeria Limited"/>
    <x v="1"/>
    <x v="41"/>
    <n v="973"/>
    <n v="13019.66"/>
    <n v="7802.91"/>
    <n v="12668129.18"/>
    <s v="Lagos"/>
    <s v="Sea"/>
    <x v="1"/>
    <n v="7592231.4299999997"/>
  </r>
  <r>
    <x v="0"/>
    <s v="Nigeria Agro Export Company"/>
    <x v="2"/>
    <x v="42"/>
    <n v="599"/>
    <n v="46916.93"/>
    <n v="8747.6"/>
    <n v="28103241.07"/>
    <s v="Lagos"/>
    <s v="Sea"/>
    <x v="1"/>
    <n v="5239812.4000000004"/>
  </r>
  <r>
    <x v="0"/>
    <s v="Agro Export Nigeria Ltd"/>
    <x v="2"/>
    <x v="43"/>
    <n v="319"/>
    <n v="26580.33"/>
    <n v="9531.2000000000007"/>
    <n v="8479125.2699999996"/>
    <s v="Lagos"/>
    <s v="Sea"/>
    <x v="1"/>
    <n v="3040452.8000000003"/>
  </r>
  <r>
    <x v="0"/>
    <s v="Nigeria Agro Export Company"/>
    <x v="2"/>
    <x v="44"/>
    <n v="195"/>
    <n v="22573.75"/>
    <n v="8379.0499999999993"/>
    <n v="4401881.25"/>
    <s v="Lagos"/>
    <s v="Sea"/>
    <x v="1"/>
    <n v="1633914.7499999998"/>
  </r>
  <r>
    <x v="0"/>
    <s v="Agro Allied Exporters Nigeria Limited"/>
    <x v="6"/>
    <x v="44"/>
    <n v="551"/>
    <n v="23671.25"/>
    <n v="6023.56"/>
    <n v="13042858.75"/>
    <s v="Lagos"/>
    <s v="Sea"/>
    <x v="1"/>
    <n v="3318981.56"/>
  </r>
  <r>
    <x v="0"/>
    <s v="Greenfield Agro Exporters Nigeria Limited"/>
    <x v="2"/>
    <x v="45"/>
    <n v="397"/>
    <n v="29715"/>
    <n v="6060.24"/>
    <n v="11796855"/>
    <s v="Warri"/>
    <s v="Sea"/>
    <x v="1"/>
    <n v="2405915.2799999998"/>
  </r>
  <r>
    <x v="0"/>
    <s v="Nigeria Agro Export Company"/>
    <x v="3"/>
    <x v="46"/>
    <n v="309"/>
    <n v="36171.199999999997"/>
    <n v="5485.99"/>
    <n v="11176900.800000001"/>
    <s v="Lagos"/>
    <s v="Sea"/>
    <x v="1"/>
    <n v="1695170.91"/>
  </r>
  <r>
    <x v="0"/>
    <s v="Nigerian Export Promotion Council (NEPC)"/>
    <x v="3"/>
    <x v="47"/>
    <n v="810"/>
    <n v="37294.980000000003"/>
    <n v="9804.7000000000007"/>
    <n v="30208933.800000001"/>
    <s v="Lagos"/>
    <s v="Sea"/>
    <x v="1"/>
    <n v="7941807.0000000009"/>
  </r>
  <r>
    <x v="0"/>
    <s v="Agro Export Nigeria Ltd"/>
    <x v="3"/>
    <x v="48"/>
    <n v="779"/>
    <n v="41434.9"/>
    <n v="4902.3900000000003"/>
    <n v="32277787.100000001"/>
    <s v="Lagos"/>
    <s v="Sea"/>
    <x v="1"/>
    <n v="3818961.81"/>
  </r>
  <r>
    <x v="0"/>
    <s v="Farmgate Nigeria Limited"/>
    <x v="3"/>
    <x v="49"/>
    <n v="407"/>
    <n v="17240.740000000002"/>
    <n v="7258.3"/>
    <n v="7016981.1799999997"/>
    <s v="Lagos"/>
    <s v="Sea"/>
    <x v="1"/>
    <n v="2954128.1"/>
  </r>
  <r>
    <x v="0"/>
    <s v="Nigeria Agro Export Company"/>
    <x v="3"/>
    <x v="50"/>
    <n v="469"/>
    <n v="40500.51"/>
    <n v="9256.9500000000007"/>
    <n v="18994739.190000001"/>
    <s v="Calabar"/>
    <s v="Sea"/>
    <x v="1"/>
    <n v="4341509.5500000007"/>
  </r>
  <r>
    <x v="0"/>
    <s v="Prime Agro Exports Nigeria Limited"/>
    <x v="4"/>
    <x v="51"/>
    <n v="963"/>
    <n v="16009.91"/>
    <n v="7849.5"/>
    <n v="15417543.33"/>
    <s v="Warri"/>
    <s v="Sea"/>
    <x v="1"/>
    <n v="7559068.5"/>
  </r>
  <r>
    <x v="0"/>
    <s v="Agriplus Nigeria Limited"/>
    <x v="4"/>
    <x v="52"/>
    <n v="491"/>
    <n v="42937.24"/>
    <n v="7776.41"/>
    <n v="21082184.84"/>
    <s v="Lagos"/>
    <s v="Sea"/>
    <x v="1"/>
    <n v="3818217.31"/>
  </r>
  <r>
    <x v="0"/>
    <s v="Farmgate Nigeria Limited"/>
    <x v="4"/>
    <x v="53"/>
    <n v="238"/>
    <n v="28152.42"/>
    <n v="8234.85"/>
    <n v="6700275.96"/>
    <s v="Lagos"/>
    <s v="Sea"/>
    <x v="1"/>
    <n v="1959894.3"/>
  </r>
  <r>
    <x v="0"/>
    <s v="Nigeria Agro Export Company"/>
    <x v="4"/>
    <x v="54"/>
    <n v="305"/>
    <n v="18218.73"/>
    <n v="9792.49"/>
    <n v="5556712.6500000004"/>
    <s v="Lagos"/>
    <s v="Sea"/>
    <x v="1"/>
    <n v="2986709.4499999997"/>
  </r>
  <r>
    <x v="0"/>
    <s v="Nigerian Export Promotion Council (NEPC)"/>
    <x v="5"/>
    <x v="55"/>
    <n v="360"/>
    <n v="25462.65"/>
    <n v="9477.39"/>
    <n v="9166554"/>
    <s v="Lagos"/>
    <s v="Sea"/>
    <x v="1"/>
    <n v="3411860.4"/>
  </r>
  <r>
    <x v="0"/>
    <s v="Prime Agro Exports Nigeria Limited"/>
    <x v="5"/>
    <x v="56"/>
    <n v="394"/>
    <n v="47388.5"/>
    <n v="9454.0300000000007"/>
    <n v="18671069"/>
    <s v="Lagos"/>
    <s v="Sea"/>
    <x v="1"/>
    <n v="3724887.8200000003"/>
  </r>
  <r>
    <x v="0"/>
    <s v="Nigeria Agro Export Company"/>
    <x v="5"/>
    <x v="57"/>
    <n v="112"/>
    <n v="37672.07"/>
    <n v="5265.33"/>
    <n v="4219271.84"/>
    <s v="Lagos"/>
    <s v="Sea"/>
    <x v="1"/>
    <n v="589716.96"/>
  </r>
  <r>
    <x v="0"/>
    <s v="Nigeria Agro Export Company"/>
    <x v="5"/>
    <x v="58"/>
    <n v="494"/>
    <n v="29181.06"/>
    <n v="2446.06"/>
    <n v="14415443.640000001"/>
    <s v="Lagos"/>
    <s v="Sea"/>
    <x v="1"/>
    <n v="1208353.6399999999"/>
  </r>
  <r>
    <x v="0"/>
    <s v="Farmgate Nigeria Limited"/>
    <x v="6"/>
    <x v="59"/>
    <n v="773"/>
    <n v="38681.14"/>
    <n v="8033.55"/>
    <n v="29900521.219999999"/>
    <s v="Lagos"/>
    <s v="Sea"/>
    <x v="1"/>
    <n v="6209934.1500000004"/>
  </r>
  <r>
    <x v="0"/>
    <s v="Prime Agro Exports Nigeria Limited"/>
    <x v="6"/>
    <x v="60"/>
    <n v="279"/>
    <n v="13571.23"/>
    <n v="9897.25"/>
    <n v="3786373.17"/>
    <s v="Calabar"/>
    <s v="Sea"/>
    <x v="1"/>
    <n v="2761332.75"/>
  </r>
  <r>
    <x v="0"/>
    <s v="Farmgate Nigeria Limited"/>
    <x v="6"/>
    <x v="60"/>
    <n v="634"/>
    <n v="40807.39"/>
    <n v="9589.5300000000007"/>
    <n v="25871885.260000002"/>
    <s v="Lagos"/>
    <s v="Sea"/>
    <x v="1"/>
    <n v="6079762.0200000005"/>
  </r>
  <r>
    <x v="0"/>
    <s v="Agro Export Nigeria Ltd"/>
    <x v="6"/>
    <x v="61"/>
    <n v="595"/>
    <n v="49952.76"/>
    <n v="3880.69"/>
    <n v="29721892.199999999"/>
    <s v="Calabar"/>
    <s v="Sea"/>
    <x v="1"/>
    <n v="2309010.5499999998"/>
  </r>
  <r>
    <x v="0"/>
    <s v="Nigerian Export Promotion Council (NEPC)"/>
    <x v="6"/>
    <x v="62"/>
    <n v="777"/>
    <n v="30049.86"/>
    <n v="4993.55"/>
    <n v="23348741.219999999"/>
    <s v="Calabar"/>
    <s v="Sea"/>
    <x v="1"/>
    <n v="3879988.35"/>
  </r>
  <r>
    <x v="0"/>
    <s v="Greenfield Agro Exporters Nigeria Limited"/>
    <x v="6"/>
    <x v="63"/>
    <n v="669"/>
    <n v="18940.330000000002"/>
    <n v="2890.92"/>
    <n v="12671080.77"/>
    <s v="Lagos"/>
    <s v="Sea"/>
    <x v="1"/>
    <n v="1934025.48"/>
  </r>
  <r>
    <x v="0"/>
    <s v="Golden Farms Nigeria Limited"/>
    <x v="7"/>
    <x v="64"/>
    <n v="359"/>
    <n v="19044.29"/>
    <n v="6879.43"/>
    <n v="6836900.1100000003"/>
    <s v="Lagos"/>
    <s v="Sea"/>
    <x v="1"/>
    <n v="2469715.37"/>
  </r>
  <r>
    <x v="0"/>
    <s v="Agro Allied Exporters Nigeria Limited"/>
    <x v="7"/>
    <x v="65"/>
    <n v="692"/>
    <n v="20019.73"/>
    <n v="4532.37"/>
    <n v="13853653.16"/>
    <s v="Lagos"/>
    <s v="Sea"/>
    <x v="1"/>
    <n v="3136400.04"/>
  </r>
  <r>
    <x v="0"/>
    <s v="Prime Agro Exports Nigeria Limited"/>
    <x v="7"/>
    <x v="66"/>
    <n v="435"/>
    <n v="33734.239999999998"/>
    <n v="7258.28"/>
    <n v="14674394.4"/>
    <s v="Lagos"/>
    <s v="Sea"/>
    <x v="1"/>
    <n v="3157351.8"/>
  </r>
  <r>
    <x v="0"/>
    <s v="Prime Agro Exports Nigeria Limited"/>
    <x v="8"/>
    <x v="67"/>
    <n v="870"/>
    <n v="48583.99"/>
    <n v="3988.43"/>
    <n v="42268071.299999997"/>
    <s v="Lagos"/>
    <s v="Sea"/>
    <x v="1"/>
    <n v="3469934.0999999996"/>
  </r>
  <r>
    <x v="0"/>
    <s v="Prime Agro Exports Nigeria Limited"/>
    <x v="8"/>
    <x v="68"/>
    <n v="388"/>
    <n v="14002.05"/>
    <n v="7799.02"/>
    <n v="5432795.4000000004"/>
    <s v="Lagos"/>
    <s v="Sea"/>
    <x v="1"/>
    <n v="3026019.7600000002"/>
  </r>
  <r>
    <x v="0"/>
    <s v="Agriplus Nigeria Limited"/>
    <x v="8"/>
    <x v="69"/>
    <n v="988"/>
    <n v="34090.050000000003"/>
    <n v="6763.49"/>
    <n v="33680969.399999999"/>
    <s v="Lagos"/>
    <s v="Sea"/>
    <x v="1"/>
    <n v="6682328.1200000001"/>
  </r>
  <r>
    <x v="0"/>
    <s v="Agriplus Nigeria Limited"/>
    <x v="8"/>
    <x v="70"/>
    <n v="456"/>
    <n v="21633.599999999999"/>
    <n v="4135.4399999999996"/>
    <n v="9864921.5999999996"/>
    <s v="Calabar"/>
    <s v="Sea"/>
    <x v="1"/>
    <n v="1885760.64"/>
  </r>
  <r>
    <x v="0"/>
    <s v="Prime Agro Exports Nigeria Limited"/>
    <x v="8"/>
    <x v="71"/>
    <n v="627"/>
    <n v="28634.29"/>
    <n v="6333.2"/>
    <n v="17953699.829999998"/>
    <s v="Warri"/>
    <s v="Sea"/>
    <x v="1"/>
    <n v="3970916.4"/>
  </r>
  <r>
    <x v="0"/>
    <s v="Nigerian Export Promotion Council (NEPC)"/>
    <x v="8"/>
    <x v="72"/>
    <n v="369"/>
    <n v="13952.52"/>
    <n v="6188.94"/>
    <n v="5148479.88"/>
    <s v="Lagos"/>
    <s v="Sea"/>
    <x v="1"/>
    <n v="2283718.86"/>
  </r>
  <r>
    <x v="0"/>
    <s v="Agriplus Nigeria Limited"/>
    <x v="9"/>
    <x v="73"/>
    <n v="496"/>
    <n v="16337.54"/>
    <n v="7374.32"/>
    <n v="8103419.8399999999"/>
    <s v="Port Harcourt"/>
    <s v="Sea"/>
    <x v="1"/>
    <n v="3657662.7199999997"/>
  </r>
  <r>
    <x v="0"/>
    <s v="Nigeria Agro Export Company"/>
    <x v="1"/>
    <x v="74"/>
    <n v="225"/>
    <n v="27359.34"/>
    <n v="4792.7"/>
    <n v="6155851.5"/>
    <s v="Lagos"/>
    <s v="Sea"/>
    <x v="2"/>
    <n v="1078357.5"/>
  </r>
  <r>
    <x v="0"/>
    <s v="Solid Agro Nigeria Limited"/>
    <x v="1"/>
    <x v="75"/>
    <n v="425"/>
    <n v="18775.34"/>
    <n v="5343.85"/>
    <n v="7979519.5"/>
    <s v="Lagos"/>
    <s v="Sea"/>
    <x v="2"/>
    <n v="2271136.25"/>
  </r>
  <r>
    <x v="0"/>
    <s v="Solid Agro Nigeria Limited"/>
    <x v="1"/>
    <x v="76"/>
    <n v="930"/>
    <n v="37216.61"/>
    <n v="4076.71"/>
    <n v="34611447.299999997"/>
    <s v="Warri"/>
    <s v="Sea"/>
    <x v="2"/>
    <n v="3791340.3"/>
  </r>
  <r>
    <x v="0"/>
    <s v="Agriplus Nigeria Limited"/>
    <x v="1"/>
    <x v="77"/>
    <n v="220"/>
    <n v="37731.49"/>
    <n v="5466.27"/>
    <n v="8300927.7999999998"/>
    <s v="Warri"/>
    <s v="Sea"/>
    <x v="2"/>
    <n v="1202579.4000000001"/>
  </r>
  <r>
    <x v="0"/>
    <s v="Nigeria Agro Export Company"/>
    <x v="2"/>
    <x v="78"/>
    <n v="223"/>
    <n v="41689.96"/>
    <n v="7172.86"/>
    <n v="9296861.0800000001"/>
    <s v="Lagos"/>
    <s v="Sea"/>
    <x v="2"/>
    <n v="1599547.78"/>
  </r>
  <r>
    <x v="0"/>
    <s v="Golden Farms Nigeria Limited"/>
    <x v="2"/>
    <x v="79"/>
    <n v="238"/>
    <n v="31839.65"/>
    <n v="8488.9699999999993"/>
    <n v="7577836.7000000002"/>
    <s v="Lagos"/>
    <s v="Sea"/>
    <x v="2"/>
    <n v="2020374.8599999999"/>
  </r>
  <r>
    <x v="0"/>
    <s v="Agro Allied Exporters Nigeria Limited"/>
    <x v="2"/>
    <x v="80"/>
    <n v="228"/>
    <n v="27992.79"/>
    <n v="4627.45"/>
    <n v="6382356.1200000001"/>
    <s v="Calabar"/>
    <s v="Sea"/>
    <x v="2"/>
    <n v="1055058.5999999999"/>
  </r>
  <r>
    <x v="0"/>
    <s v="Greenfield Agro Exporters Nigeria Limited"/>
    <x v="2"/>
    <x v="81"/>
    <n v="462"/>
    <n v="40352.050000000003"/>
    <n v="5985.5"/>
    <n v="18642647.100000001"/>
    <s v="Lagos"/>
    <s v="Sea"/>
    <x v="2"/>
    <n v="2765301"/>
  </r>
  <r>
    <x v="0"/>
    <s v="Nigerian Export Promotion Council (NEPC)"/>
    <x v="2"/>
    <x v="82"/>
    <n v="212"/>
    <n v="38606.82"/>
    <n v="8270.19"/>
    <n v="8184645.8399999999"/>
    <s v="Lagos"/>
    <s v="Sea"/>
    <x v="2"/>
    <n v="1753280.28"/>
  </r>
  <r>
    <x v="0"/>
    <s v="Agro Allied Exporters Nigeria Limited"/>
    <x v="3"/>
    <x v="83"/>
    <n v="197"/>
    <n v="32460.959999999999"/>
    <n v="3462.01"/>
    <n v="6394809.1200000001"/>
    <s v="Lagos"/>
    <s v="Sea"/>
    <x v="2"/>
    <n v="682015.97000000009"/>
  </r>
  <r>
    <x v="0"/>
    <s v="Prime Agro Exports Nigeria Limited"/>
    <x v="3"/>
    <x v="84"/>
    <n v="969"/>
    <n v="18970.62"/>
    <n v="4948.6899999999996"/>
    <n v="18382530.780000001"/>
    <s v="Lagos"/>
    <s v="Sea"/>
    <x v="2"/>
    <n v="4795280.6099999994"/>
  </r>
  <r>
    <x v="0"/>
    <s v="Agro Export Nigeria Ltd"/>
    <x v="3"/>
    <x v="85"/>
    <n v="179"/>
    <n v="11948.5"/>
    <n v="8565.61"/>
    <n v="2138781.5"/>
    <s v="Lagos"/>
    <s v="Sea"/>
    <x v="2"/>
    <n v="1533244.1900000002"/>
  </r>
  <r>
    <x v="0"/>
    <s v="Agro Export Nigeria Ltd"/>
    <x v="3"/>
    <x v="86"/>
    <n v="884"/>
    <n v="49041.91"/>
    <n v="3226.31"/>
    <n v="43353048.439999998"/>
    <s v="Lagos"/>
    <s v="Sea"/>
    <x v="2"/>
    <n v="2852058.04"/>
  </r>
  <r>
    <x v="0"/>
    <s v="Nigeria Agro Export Company"/>
    <x v="4"/>
    <x v="87"/>
    <n v="509"/>
    <n v="37586.949999999997"/>
    <n v="3011.25"/>
    <n v="19131757.550000001"/>
    <s v="Lagos"/>
    <s v="Sea"/>
    <x v="2"/>
    <n v="1532726.25"/>
  </r>
  <r>
    <x v="0"/>
    <s v="Nigerian Export Promotion Council (NEPC)"/>
    <x v="4"/>
    <x v="88"/>
    <n v="928"/>
    <n v="43869.35"/>
    <n v="7665.68"/>
    <n v="40710756.799999997"/>
    <s v="Lagos"/>
    <s v="Sea"/>
    <x v="2"/>
    <n v="7113751.04"/>
  </r>
  <r>
    <x v="0"/>
    <s v="Farmgate Nigeria Limited"/>
    <x v="4"/>
    <x v="89"/>
    <n v="687"/>
    <n v="33342.97"/>
    <n v="6500.51"/>
    <n v="22906620.390000001"/>
    <s v="Lagos"/>
    <s v="Sea"/>
    <x v="2"/>
    <n v="4465850.37"/>
  </r>
  <r>
    <x v="0"/>
    <s v="Solid Agro Nigeria Limited"/>
    <x v="4"/>
    <x v="90"/>
    <n v="606"/>
    <n v="27024.3"/>
    <n v="3236.49"/>
    <n v="16376725.800000001"/>
    <s v="Lagos"/>
    <s v="Sea"/>
    <x v="2"/>
    <n v="1961312.94"/>
  </r>
  <r>
    <x v="0"/>
    <s v="Greenfield Agro Exporters Nigeria Limited"/>
    <x v="4"/>
    <x v="91"/>
    <n v="318"/>
    <n v="24796.29"/>
    <n v="9931.61"/>
    <n v="7885220.2199999997"/>
    <s v="Port Harcourt"/>
    <s v="Sea"/>
    <x v="2"/>
    <n v="3158251.98"/>
  </r>
  <r>
    <x v="0"/>
    <s v="Prime Agro Exports Nigeria Limited"/>
    <x v="4"/>
    <x v="92"/>
    <n v="603"/>
    <n v="25715.79"/>
    <n v="9586.4599999999991"/>
    <n v="15506621.369999999"/>
    <s v="Port Harcourt"/>
    <s v="Sea"/>
    <x v="2"/>
    <n v="5780635.3799999999"/>
  </r>
  <r>
    <x v="0"/>
    <s v="Solid Agro Nigeria Limited"/>
    <x v="4"/>
    <x v="93"/>
    <n v="504"/>
    <n v="16636.12"/>
    <n v="4596.82"/>
    <n v="8384604.4800000004"/>
    <s v="Port Harcourt"/>
    <s v="Sea"/>
    <x v="2"/>
    <n v="2316797.2799999998"/>
  </r>
  <r>
    <x v="0"/>
    <s v="Golden Farms Nigeria Limited"/>
    <x v="5"/>
    <x v="94"/>
    <n v="900"/>
    <n v="27487.89"/>
    <n v="7714.09"/>
    <n v="24739101"/>
    <s v="Lagos"/>
    <s v="Sea"/>
    <x v="2"/>
    <n v="6942681"/>
  </r>
  <r>
    <x v="0"/>
    <s v="Agriplus Nigeria Limited"/>
    <x v="5"/>
    <x v="95"/>
    <n v="389"/>
    <n v="22294.639999999999"/>
    <n v="3359.32"/>
    <n v="8672614.9600000009"/>
    <s v="Calabar"/>
    <s v="Sea"/>
    <x v="2"/>
    <n v="1306775.48"/>
  </r>
  <r>
    <x v="0"/>
    <s v="Greenfield Agro Exporters Nigeria Limited"/>
    <x v="9"/>
    <x v="95"/>
    <n v="253"/>
    <n v="10966.93"/>
    <n v="2635.2"/>
    <n v="2774633.29"/>
    <s v="Port Harcourt"/>
    <s v="Sea"/>
    <x v="2"/>
    <n v="666705.6"/>
  </r>
  <r>
    <x v="0"/>
    <s v="Solid Agro Nigeria Limited"/>
    <x v="6"/>
    <x v="96"/>
    <n v="633"/>
    <n v="25099.43"/>
    <n v="2601.7800000000002"/>
    <n v="15887939.189999999"/>
    <s v="Lagos"/>
    <s v="Sea"/>
    <x v="2"/>
    <n v="1646926.7400000002"/>
  </r>
  <r>
    <x v="0"/>
    <s v="Prime Agro Exports Nigeria Limited"/>
    <x v="6"/>
    <x v="97"/>
    <n v="749"/>
    <n v="28798.52"/>
    <n v="6193.18"/>
    <n v="21570091.48"/>
    <s v="Lagos"/>
    <s v="Sea"/>
    <x v="2"/>
    <n v="4638691.82"/>
  </r>
  <r>
    <x v="0"/>
    <s v="Greenfield Agro Exporters Nigeria Limited"/>
    <x v="6"/>
    <x v="98"/>
    <n v="757"/>
    <n v="15651.76"/>
    <n v="2822.57"/>
    <n v="11848382.32"/>
    <s v="Lagos"/>
    <s v="Sea"/>
    <x v="2"/>
    <n v="2136685.4900000002"/>
  </r>
  <r>
    <x v="0"/>
    <s v="Prime Agro Exports Nigeria Limited"/>
    <x v="6"/>
    <x v="99"/>
    <n v="412"/>
    <n v="39780.129999999997"/>
    <n v="7699.27"/>
    <n v="16389413.560000001"/>
    <s v="Lagos"/>
    <s v="Sea"/>
    <x v="2"/>
    <n v="3172099.24"/>
  </r>
  <r>
    <x v="0"/>
    <s v="Agriplus Nigeria Limited"/>
    <x v="6"/>
    <x v="100"/>
    <n v="985"/>
    <n v="17927.04"/>
    <n v="2110.33"/>
    <n v="17658134.399999999"/>
    <s v="Lagos"/>
    <s v="Sea"/>
    <x v="2"/>
    <n v="2078675.0499999998"/>
  </r>
  <r>
    <x v="0"/>
    <s v="Farmgate Nigeria Limited"/>
    <x v="7"/>
    <x v="101"/>
    <n v="720"/>
    <n v="20018.86"/>
    <n v="3870.9"/>
    <n v="14413579.199999999"/>
    <s v="Lagos"/>
    <s v="Sea"/>
    <x v="2"/>
    <n v="2787048"/>
  </r>
  <r>
    <x v="0"/>
    <s v="Solid Agro Nigeria Limited"/>
    <x v="7"/>
    <x v="102"/>
    <n v="494"/>
    <n v="15808.25"/>
    <n v="8514.16"/>
    <n v="7809275.5"/>
    <s v="Lagos"/>
    <s v="Sea"/>
    <x v="2"/>
    <n v="4205995.04"/>
  </r>
  <r>
    <x v="0"/>
    <s v="Greenfield Agro Exporters Nigeria Limited"/>
    <x v="7"/>
    <x v="103"/>
    <n v="275"/>
    <n v="18649.39"/>
    <n v="2111.9899999999998"/>
    <n v="5128582.25"/>
    <s v="Lagos"/>
    <s v="Sea"/>
    <x v="2"/>
    <n v="580797.24999999988"/>
  </r>
  <r>
    <x v="0"/>
    <s v="Prime Agro Exports Nigeria Limited"/>
    <x v="8"/>
    <x v="104"/>
    <n v="558"/>
    <n v="37757.629999999997"/>
    <n v="8787.98"/>
    <n v="21068757.539999999"/>
    <s v="Lagos"/>
    <s v="Sea"/>
    <x v="2"/>
    <n v="4903692.84"/>
  </r>
  <r>
    <x v="0"/>
    <s v="Agriplus Nigeria Limited"/>
    <x v="9"/>
    <x v="105"/>
    <n v="823"/>
    <n v="27043.87"/>
    <n v="3741.34"/>
    <n v="22257105.010000002"/>
    <s v="Lagos"/>
    <s v="Sea"/>
    <x v="2"/>
    <n v="3079122.8200000003"/>
  </r>
  <r>
    <x v="0"/>
    <s v="Greenfield Agro Exporters Nigeria Limited"/>
    <x v="0"/>
    <x v="106"/>
    <n v="561"/>
    <n v="12953.71"/>
    <n v="2565.69"/>
    <n v="7267031.3099999996"/>
    <s v="Lagos"/>
    <s v="Sea"/>
    <x v="3"/>
    <n v="1439352.09"/>
  </r>
  <r>
    <x v="0"/>
    <s v="Nigeria Agro Export Company"/>
    <x v="0"/>
    <x v="107"/>
    <n v="506"/>
    <n v="49365.93"/>
    <n v="8498.57"/>
    <n v="24979160.579999998"/>
    <s v="Lagos"/>
    <s v="Sea"/>
    <x v="3"/>
    <n v="4300276.42"/>
  </r>
  <r>
    <x v="0"/>
    <s v="Agriplus Nigeria Limited"/>
    <x v="1"/>
    <x v="107"/>
    <n v="104"/>
    <n v="28856.79"/>
    <n v="6754.28"/>
    <n v="3001106.16"/>
    <s v="Port Harcourt"/>
    <s v="Sea"/>
    <x v="3"/>
    <n v="702445.12"/>
  </r>
  <r>
    <x v="0"/>
    <s v="Nigeria Agro Export Company"/>
    <x v="0"/>
    <x v="108"/>
    <n v="730"/>
    <n v="49937.99"/>
    <n v="9149.4"/>
    <n v="36454732.700000003"/>
    <s v="Warri"/>
    <s v="Sea"/>
    <x v="3"/>
    <n v="6679062"/>
  </r>
  <r>
    <x v="0"/>
    <s v="Nigerian Export Promotion Council (NEPC)"/>
    <x v="1"/>
    <x v="109"/>
    <n v="245"/>
    <n v="22058.15"/>
    <n v="9141.0499999999993"/>
    <n v="5404246.75"/>
    <s v="Port Harcourt"/>
    <s v="Sea"/>
    <x v="3"/>
    <n v="2239557.25"/>
  </r>
  <r>
    <x v="0"/>
    <s v="Nigerian Export Promotion Council (NEPC)"/>
    <x v="1"/>
    <x v="110"/>
    <n v="388"/>
    <n v="43524.13"/>
    <n v="7427.72"/>
    <n v="16887362.440000001"/>
    <s v="Lagos"/>
    <s v="Sea"/>
    <x v="3"/>
    <n v="2881955.36"/>
  </r>
  <r>
    <x v="0"/>
    <s v="Agriplus Nigeria Limited"/>
    <x v="1"/>
    <x v="111"/>
    <n v="296"/>
    <n v="28499.89"/>
    <n v="4918.3100000000004"/>
    <n v="8435967.4399999995"/>
    <s v="Calabar"/>
    <s v="Sea"/>
    <x v="3"/>
    <n v="1455819.76"/>
  </r>
  <r>
    <x v="0"/>
    <s v="Agro Allied Exporters Nigeria Limited"/>
    <x v="2"/>
    <x v="112"/>
    <n v="768"/>
    <n v="39606.639999999999"/>
    <n v="7529.98"/>
    <n v="30417899.52"/>
    <s v="Lagos"/>
    <s v="Sea"/>
    <x v="3"/>
    <n v="5783024.6399999997"/>
  </r>
  <r>
    <x v="0"/>
    <s v="Greenfield Agro Exporters Nigeria Limited"/>
    <x v="2"/>
    <x v="113"/>
    <n v="128"/>
    <n v="13118.57"/>
    <n v="7901.12"/>
    <n v="1679176.96"/>
    <s v="Lagos"/>
    <s v="Sea"/>
    <x v="3"/>
    <n v="1011343.36"/>
  </r>
  <r>
    <x v="0"/>
    <s v="Solid Agro Nigeria Limited"/>
    <x v="2"/>
    <x v="114"/>
    <n v="403"/>
    <n v="12673.28"/>
    <n v="3954.67"/>
    <n v="5107331.84"/>
    <s v="Port Harcourt"/>
    <s v="Sea"/>
    <x v="3"/>
    <n v="1593732.01"/>
  </r>
  <r>
    <x v="0"/>
    <s v="Solid Agro Nigeria Limited"/>
    <x v="3"/>
    <x v="115"/>
    <n v="555"/>
    <n v="16865.509999999998"/>
    <n v="4394.07"/>
    <n v="9360358.0500000007"/>
    <s v="Lagos"/>
    <s v="Sea"/>
    <x v="3"/>
    <n v="2438708.8499999996"/>
  </r>
  <r>
    <x v="0"/>
    <s v="Agro Export Nigeria Ltd"/>
    <x v="3"/>
    <x v="116"/>
    <n v="506"/>
    <n v="35141.25"/>
    <n v="6995.65"/>
    <n v="17781472.5"/>
    <s v="Warri"/>
    <s v="Sea"/>
    <x v="3"/>
    <n v="3539798.9"/>
  </r>
  <r>
    <x v="0"/>
    <s v="Farmgate Nigeria Limited"/>
    <x v="3"/>
    <x v="117"/>
    <n v="687"/>
    <n v="31309.13"/>
    <n v="5015.01"/>
    <n v="21509372.309999999"/>
    <s v="Lagos"/>
    <s v="Sea"/>
    <x v="3"/>
    <n v="3445311.87"/>
  </r>
  <r>
    <x v="0"/>
    <s v="Agro Export Nigeria Ltd"/>
    <x v="3"/>
    <x v="118"/>
    <n v="653"/>
    <n v="43827.24"/>
    <n v="5249.1"/>
    <n v="28619187.719999999"/>
    <s v="Lagos"/>
    <s v="Sea"/>
    <x v="3"/>
    <n v="3427662.3000000003"/>
  </r>
  <r>
    <x v="0"/>
    <s v="Solid Agro Nigeria Limited"/>
    <x v="3"/>
    <x v="119"/>
    <n v="705"/>
    <n v="20889.939999999999"/>
    <n v="5798.03"/>
    <n v="14727407.699999999"/>
    <s v="Warri"/>
    <s v="Sea"/>
    <x v="3"/>
    <n v="4087611.15"/>
  </r>
  <r>
    <x v="0"/>
    <s v="Greenfield Agro Exporters Nigeria Limited"/>
    <x v="4"/>
    <x v="120"/>
    <n v="494"/>
    <n v="30668.78"/>
    <n v="5725.02"/>
    <n v="15150377.32"/>
    <s v="Lagos"/>
    <s v="Sea"/>
    <x v="3"/>
    <n v="2828159.8800000004"/>
  </r>
  <r>
    <x v="0"/>
    <s v="Greenfield Agro Exporters Nigeria Limited"/>
    <x v="4"/>
    <x v="121"/>
    <n v="296"/>
    <n v="12168.22"/>
    <n v="6858.4"/>
    <n v="3601793.12"/>
    <s v="Lagos"/>
    <s v="Sea"/>
    <x v="3"/>
    <n v="2030086.4"/>
  </r>
  <r>
    <x v="0"/>
    <s v="Farmgate Nigeria Limited"/>
    <x v="4"/>
    <x v="122"/>
    <n v="374"/>
    <n v="37904.800000000003"/>
    <n v="8329.34"/>
    <n v="14176395.199999999"/>
    <s v="Calabar"/>
    <s v="Sea"/>
    <x v="3"/>
    <n v="3115173.16"/>
  </r>
  <r>
    <x v="0"/>
    <s v="Agriplus Nigeria Limited"/>
    <x v="5"/>
    <x v="123"/>
    <n v="287"/>
    <n v="16862.169999999998"/>
    <n v="4233.25"/>
    <n v="4839442.79"/>
    <s v="Port Harcourt"/>
    <s v="Sea"/>
    <x v="3"/>
    <n v="1214942.75"/>
  </r>
  <r>
    <x v="0"/>
    <s v="Agro Export Nigeria Ltd"/>
    <x v="6"/>
    <x v="124"/>
    <n v="608"/>
    <n v="26360.69"/>
    <n v="9315.67"/>
    <n v="16027299.52"/>
    <s v="Lagos"/>
    <s v="Sea"/>
    <x v="3"/>
    <n v="5663927.3600000003"/>
  </r>
  <r>
    <x v="0"/>
    <s v="Agro Export Nigeria Ltd"/>
    <x v="6"/>
    <x v="125"/>
    <n v="409"/>
    <n v="48643.45"/>
    <n v="3745.48"/>
    <n v="19895171.050000001"/>
    <s v="Lagos"/>
    <s v="Sea"/>
    <x v="3"/>
    <n v="1531901.32"/>
  </r>
  <r>
    <x v="0"/>
    <s v="Nigeria Agro Export Company"/>
    <x v="7"/>
    <x v="126"/>
    <n v="490"/>
    <n v="23893.95"/>
    <n v="5788.54"/>
    <n v="11708035.5"/>
    <s v="Calabar"/>
    <s v="Sea"/>
    <x v="3"/>
    <n v="2836384.6"/>
  </r>
  <r>
    <x v="0"/>
    <s v="Agro Export Nigeria Ltd"/>
    <x v="7"/>
    <x v="127"/>
    <n v="413"/>
    <n v="13305.43"/>
    <n v="7780.18"/>
    <n v="5495142.5899999999"/>
    <s v="Port Harcourt"/>
    <s v="Sea"/>
    <x v="3"/>
    <n v="3213214.3400000003"/>
  </r>
  <r>
    <x v="0"/>
    <s v="Solid Agro Nigeria Limited"/>
    <x v="7"/>
    <x v="128"/>
    <n v="290"/>
    <n v="40212.78"/>
    <n v="6892.54"/>
    <n v="11661706.199999999"/>
    <s v="Port Harcourt"/>
    <s v="Sea"/>
    <x v="3"/>
    <n v="1998836.6"/>
  </r>
  <r>
    <x v="0"/>
    <s v="Greenfield Agro Exporters Nigeria Limited"/>
    <x v="8"/>
    <x v="129"/>
    <n v="221"/>
    <n v="49351.360000000001"/>
    <n v="5461.08"/>
    <n v="10906650.560000001"/>
    <s v="Lagos"/>
    <s v="Sea"/>
    <x v="3"/>
    <n v="1206898.68"/>
  </r>
  <r>
    <x v="0"/>
    <s v="Agro Export Nigeria Ltd"/>
    <x v="8"/>
    <x v="130"/>
    <n v="600"/>
    <n v="35084.68"/>
    <n v="5515.51"/>
    <n v="21050808"/>
    <s v="Warri"/>
    <s v="Sea"/>
    <x v="3"/>
    <n v="3309306"/>
  </r>
  <r>
    <x v="0"/>
    <s v="Golden Farms Nigeria Limited"/>
    <x v="9"/>
    <x v="131"/>
    <n v="998"/>
    <n v="30576.799999999999"/>
    <n v="2142.19"/>
    <n v="30515646.399999999"/>
    <s v="Lagos"/>
    <s v="Sea"/>
    <x v="3"/>
    <n v="2137905.62"/>
  </r>
  <r>
    <x v="0"/>
    <s v="Greenfield Agro Exporters Nigeria Limited"/>
    <x v="9"/>
    <x v="132"/>
    <n v="278"/>
    <n v="28564.880000000001"/>
    <n v="8098.26"/>
    <n v="7941036.6399999997"/>
    <s v="Lagos"/>
    <s v="Sea"/>
    <x v="3"/>
    <n v="2251316.2800000003"/>
  </r>
  <r>
    <x v="0"/>
    <s v="Greenfield Agro Exporters Nigeria Limited"/>
    <x v="9"/>
    <x v="133"/>
    <n v="315"/>
    <n v="42814.92"/>
    <n v="6620.22"/>
    <n v="13486699.800000001"/>
    <s v="Lagos"/>
    <s v="Sea"/>
    <x v="3"/>
    <n v="2085369.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">
  <r>
    <m/>
    <s v="Cassava"/>
    <s v="Farmgate Nigeria Limited"/>
    <x v="0"/>
    <s v="10/14/2020"/>
    <n v="702"/>
    <n v="18536.45"/>
    <n v="5105.01"/>
    <n v="13012587.9"/>
    <s v="Calabar"/>
    <s v="Sea"/>
    <x v="0"/>
    <n v="3583717.02"/>
  </r>
  <r>
    <m/>
    <s v="Cassava"/>
    <s v="Agro Allied Exporters Nigeria Limited"/>
    <x v="1"/>
    <s v="10/14/2020"/>
    <n v="963"/>
    <n v="29641.1"/>
    <n v="7617.73"/>
    <n v="28544379.300000001"/>
    <s v="Calabar"/>
    <s v="Sea"/>
    <x v="0"/>
    <n v="7335873.9899999993"/>
  </r>
  <r>
    <m/>
    <s v="Cassava"/>
    <s v="Prime Agro Exports Nigeria Limited"/>
    <x v="2"/>
    <s v="10/14/2020"/>
    <n v="405"/>
    <n v="49485.77"/>
    <n v="8763.98"/>
    <n v="20041736.850000001"/>
    <s v="Warri"/>
    <s v="Sea"/>
    <x v="0"/>
    <n v="3549411.9"/>
  </r>
  <r>
    <m/>
    <s v="Cassava"/>
    <s v="Agriplus Nigeria Limited"/>
    <x v="0"/>
    <s v="10/8/2020"/>
    <n v="518"/>
    <n v="11462.7"/>
    <n v="9321.44"/>
    <n v="5937678.5999999996"/>
    <s v="Warri"/>
    <s v="Sea"/>
    <x v="0"/>
    <n v="4828505.92"/>
  </r>
  <r>
    <m/>
    <s v="Cassava"/>
    <s v="Solid Agro Nigeria Limited"/>
    <x v="0"/>
    <s v="2/13/2020"/>
    <n v="531"/>
    <n v="16488.41"/>
    <n v="7791.27"/>
    <n v="8755345.7100000009"/>
    <s v="Warri"/>
    <s v="Sea"/>
    <x v="0"/>
    <n v="4137164.37"/>
  </r>
  <r>
    <m/>
    <s v="Cassava"/>
    <s v="Nigeria Agro Export Company"/>
    <x v="0"/>
    <s v="7/2/2020"/>
    <n v="690"/>
    <n v="32888.269999999997"/>
    <n v="8503.9699999999993"/>
    <n v="22692906.300000001"/>
    <s v="Lagos"/>
    <s v="Sea"/>
    <x v="0"/>
    <n v="5867739.2999999998"/>
  </r>
  <r>
    <m/>
    <s v="Cassava"/>
    <s v="Solid Agro Nigeria Limited"/>
    <x v="1"/>
    <s v="4/26/2020"/>
    <n v="566"/>
    <n v="10637.35"/>
    <n v="3020.33"/>
    <n v="6020740.0999999996"/>
    <s v="Calabar"/>
    <s v="Sea"/>
    <x v="0"/>
    <n v="1709506.78"/>
  </r>
  <r>
    <m/>
    <s v="Cassava"/>
    <s v="Solid Agro Nigeria Limited"/>
    <x v="3"/>
    <s v="12/23/2020"/>
    <n v="395"/>
    <n v="10195.24"/>
    <n v="6032.84"/>
    <n v="4027119.8"/>
    <s v="Calabar"/>
    <s v="Sea"/>
    <x v="0"/>
    <n v="2382971.8000000003"/>
  </r>
  <r>
    <m/>
    <s v="Cassava"/>
    <s v="Golden Farms Nigeria Limited"/>
    <x v="3"/>
    <s v="7/25/2020"/>
    <n v="765"/>
    <n v="38984.959999999999"/>
    <n v="8638.35"/>
    <n v="29823494.399999999"/>
    <s v="Warri"/>
    <s v="Sea"/>
    <x v="0"/>
    <n v="6608337.75"/>
  </r>
  <r>
    <m/>
    <s v="Cassava"/>
    <s v="Nigeria Agro Export Company"/>
    <x v="3"/>
    <s v="8/9/2020"/>
    <n v="504"/>
    <n v="10656.58"/>
    <n v="9979.02"/>
    <n v="5370916.3200000003"/>
    <s v="Lagos"/>
    <s v="Sea"/>
    <x v="0"/>
    <n v="5029426.08"/>
  </r>
  <r>
    <m/>
    <s v="Cassava"/>
    <s v="Agriplus Nigeria Limited"/>
    <x v="3"/>
    <s v="9/1/2020"/>
    <n v="302"/>
    <n v="19878.5"/>
    <n v="8056.92"/>
    <n v="6003307"/>
    <s v="Lagos"/>
    <s v="Sea"/>
    <x v="0"/>
    <n v="2433189.84"/>
  </r>
  <r>
    <m/>
    <s v="Cassava"/>
    <s v="Agro Allied Exporters Nigeria Limited"/>
    <x v="4"/>
    <s v="10/24/2020"/>
    <n v="885"/>
    <n v="37238.519999999997"/>
    <n v="5263.08"/>
    <n v="32956090.199999999"/>
    <s v="Lagos"/>
    <s v="Sea"/>
    <x v="0"/>
    <n v="4657825.8"/>
  </r>
  <r>
    <m/>
    <s v="Cassava"/>
    <s v="Nigeria Agro Export Company"/>
    <x v="4"/>
    <s v="11/13/2020"/>
    <n v="229"/>
    <n v="18212.59"/>
    <n v="3226.57"/>
    <n v="4170683.11"/>
    <s v="Warri"/>
    <s v="Sea"/>
    <x v="0"/>
    <n v="738884.53"/>
  </r>
  <r>
    <m/>
    <s v="Cassava"/>
    <s v="Prime Agro Exports Nigeria Limited"/>
    <x v="4"/>
    <s v="3/26/2020"/>
    <n v="534"/>
    <n v="15831.82"/>
    <n v="3835.13"/>
    <n v="8454191.8800000008"/>
    <s v="Port Harcourt"/>
    <s v="Sea"/>
    <x v="0"/>
    <n v="2047959.4200000002"/>
  </r>
  <r>
    <m/>
    <s v="Cassava"/>
    <s v="Prime Agro Exports Nigeria Limited"/>
    <x v="4"/>
    <s v="8/11/2020"/>
    <n v="158"/>
    <n v="24848.97"/>
    <n v="5426.09"/>
    <n v="3926137.26"/>
    <s v="Port Harcourt"/>
    <s v="Sea"/>
    <x v="0"/>
    <n v="857322.22"/>
  </r>
  <r>
    <m/>
    <s v="Cassava"/>
    <s v="Farmgate Nigeria Limited"/>
    <x v="5"/>
    <s v="2/21/2020"/>
    <n v="312"/>
    <n v="29465.29"/>
    <n v="8310.14"/>
    <n v="9193170.4800000004"/>
    <s v="Lagos"/>
    <s v="Sea"/>
    <x v="0"/>
    <n v="2592763.6799999997"/>
  </r>
  <r>
    <m/>
    <s v="Cassava"/>
    <s v="Solid Agro Nigeria Limited"/>
    <x v="5"/>
    <s v="6/26/2020"/>
    <n v="442"/>
    <n v="18782.89"/>
    <n v="5559.47"/>
    <n v="8302037.3799999999"/>
    <s v="Port Harcourt"/>
    <s v="Sea"/>
    <x v="0"/>
    <n v="2457285.7400000002"/>
  </r>
  <r>
    <m/>
    <s v="Cassava"/>
    <s v="Agro Export Nigeria Ltd"/>
    <x v="2"/>
    <s v="5/13/2020"/>
    <n v="895"/>
    <n v="44627.31"/>
    <n v="6484.53"/>
    <n v="39941442.450000003"/>
    <s v="Calabar"/>
    <s v="Sea"/>
    <x v="0"/>
    <n v="5803654.3499999996"/>
  </r>
  <r>
    <m/>
    <s v="Cassava"/>
    <s v="Prime Agro Exports Nigeria Limited"/>
    <x v="6"/>
    <s v="5/10/2020"/>
    <n v="871"/>
    <n v="41177"/>
    <n v="9144.43"/>
    <n v="35865167"/>
    <s v="Lagos"/>
    <s v="Sea"/>
    <x v="0"/>
    <n v="7964798.5300000003"/>
  </r>
  <r>
    <m/>
    <s v="Cassava"/>
    <s v="Nigeria Agro Export Company"/>
    <x v="6"/>
    <s v="6/28/2020"/>
    <n v="427"/>
    <n v="29828.71"/>
    <n v="2279.98"/>
    <n v="12736859.17"/>
    <s v="Lagos"/>
    <s v="Sea"/>
    <x v="0"/>
    <n v="973551.46"/>
  </r>
  <r>
    <m/>
    <s v="Cassava"/>
    <s v="Prime Agro Exports Nigeria Limited"/>
    <x v="6"/>
    <s v="9/10/2020"/>
    <n v="711"/>
    <n v="33178.93"/>
    <n v="7017.84"/>
    <n v="23590219.23"/>
    <s v="Lagos"/>
    <s v="Sea"/>
    <x v="0"/>
    <n v="4989684.24"/>
  </r>
  <r>
    <m/>
    <s v="Cassava"/>
    <s v="Nigeria Agro Export Company"/>
    <x v="6"/>
    <s v="9/5/2020"/>
    <n v="242"/>
    <n v="31257.41"/>
    <n v="4475.9799999999996"/>
    <n v="7564293.2199999997"/>
    <s v="Lagos"/>
    <s v="Sea"/>
    <x v="0"/>
    <n v="1083187.1599999999"/>
  </r>
  <r>
    <m/>
    <s v="Cassava"/>
    <s v="Nigerian Export Promotion Council (NEPC)"/>
    <x v="7"/>
    <s v="10/7/2020"/>
    <n v="144"/>
    <n v="19564.37"/>
    <n v="9750.77"/>
    <n v="2817269.28"/>
    <s v="Lagos"/>
    <s v="Sea"/>
    <x v="0"/>
    <n v="1404110.8800000001"/>
  </r>
  <r>
    <m/>
    <s v="Cassava"/>
    <s v="Solid Agro Nigeria Limited"/>
    <x v="7"/>
    <s v="11/30/2020"/>
    <n v="165"/>
    <n v="30565.62"/>
    <n v="6590.04"/>
    <n v="5043327.3"/>
    <s v="Lagos"/>
    <s v="Sea"/>
    <x v="0"/>
    <n v="1087356.6000000001"/>
  </r>
  <r>
    <m/>
    <s v="Cassava"/>
    <s v="Nigeria Agro Export Company"/>
    <x v="7"/>
    <s v="2/5/2020"/>
    <n v="385"/>
    <n v="49366.58"/>
    <n v="9252.64"/>
    <n v="19006133.300000001"/>
    <s v="Calabar"/>
    <s v="Sea"/>
    <x v="0"/>
    <n v="3562266.4"/>
  </r>
  <r>
    <m/>
    <s v="Cassava"/>
    <s v="Nigerian Export Promotion Council (NEPC)"/>
    <x v="7"/>
    <s v="6/21/2020"/>
    <n v="467"/>
    <n v="13294.58"/>
    <n v="4013.08"/>
    <n v="6208568.8600000003"/>
    <s v="Lagos"/>
    <s v="Sea"/>
    <x v="0"/>
    <n v="1874108.3599999999"/>
  </r>
  <r>
    <m/>
    <s v="Cassava"/>
    <s v="Agro Export Nigeria Ltd"/>
    <x v="7"/>
    <s v="8/10/2020"/>
    <n v="736"/>
    <n v="19997.900000000001"/>
    <n v="8920.82"/>
    <n v="14718454.4"/>
    <s v="Lagos"/>
    <s v="Sea"/>
    <x v="0"/>
    <n v="6565723.5199999996"/>
  </r>
  <r>
    <m/>
    <s v="Cassava"/>
    <s v="Nigeria Agro Export Company"/>
    <x v="8"/>
    <s v="3/20/2020"/>
    <n v="137"/>
    <n v="22503.47"/>
    <n v="4193.51"/>
    <n v="3082975.39"/>
    <s v="Lagos"/>
    <s v="Sea"/>
    <x v="0"/>
    <n v="574510.87"/>
  </r>
  <r>
    <m/>
    <s v="Cassava"/>
    <s v="Prime Agro Exports Nigeria Limited"/>
    <x v="8"/>
    <s v="5/2/2020"/>
    <n v="662"/>
    <n v="31310.98"/>
    <n v="6516.4"/>
    <n v="20727868.760000002"/>
    <s v="Lagos"/>
    <s v="Sea"/>
    <x v="0"/>
    <n v="4313856.8"/>
  </r>
  <r>
    <m/>
    <s v="Cassava"/>
    <s v="Farmgate Nigeria Limited"/>
    <x v="9"/>
    <s v="4/17/2020"/>
    <n v="192"/>
    <n v="38775.730000000003"/>
    <n v="5076.82"/>
    <n v="7444940.1600000001"/>
    <s v="Lagos"/>
    <s v="Sea"/>
    <x v="0"/>
    <n v="974749.44"/>
  </r>
  <r>
    <m/>
    <s v="Cassava"/>
    <s v="Nigerian Export Promotion Council (NEPC)"/>
    <x v="9"/>
    <s v="4/7/2020"/>
    <n v="825"/>
    <n v="44058.73"/>
    <n v="4559.3900000000003"/>
    <n v="36348452.25"/>
    <s v="Warri"/>
    <s v="Sea"/>
    <x v="0"/>
    <n v="3761496.7500000005"/>
  </r>
  <r>
    <m/>
    <s v="Cassava"/>
    <s v="Solid Agro Nigeria Limited"/>
    <x v="9"/>
    <s v="6/4/2020"/>
    <n v="748"/>
    <n v="25682.21"/>
    <n v="9748.1200000000008"/>
    <n v="19210293.079999998"/>
    <s v="Lagos"/>
    <s v="Sea"/>
    <x v="0"/>
    <n v="7291593.7600000007"/>
  </r>
  <r>
    <m/>
    <s v="Cassava"/>
    <s v="Prime Agro Exports Nigeria Limited"/>
    <x v="0"/>
    <s v="12/25/2021"/>
    <n v="584"/>
    <n v="44793.37"/>
    <n v="7045.51"/>
    <n v="26159328.079999998"/>
    <s v="Lagos"/>
    <s v="Sea"/>
    <x v="1"/>
    <n v="4114577.8400000003"/>
  </r>
  <r>
    <m/>
    <s v="Cassava"/>
    <s v="Nigerian Export Promotion Council (NEPC)"/>
    <x v="0"/>
    <s v="3/16/2021"/>
    <n v="634"/>
    <n v="20602.990000000002"/>
    <n v="5428.66"/>
    <n v="13062295.66"/>
    <s v="Calabar"/>
    <s v="Sea"/>
    <x v="1"/>
    <n v="3441770.44"/>
  </r>
  <r>
    <m/>
    <s v="Cassava"/>
    <s v="Agriplus Nigeria Limited"/>
    <x v="3"/>
    <s v="3/16/2021"/>
    <n v="275"/>
    <n v="21247.69"/>
    <n v="5273.59"/>
    <n v="5843114.75"/>
    <s v="Lagos"/>
    <s v="Sea"/>
    <x v="1"/>
    <n v="1450237.25"/>
  </r>
  <r>
    <m/>
    <s v="Cassava"/>
    <s v="Agro Export Nigeria Ltd"/>
    <x v="0"/>
    <s v="6/23/2021"/>
    <n v="601"/>
    <n v="45644.07"/>
    <n v="4474.6400000000003"/>
    <n v="27432086.07"/>
    <s v="Warri"/>
    <s v="Sea"/>
    <x v="1"/>
    <n v="2689258.64"/>
  </r>
  <r>
    <m/>
    <s v="Cassava"/>
    <s v="Golden Farms Nigeria Limited"/>
    <x v="0"/>
    <s v="6/9/2021"/>
    <n v="862"/>
    <n v="10713.54"/>
    <n v="4852.22"/>
    <n v="9235071.4800000004"/>
    <s v="Lagos"/>
    <s v="Sea"/>
    <x v="1"/>
    <n v="4182613.64"/>
  </r>
  <r>
    <m/>
    <s v="Cassava"/>
    <s v="Golden Farms Nigeria Limited"/>
    <x v="1"/>
    <s v="12/27/2021"/>
    <n v="881"/>
    <n v="47757.87"/>
    <n v="6806.86"/>
    <n v="42074683.469999999"/>
    <s v="Port Harcourt"/>
    <s v="Sea"/>
    <x v="1"/>
    <n v="5996843.6600000001"/>
  </r>
  <r>
    <m/>
    <s v="Cassava"/>
    <s v="Greenfield Agro Exporters Nigeria Limited"/>
    <x v="1"/>
    <s v="12/6/2021"/>
    <n v="364"/>
    <n v="20676.03"/>
    <n v="6076.57"/>
    <n v="7526074.9199999999"/>
    <s v="Lagos"/>
    <s v="Sea"/>
    <x v="1"/>
    <n v="2211871.48"/>
  </r>
  <r>
    <m/>
    <s v="Cassava"/>
    <s v="Agro Export Nigeria Ltd"/>
    <x v="3"/>
    <s v="3/14/2021"/>
    <n v="641"/>
    <n v="22151.23"/>
    <n v="9884.51"/>
    <n v="14198938.43"/>
    <s v="Port Harcourt"/>
    <s v="Sea"/>
    <x v="1"/>
    <n v="6335970.9100000001"/>
  </r>
  <r>
    <m/>
    <s v="Cassava"/>
    <s v="Golden Farms Nigeria Limited"/>
    <x v="3"/>
    <s v="4/19/2021"/>
    <n v="155"/>
    <n v="19830.810000000001"/>
    <n v="9336.83"/>
    <n v="3073775.55"/>
    <s v="Lagos"/>
    <s v="Sea"/>
    <x v="1"/>
    <n v="1447208.65"/>
  </r>
  <r>
    <m/>
    <s v="Cassava"/>
    <s v="Greenfield Agro Exporters Nigeria Limited"/>
    <x v="3"/>
    <s v="4/2/2021"/>
    <n v="541"/>
    <n v="49593.68"/>
    <n v="5788.97"/>
    <n v="26830180.879999999"/>
    <s v="Lagos"/>
    <s v="Sea"/>
    <x v="1"/>
    <n v="3131832.77"/>
  </r>
  <r>
    <m/>
    <s v="Cassava"/>
    <s v="Golden Farms Nigeria Limited"/>
    <x v="5"/>
    <s v="4/2/2021"/>
    <n v="960"/>
    <n v="42119.76"/>
    <n v="7291.26"/>
    <n v="40434969.600000001"/>
    <s v="Lagos"/>
    <s v="Sea"/>
    <x v="1"/>
    <n v="6999609.6000000006"/>
  </r>
  <r>
    <m/>
    <s v="Cassava"/>
    <s v="Solid Agro Nigeria Limited"/>
    <x v="3"/>
    <s v="6/1/2021"/>
    <n v="501"/>
    <n v="39715.39"/>
    <n v="6170.93"/>
    <n v="19897410.390000001"/>
    <s v="Calabar"/>
    <s v="Sea"/>
    <x v="1"/>
    <n v="3091635.93"/>
  </r>
  <r>
    <m/>
    <s v="Cassava"/>
    <s v="Golden Farms Nigeria Limited"/>
    <x v="4"/>
    <s v="8/6/2021"/>
    <n v="184"/>
    <n v="11548.45"/>
    <n v="4562.51"/>
    <n v="2124914.7999999998"/>
    <s v="Port Harcourt"/>
    <s v="Sea"/>
    <x v="1"/>
    <n v="839501.84000000008"/>
  </r>
  <r>
    <m/>
    <s v="Cassava"/>
    <s v="Golden Farms Nigeria Limited"/>
    <x v="5"/>
    <s v="1/20/2021"/>
    <n v="766"/>
    <n v="13513.38"/>
    <n v="4155"/>
    <n v="10351249.08"/>
    <s v="Lagos"/>
    <s v="Sea"/>
    <x v="1"/>
    <n v="3182730"/>
  </r>
  <r>
    <m/>
    <s v="Cassava"/>
    <s v="Prime Agro Exports Nigeria Limited"/>
    <x v="5"/>
    <s v="8/29/2021"/>
    <n v="493"/>
    <n v="26013.72"/>
    <n v="5430.98"/>
    <n v="12824763.960000001"/>
    <s v="Port Harcourt"/>
    <s v="Sea"/>
    <x v="1"/>
    <n v="2677473.1399999997"/>
  </r>
  <r>
    <m/>
    <s v="Cassava"/>
    <s v="Farmgate Nigeria Limited"/>
    <x v="2"/>
    <s v="10/15/2021"/>
    <n v="987"/>
    <n v="42840.93"/>
    <n v="7044.67"/>
    <n v="42283997.909999996"/>
    <s v="Lagos"/>
    <s v="Sea"/>
    <x v="1"/>
    <n v="6953089.29"/>
  </r>
  <r>
    <m/>
    <s v="Cassava"/>
    <s v="Prime Agro Exports Nigeria Limited"/>
    <x v="2"/>
    <s v="12/21/2021"/>
    <n v="243"/>
    <n v="29602.28"/>
    <n v="9786.18"/>
    <n v="7193354.04"/>
    <s v="Warri"/>
    <s v="Sea"/>
    <x v="1"/>
    <n v="2378041.7400000002"/>
  </r>
  <r>
    <m/>
    <s v="Cassava"/>
    <s v="Solid Agro Nigeria Limited"/>
    <x v="6"/>
    <s v="3/26/2021"/>
    <n v="304"/>
    <n v="40982.46"/>
    <n v="9884.64"/>
    <n v="12458667.84"/>
    <s v="Lagos"/>
    <s v="Sea"/>
    <x v="1"/>
    <n v="3004930.5599999996"/>
  </r>
  <r>
    <m/>
    <s v="Cassava"/>
    <s v="Nigeria Agro Export Company"/>
    <x v="6"/>
    <s v="5/18/2021"/>
    <n v="347"/>
    <n v="42921.85"/>
    <n v="8708.69"/>
    <n v="14893881.949999999"/>
    <s v="Warri"/>
    <s v="Sea"/>
    <x v="1"/>
    <n v="3021915.43"/>
  </r>
  <r>
    <m/>
    <s v="Cassava"/>
    <s v="Golden Farms Nigeria Limited"/>
    <x v="6"/>
    <s v="6/8/2021"/>
    <n v="506"/>
    <n v="37983.199999999997"/>
    <n v="5305.54"/>
    <n v="19219499.199999999"/>
    <s v="Calabar"/>
    <s v="Sea"/>
    <x v="1"/>
    <n v="2684603.2399999998"/>
  </r>
  <r>
    <m/>
    <s v="Cassava"/>
    <s v="Agro Export Nigeria Ltd"/>
    <x v="6"/>
    <s v="7/16/2021"/>
    <n v="182"/>
    <n v="11360.04"/>
    <n v="3424.28"/>
    <n v="2067527.28"/>
    <s v="Calabar"/>
    <s v="Sea"/>
    <x v="1"/>
    <n v="623218.96000000008"/>
  </r>
  <r>
    <m/>
    <s v="Cassava"/>
    <s v="Prime Agro Exports Nigeria Limited"/>
    <x v="7"/>
    <s v="3/13/2021"/>
    <n v="928"/>
    <n v="38172.49"/>
    <n v="7185.46"/>
    <n v="35424070.719999999"/>
    <s v="Lagos"/>
    <s v="Sea"/>
    <x v="1"/>
    <n v="6668106.8799999999"/>
  </r>
  <r>
    <m/>
    <s v="Cassava"/>
    <s v="Nigeria Agro Export Company"/>
    <x v="7"/>
    <s v="4/30/2021"/>
    <n v="377"/>
    <n v="38436.410000000003"/>
    <n v="7116.02"/>
    <n v="14490526.57"/>
    <s v="Lagos"/>
    <s v="Sea"/>
    <x v="1"/>
    <n v="2682739.54"/>
  </r>
  <r>
    <m/>
    <s v="Cassava"/>
    <s v="Solid Agro Nigeria Limited"/>
    <x v="8"/>
    <s v="9/20/2021"/>
    <n v="194"/>
    <n v="13561.52"/>
    <n v="9366.61"/>
    <n v="2630934.88"/>
    <s v="Calabar"/>
    <s v="Sea"/>
    <x v="1"/>
    <n v="1817122.34"/>
  </r>
  <r>
    <m/>
    <s v="Cassava"/>
    <s v="Solid Agro Nigeria Limited"/>
    <x v="9"/>
    <s v="12/20/2021"/>
    <n v="375"/>
    <n v="14459.63"/>
    <n v="7873.61"/>
    <n v="5422361.25"/>
    <s v="Lagos"/>
    <s v="Sea"/>
    <x v="1"/>
    <n v="2952603.75"/>
  </r>
  <r>
    <m/>
    <s v="Cassava"/>
    <s v="Golden Farms Nigeria Limited"/>
    <x v="9"/>
    <s v="2/12/2021"/>
    <n v="793"/>
    <n v="45126.35"/>
    <n v="5472.16"/>
    <n v="35785195.549999997"/>
    <s v="Lagos"/>
    <s v="Sea"/>
    <x v="1"/>
    <n v="4339422.88"/>
  </r>
  <r>
    <m/>
    <s v="Cassava"/>
    <s v="Golden Farms Nigeria Limited"/>
    <x v="9"/>
    <s v="2/6/2021"/>
    <n v="884"/>
    <n v="34327.58"/>
    <n v="7035.55"/>
    <n v="30345580.719999999"/>
    <s v="Lagos"/>
    <s v="Sea"/>
    <x v="1"/>
    <n v="6219426.2000000002"/>
  </r>
  <r>
    <m/>
    <s v="Cassava"/>
    <s v="Agriplus Nigeria Limited"/>
    <x v="9"/>
    <s v="7/22/2021"/>
    <n v="394"/>
    <n v="10137.629999999999"/>
    <n v="9407.81"/>
    <n v="3994226.22"/>
    <s v="Lagos"/>
    <s v="Sea"/>
    <x v="1"/>
    <n v="3706677.1399999997"/>
  </r>
  <r>
    <m/>
    <s v="Cassava"/>
    <s v="Golden Farms Nigeria Limited"/>
    <x v="9"/>
    <s v="7/5/2021"/>
    <n v="805"/>
    <n v="40476.83"/>
    <n v="9454.84"/>
    <n v="32583848.149999999"/>
    <s v="Port Harcourt"/>
    <s v="Sea"/>
    <x v="1"/>
    <n v="7611146.2000000002"/>
  </r>
  <r>
    <m/>
    <s v="Cassava"/>
    <s v="Golden Farms Nigeria Limited"/>
    <x v="0"/>
    <s v="11/30/2022"/>
    <n v="276"/>
    <n v="11216.66"/>
    <n v="4708.95"/>
    <n v="3095798.16"/>
    <s v="Calabar"/>
    <s v="Sea"/>
    <x v="2"/>
    <n v="1299670.2"/>
  </r>
  <r>
    <m/>
    <s v="Cassava"/>
    <s v="Solid Agro Nigeria Limited"/>
    <x v="0"/>
    <s v="12/18/2022"/>
    <n v="409"/>
    <n v="34153.61"/>
    <n v="9814.7199999999993"/>
    <n v="13968826.49"/>
    <s v="Lagos"/>
    <s v="Sea"/>
    <x v="2"/>
    <n v="4014220.4799999995"/>
  </r>
  <r>
    <m/>
    <s v="Cassava"/>
    <s v="Agriplus Nigeria Limited"/>
    <x v="0"/>
    <s v="2/13/2022"/>
    <n v="965"/>
    <n v="36870"/>
    <n v="4666.84"/>
    <n v="35579550"/>
    <s v="Warri"/>
    <s v="Sea"/>
    <x v="2"/>
    <n v="4503500.6000000006"/>
  </r>
  <r>
    <m/>
    <s v="Cassava"/>
    <s v="Greenfield Agro Exporters Nigeria Limited"/>
    <x v="0"/>
    <s v="3/16/2022"/>
    <n v="967"/>
    <n v="17287.05"/>
    <n v="9822.65"/>
    <n v="16716577.35"/>
    <s v="Lagos"/>
    <s v="Sea"/>
    <x v="2"/>
    <n v="9498502.5499999989"/>
  </r>
  <r>
    <m/>
    <s v="Cassava"/>
    <s v="Agro Export Nigeria Ltd"/>
    <x v="0"/>
    <s v="3/29/2022"/>
    <n v="337"/>
    <n v="15499.43"/>
    <n v="3381.24"/>
    <n v="5223307.91"/>
    <s v="Lagos"/>
    <s v="Sea"/>
    <x v="2"/>
    <n v="1139477.8799999999"/>
  </r>
  <r>
    <m/>
    <s v="Cassava"/>
    <s v="Farmgate Nigeria Limited"/>
    <x v="0"/>
    <s v="3/9/2022"/>
    <n v="907"/>
    <n v="17899.88"/>
    <n v="6976.49"/>
    <n v="16235191.16"/>
    <s v="Lagos"/>
    <s v="Sea"/>
    <x v="2"/>
    <n v="6327676.4299999997"/>
  </r>
  <r>
    <m/>
    <s v="Cassava"/>
    <s v="Golden Farms Nigeria Limited"/>
    <x v="0"/>
    <s v="5/2/2022"/>
    <n v="928"/>
    <n v="22893.46"/>
    <n v="4425.03"/>
    <n v="21245130.879999999"/>
    <s v="Lagos"/>
    <s v="Sea"/>
    <x v="2"/>
    <n v="4106427.84"/>
  </r>
  <r>
    <m/>
    <s v="Cassava"/>
    <s v="Agro Allied Exporters Nigeria Limited"/>
    <x v="0"/>
    <s v="7/27/2022"/>
    <n v="142"/>
    <n v="28251.37"/>
    <n v="7796.85"/>
    <n v="4011694.54"/>
    <s v="Lagos"/>
    <s v="Sea"/>
    <x v="2"/>
    <n v="1107152.7"/>
  </r>
  <r>
    <m/>
    <s v="Cassava"/>
    <s v="Nigeria Agro Export Company"/>
    <x v="0"/>
    <s v="8/25/2022"/>
    <n v="204"/>
    <n v="17510.169999999998"/>
    <n v="9636.0400000000009"/>
    <n v="3572074.68"/>
    <s v="Port Harcourt"/>
    <s v="Sea"/>
    <x v="2"/>
    <n v="1965752.1600000001"/>
  </r>
  <r>
    <m/>
    <s v="Cassava"/>
    <s v="Nigeria Agro Export Company"/>
    <x v="1"/>
    <s v="8/5/2022"/>
    <n v="261"/>
    <n v="18757.63"/>
    <n v="2017.08"/>
    <n v="4895741.43"/>
    <s v="Lagos"/>
    <s v="Sea"/>
    <x v="2"/>
    <n v="526457.88"/>
  </r>
  <r>
    <m/>
    <s v="Cassava"/>
    <s v="Nigeria Agro Export Company"/>
    <x v="3"/>
    <s v="11/8/2022"/>
    <n v="323"/>
    <n v="41562.660000000003"/>
    <n v="7492.8"/>
    <n v="13424739.18"/>
    <s v="Lagos"/>
    <s v="Sea"/>
    <x v="2"/>
    <n v="2420174.4"/>
  </r>
  <r>
    <m/>
    <s v="Cassava"/>
    <s v="Agriplus Nigeria Limited"/>
    <x v="3"/>
    <s v="2/1/2022"/>
    <n v="516"/>
    <n v="35244.870000000003"/>
    <n v="6455.99"/>
    <n v="18186352.920000002"/>
    <s v="Lagos"/>
    <s v="Sea"/>
    <x v="2"/>
    <n v="3331290.84"/>
  </r>
  <r>
    <m/>
    <s v="Cassava"/>
    <s v="Golden Farms Nigeria Limited"/>
    <x v="3"/>
    <s v="4/26/2022"/>
    <n v="185"/>
    <n v="14847.32"/>
    <n v="3544.82"/>
    <n v="2746754.2"/>
    <s v="Port Harcourt"/>
    <s v="Sea"/>
    <x v="2"/>
    <n v="655791.70000000007"/>
  </r>
  <r>
    <m/>
    <s v="Cassava"/>
    <s v="Solid Agro Nigeria Limited"/>
    <x v="3"/>
    <s v="7/26/2022"/>
    <n v="205"/>
    <n v="19635.919999999998"/>
    <n v="4458.43"/>
    <n v="4025363.6"/>
    <s v="Port Harcourt"/>
    <s v="Sea"/>
    <x v="2"/>
    <n v="913978.15"/>
  </r>
  <r>
    <m/>
    <s v="Cassava"/>
    <s v="Farmgate Nigeria Limited"/>
    <x v="6"/>
    <s v="7/26/2022"/>
    <n v="370"/>
    <n v="11067.38"/>
    <n v="3708.85"/>
    <n v="4094930.6"/>
    <s v="Port Harcourt"/>
    <s v="Sea"/>
    <x v="2"/>
    <n v="1372274.5"/>
  </r>
  <r>
    <m/>
    <s v="Cassava"/>
    <s v="Prime Agro Exports Nigeria Limited"/>
    <x v="3"/>
    <s v="9/29/2022"/>
    <n v="438"/>
    <n v="22625.33"/>
    <n v="6130.91"/>
    <n v="9909894.5399999991"/>
    <s v="Warri"/>
    <s v="Sea"/>
    <x v="2"/>
    <n v="2685338.58"/>
  </r>
  <r>
    <m/>
    <s v="Cassava"/>
    <s v="Solid Agro Nigeria Limited"/>
    <x v="4"/>
    <s v="3/4/2022"/>
    <n v="500"/>
    <n v="48937.95"/>
    <n v="2835.78"/>
    <n v="24468975"/>
    <s v="Lagos"/>
    <s v="Sea"/>
    <x v="2"/>
    <n v="1417890"/>
  </r>
  <r>
    <m/>
    <s v="Cassava"/>
    <s v="Prime Agro Exports Nigeria Limited"/>
    <x v="4"/>
    <s v="9/22/2022"/>
    <n v="326"/>
    <n v="36801.15"/>
    <n v="6544.27"/>
    <n v="11997174.9"/>
    <s v="Lagos"/>
    <s v="Sea"/>
    <x v="2"/>
    <n v="2133432.02"/>
  </r>
  <r>
    <m/>
    <s v="Cassava"/>
    <s v="Nigeria Agro Export Company"/>
    <x v="5"/>
    <s v="3/15/2022"/>
    <n v="163"/>
    <n v="16244.54"/>
    <n v="9874.64"/>
    <n v="2647860.02"/>
    <s v="Lagos"/>
    <s v="Sea"/>
    <x v="2"/>
    <n v="1609566.3199999998"/>
  </r>
  <r>
    <m/>
    <s v="Cassava"/>
    <s v="Agro Export Nigeria Ltd"/>
    <x v="2"/>
    <s v="9/10/2022"/>
    <n v="778"/>
    <n v="49985.86"/>
    <n v="8415.43"/>
    <n v="38888999.079999998"/>
    <s v="Warri"/>
    <s v="Sea"/>
    <x v="2"/>
    <n v="6547204.54"/>
  </r>
  <r>
    <m/>
    <s v="Cassava"/>
    <s v="Farmgate Nigeria Limited"/>
    <x v="6"/>
    <s v="10/11/2022"/>
    <n v="150"/>
    <n v="23193.26"/>
    <n v="4943.25"/>
    <n v="3478989"/>
    <s v="Warri"/>
    <s v="Sea"/>
    <x v="2"/>
    <n v="741487.5"/>
  </r>
  <r>
    <m/>
    <s v="Cassava"/>
    <s v="Nigerian Export Promotion Council (NEPC)"/>
    <x v="6"/>
    <s v="12/23/2022"/>
    <n v="795"/>
    <n v="11706.54"/>
    <n v="3838.45"/>
    <n v="9306699.3000000007"/>
    <s v="Lagos"/>
    <s v="Sea"/>
    <x v="2"/>
    <n v="3051567.75"/>
  </r>
  <r>
    <m/>
    <s v="Cassava"/>
    <s v="Prime Agro Exports Nigeria Limited"/>
    <x v="7"/>
    <s v="10/1/2022"/>
    <n v="259"/>
    <n v="12895.17"/>
    <n v="8669.42"/>
    <n v="3339849.03"/>
    <s v="Port Harcourt"/>
    <s v="Sea"/>
    <x v="2"/>
    <n v="2245379.7799999998"/>
  </r>
  <r>
    <m/>
    <s v="Cassava"/>
    <s v="Solid Agro Nigeria Limited"/>
    <x v="7"/>
    <s v="10/4/2022"/>
    <n v="269"/>
    <n v="28501.42"/>
    <n v="4486.79"/>
    <n v="7666881.9800000004"/>
    <s v="Lagos"/>
    <s v="Sea"/>
    <x v="2"/>
    <n v="1206946.51"/>
  </r>
  <r>
    <m/>
    <s v="Cassava"/>
    <s v="Agro Allied Exporters Nigeria Limited"/>
    <x v="7"/>
    <s v="10/9/2022"/>
    <n v="738"/>
    <n v="39223.54"/>
    <n v="9221.4500000000007"/>
    <n v="28946972.52"/>
    <s v="Warri"/>
    <s v="Sea"/>
    <x v="2"/>
    <n v="6805430.1000000006"/>
  </r>
  <r>
    <m/>
    <s v="Cassava"/>
    <s v="Nigerian Export Promotion Council (NEPC)"/>
    <x v="7"/>
    <s v="12/16/2022"/>
    <n v="786"/>
    <n v="16810.37"/>
    <n v="2778.06"/>
    <n v="13212950.82"/>
    <s v="Calabar"/>
    <s v="Sea"/>
    <x v="2"/>
    <n v="2183555.16"/>
  </r>
  <r>
    <m/>
    <s v="Cassava"/>
    <s v="Golden Farms Nigeria Limited"/>
    <x v="8"/>
    <s v="5/9/2022"/>
    <n v="301"/>
    <n v="49306.9"/>
    <n v="7022.61"/>
    <n v="14841376.9"/>
    <s v="Lagos"/>
    <s v="Sea"/>
    <x v="2"/>
    <n v="2113805.61"/>
  </r>
  <r>
    <m/>
    <s v="Cassava"/>
    <s v="Agro Allied Exporters Nigeria Limited"/>
    <x v="8"/>
    <s v="6/3/2022"/>
    <n v="926"/>
    <n v="41066.230000000003"/>
    <n v="7386.88"/>
    <n v="38027328.979999997"/>
    <s v="Calabar"/>
    <s v="Sea"/>
    <x v="2"/>
    <n v="6840250.8799999999"/>
  </r>
  <r>
    <m/>
    <s v="Cassava"/>
    <s v="Nigeria Agro Export Company"/>
    <x v="9"/>
    <s v="3/23/2022"/>
    <n v="554"/>
    <n v="12910.73"/>
    <n v="6115.26"/>
    <n v="7152544.4199999999"/>
    <s v="Lagos"/>
    <s v="Sea"/>
    <x v="2"/>
    <n v="3387854.04"/>
  </r>
  <r>
    <m/>
    <s v="Cassava"/>
    <s v="Agriplus Nigeria Limited"/>
    <x v="9"/>
    <s v="5/17/2022"/>
    <n v="780"/>
    <n v="22739.59"/>
    <n v="2869.67"/>
    <n v="17736880.199999999"/>
    <s v="Lagos"/>
    <s v="Sea"/>
    <x v="2"/>
    <n v="2238342.6"/>
  </r>
  <r>
    <m/>
    <s v="Cassava"/>
    <s v="Nigeria Agro Export Company"/>
    <x v="9"/>
    <s v="9/12/2022"/>
    <n v="512"/>
    <n v="27999.61"/>
    <n v="8423.7999999999993"/>
    <n v="14335800.32"/>
    <s v="Lagos"/>
    <s v="Sea"/>
    <x v="2"/>
    <n v="4312985.5999999996"/>
  </r>
  <r>
    <m/>
    <s v="Cassava"/>
    <s v="Greenfield Agro Exporters Nigeria Limited"/>
    <x v="0"/>
    <s v="12/30/2023"/>
    <n v="769"/>
    <n v="32821.57"/>
    <n v="8150.57"/>
    <n v="25239787.329999998"/>
    <s v="Lagos"/>
    <s v="Sea"/>
    <x v="3"/>
    <n v="6267788.3300000001"/>
  </r>
  <r>
    <m/>
    <s v="Cassava"/>
    <s v="Agro Export Nigeria Ltd"/>
    <x v="0"/>
    <s v="3/9/2023"/>
    <n v="553"/>
    <n v="25956.06"/>
    <n v="4281.7700000000004"/>
    <n v="14353701.18"/>
    <s v="Lagos"/>
    <s v="Sea"/>
    <x v="3"/>
    <n v="2367818.81"/>
  </r>
  <r>
    <m/>
    <s v="Cassava"/>
    <s v="Farmgate Nigeria Limited"/>
    <x v="2"/>
    <s v="3/9/2023"/>
    <n v="115"/>
    <n v="45869.9"/>
    <n v="7995.95"/>
    <n v="5275038.5"/>
    <s v="Lagos"/>
    <s v="Sea"/>
    <x v="3"/>
    <n v="919534.25"/>
  </r>
  <r>
    <m/>
    <s v="Cassava"/>
    <s v="Solid Agro Nigeria Limited"/>
    <x v="0"/>
    <s v="8/21/2023"/>
    <n v="672"/>
    <n v="10006.540000000001"/>
    <n v="8641.69"/>
    <n v="6724394.8799999999"/>
    <s v="Port Harcourt"/>
    <s v="Sea"/>
    <x v="3"/>
    <n v="5807215.6800000006"/>
  </r>
  <r>
    <m/>
    <s v="Cassava"/>
    <s v="Nigerian Export Promotion Council (NEPC)"/>
    <x v="1"/>
    <s v="11/28/2023"/>
    <n v="991"/>
    <n v="31527.16"/>
    <n v="3766.01"/>
    <n v="31243415.559999999"/>
    <s v="Calabar"/>
    <s v="Sea"/>
    <x v="3"/>
    <n v="3732115.91"/>
  </r>
  <r>
    <m/>
    <s v="Cassava"/>
    <s v="Farmgate Nigeria Limited"/>
    <x v="1"/>
    <s v="11/28/2023"/>
    <n v="949"/>
    <n v="20213.71"/>
    <n v="6290.74"/>
    <n v="19182810.789999999"/>
    <s v="Lagos"/>
    <s v="Sea"/>
    <x v="3"/>
    <n v="5969912.2599999998"/>
  </r>
  <r>
    <m/>
    <s v="Cassava"/>
    <s v="Golden Farms Nigeria Limited"/>
    <x v="1"/>
    <s v="12/3/2023"/>
    <n v="634"/>
    <n v="24679.19"/>
    <n v="3215.36"/>
    <n v="15646606.460000001"/>
    <s v="Lagos"/>
    <s v="Sea"/>
    <x v="3"/>
    <n v="2038538.24"/>
  </r>
  <r>
    <m/>
    <s v="Cassava"/>
    <s v="Prime Agro Exports Nigeria Limited"/>
    <x v="1"/>
    <s v="4/15/2023"/>
    <n v="627"/>
    <n v="49380.09"/>
    <n v="3564.84"/>
    <n v="30961316.43"/>
    <s v="Lagos"/>
    <s v="Sea"/>
    <x v="3"/>
    <n v="2235154.6800000002"/>
  </r>
  <r>
    <m/>
    <s v="Cassava"/>
    <s v="Agriplus Nigeria Limited"/>
    <x v="3"/>
    <s v="10/14/2023"/>
    <n v="823"/>
    <n v="14356.92"/>
    <n v="7452.1"/>
    <n v="11815745.16"/>
    <s v="Lagos"/>
    <s v="Sea"/>
    <x v="3"/>
    <n v="6133078.3000000007"/>
  </r>
  <r>
    <m/>
    <s v="Cassava"/>
    <s v="Agro Allied Exporters Nigeria Limited"/>
    <x v="3"/>
    <s v="10/24/2023"/>
    <n v="920"/>
    <n v="44165.77"/>
    <n v="4422.3500000000004"/>
    <n v="40632508.399999999"/>
    <s v="Lagos"/>
    <s v="Sea"/>
    <x v="3"/>
    <n v="4068562.0000000005"/>
  </r>
  <r>
    <m/>
    <s v="Cassava"/>
    <s v="Agriplus Nigeria Limited"/>
    <x v="3"/>
    <s v="4/11/2023"/>
    <n v="398"/>
    <n v="14862.53"/>
    <n v="2323.59"/>
    <n v="5915286.9400000004"/>
    <s v="Lagos"/>
    <s v="Sea"/>
    <x v="3"/>
    <n v="924788.82000000007"/>
  </r>
  <r>
    <m/>
    <s v="Cassava"/>
    <s v="Greenfield Agro Exporters Nigeria Limited"/>
    <x v="3"/>
    <s v="7/24/2023"/>
    <n v="841"/>
    <n v="43215.55"/>
    <n v="9448.5499999999993"/>
    <n v="36344277.549999997"/>
    <s v="Lagos"/>
    <s v="Sea"/>
    <x v="3"/>
    <n v="7946230.5499999998"/>
  </r>
  <r>
    <m/>
    <s v="Cassava"/>
    <s v="Prime Agro Exports Nigeria Limited"/>
    <x v="3"/>
    <s v="9/8/2023"/>
    <n v="205"/>
    <n v="26036.36"/>
    <n v="8100.15"/>
    <n v="5337453.8"/>
    <s v="Calabar"/>
    <s v="Sea"/>
    <x v="3"/>
    <n v="1660530.75"/>
  </r>
  <r>
    <m/>
    <s v="Cassava"/>
    <s v="Agro Export Nigeria Ltd"/>
    <x v="4"/>
    <s v="5/15/2023"/>
    <n v="684"/>
    <n v="19040.759999999998"/>
    <n v="4601.97"/>
    <n v="13023879.84"/>
    <s v="Warri"/>
    <s v="Sea"/>
    <x v="3"/>
    <n v="3147747.48"/>
  </r>
  <r>
    <m/>
    <s v="Cassava"/>
    <s v="Nigeria Agro Export Company"/>
    <x v="4"/>
    <s v="6/4/2023"/>
    <n v="314"/>
    <n v="33005.79"/>
    <n v="7392.48"/>
    <n v="10363818.060000001"/>
    <s v="Warri"/>
    <s v="Sea"/>
    <x v="3"/>
    <n v="2321238.7199999997"/>
  </r>
  <r>
    <m/>
    <s v="Cassava"/>
    <s v="Greenfield Agro Exporters Nigeria Limited"/>
    <x v="4"/>
    <s v="9/10/2023"/>
    <n v="415"/>
    <n v="43916.15"/>
    <n v="2860.69"/>
    <n v="18225202.25"/>
    <s v="Lagos"/>
    <s v="Sea"/>
    <x v="3"/>
    <n v="1187186.3500000001"/>
  </r>
  <r>
    <m/>
    <s v="Cassava"/>
    <s v="Farmgate Nigeria Limited"/>
    <x v="5"/>
    <s v="12/1/2023"/>
    <n v="540"/>
    <n v="40199.839999999997"/>
    <n v="9026.4"/>
    <n v="21707913.600000001"/>
    <s v="Lagos"/>
    <s v="Sea"/>
    <x v="3"/>
    <n v="4874256"/>
  </r>
  <r>
    <m/>
    <s v="Cassava"/>
    <s v="Solid Agro Nigeria Limited"/>
    <x v="2"/>
    <s v="11/22/2023"/>
    <n v="118"/>
    <n v="48123.38"/>
    <n v="4260.18"/>
    <n v="5678558.8399999999"/>
    <s v="Lagos"/>
    <s v="Sea"/>
    <x v="3"/>
    <n v="502701.24000000005"/>
  </r>
  <r>
    <m/>
    <s v="Cassava"/>
    <s v="Nigeria Agro Export Company"/>
    <x v="2"/>
    <s v="11/4/2023"/>
    <n v="635"/>
    <n v="46224.92"/>
    <n v="4473.09"/>
    <n v="29352824.199999999"/>
    <s v="Lagos"/>
    <s v="Sea"/>
    <x v="3"/>
    <n v="2840412.15"/>
  </r>
  <r>
    <m/>
    <s v="Cassava"/>
    <s v="Agro Allied Exporters Nigeria Limited"/>
    <x v="2"/>
    <s v="4/14/2023"/>
    <n v="401"/>
    <n v="29722.65"/>
    <n v="9701.73"/>
    <n v="11918782.65"/>
    <s v="Lagos"/>
    <s v="Sea"/>
    <x v="3"/>
    <n v="3890393.73"/>
  </r>
  <r>
    <m/>
    <s v="Cassava"/>
    <s v="Solid Agro Nigeria Limited"/>
    <x v="6"/>
    <s v="11/26/2023"/>
    <n v="939"/>
    <n v="47201.02"/>
    <n v="6623.62"/>
    <n v="44321757.780000001"/>
    <s v="Lagos"/>
    <s v="Sea"/>
    <x v="3"/>
    <n v="6219579.1799999997"/>
  </r>
  <r>
    <m/>
    <s v="Cassava"/>
    <s v="Solid Agro Nigeria Limited"/>
    <x v="6"/>
    <s v="8/27/2023"/>
    <n v="341"/>
    <n v="49196.09"/>
    <n v="2640.45"/>
    <n v="16775866.689999999"/>
    <s v="Lagos"/>
    <s v="Sea"/>
    <x v="3"/>
    <n v="900393.45"/>
  </r>
  <r>
    <m/>
    <s v="Cassava"/>
    <s v="Greenfield Agro Exporters Nigeria Limited"/>
    <x v="6"/>
    <s v="9/20/2023"/>
    <n v="681"/>
    <n v="26580.76"/>
    <n v="8722.94"/>
    <n v="18101497.559999999"/>
    <s v="Warri"/>
    <s v="Sea"/>
    <x v="3"/>
    <n v="5940322.1400000006"/>
  </r>
  <r>
    <m/>
    <s v="Cassava"/>
    <s v="Agriplus Nigeria Limited"/>
    <x v="7"/>
    <s v="6/28/2023"/>
    <n v="778"/>
    <n v="15017.53"/>
    <n v="9283.59"/>
    <n v="11683638.34"/>
    <s v="Port Harcourt"/>
    <s v="Sea"/>
    <x v="3"/>
    <n v="7222633.0200000005"/>
  </r>
  <r>
    <m/>
    <s v="Cassava"/>
    <s v="Prime Agro Exports Nigeria Limited"/>
    <x v="7"/>
    <s v="6/30/2023"/>
    <n v="206"/>
    <n v="23127.65"/>
    <n v="6971.83"/>
    <n v="4764295.9000000004"/>
    <s v="Calabar"/>
    <s v="Sea"/>
    <x v="3"/>
    <n v="1436196.98"/>
  </r>
  <r>
    <m/>
    <s v="Cassava"/>
    <s v="Nigeria Agro Export Company"/>
    <x v="8"/>
    <s v="1/13/2023"/>
    <n v="787"/>
    <n v="28262.15"/>
    <n v="4658.3"/>
    <n v="22242312.050000001"/>
    <s v="Lagos"/>
    <s v="Sea"/>
    <x v="3"/>
    <n v="3666082.1"/>
  </r>
  <r>
    <m/>
    <s v="Cassava"/>
    <s v="Agro Export Nigeria Ltd"/>
    <x v="8"/>
    <s v="11/12/2023"/>
    <n v="748"/>
    <n v="25065.32"/>
    <n v="7742.48"/>
    <n v="18748859.359999999"/>
    <s v="Lagos"/>
    <s v="Sea"/>
    <x v="3"/>
    <n v="5791375.04"/>
  </r>
  <r>
    <m/>
    <s v="Cassava"/>
    <s v="Prime Agro Exports Nigeria Limited"/>
    <x v="9"/>
    <s v="2/17/2023"/>
    <n v="611"/>
    <n v="21839.94"/>
    <n v="7020.58"/>
    <n v="13344203.34"/>
    <s v="Calabar"/>
    <s v="Sea"/>
    <x v="3"/>
    <n v="4289574.38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6">
  <r>
    <s v="Cocoa"/>
    <s v="Nigeria Agro Export Company"/>
    <x v="0"/>
    <s v="12/7/2020"/>
    <n v="464"/>
    <n v="17947.18"/>
    <n v="4171.95"/>
    <n v="8327491.5199999996"/>
    <s v="Lagos"/>
    <s v="Sea"/>
    <x v="0"/>
    <n v="1935784.7999999998"/>
  </r>
  <r>
    <s v="Cocoa"/>
    <s v="Agro Export Nigeria Ltd"/>
    <x v="0"/>
    <s v="2/3/2020"/>
    <n v="990"/>
    <n v="36777.32"/>
    <n v="8027.19"/>
    <n v="36409546.799999997"/>
    <s v="Lagos"/>
    <s v="Sea"/>
    <x v="0"/>
    <n v="7946918.0999999996"/>
  </r>
  <r>
    <s v="Cocoa"/>
    <s v="Nigerian Export Promotion Council (NEPC)"/>
    <x v="0"/>
    <s v="3/30/2020"/>
    <n v="941"/>
    <n v="27078.720000000001"/>
    <n v="4676.04"/>
    <n v="25481075.52"/>
    <s v="Lagos"/>
    <s v="Sea"/>
    <x v="0"/>
    <n v="4400153.6399999997"/>
  </r>
  <r>
    <s v="Cocoa"/>
    <s v="Agro Allied Exporters Nigeria Limited"/>
    <x v="0"/>
    <s v="6/14/2020"/>
    <n v="166"/>
    <n v="33789.42"/>
    <n v="7069.44"/>
    <n v="5609043.7199999997"/>
    <s v="Lagos"/>
    <s v="Sea"/>
    <x v="0"/>
    <n v="1173527.04"/>
  </r>
  <r>
    <s v="Cocoa"/>
    <s v="Nigeria Agro Export Company"/>
    <x v="0"/>
    <s v="8/18/2020"/>
    <n v="442"/>
    <n v="39909.449999999997"/>
    <n v="6492.45"/>
    <n v="17639976.899999999"/>
    <s v="Lagos"/>
    <s v="Sea"/>
    <x v="0"/>
    <n v="2869662.9"/>
  </r>
  <r>
    <s v="Cocoa"/>
    <s v="Nigerian Export Promotion Council (NEPC)"/>
    <x v="1"/>
    <s v="12/24/2020"/>
    <n v="989"/>
    <n v="24274.45"/>
    <n v="7019.72"/>
    <n v="24007431.050000001"/>
    <s v="Lagos"/>
    <s v="Sea"/>
    <x v="0"/>
    <n v="6942503.0800000001"/>
  </r>
  <r>
    <s v="Cocoa"/>
    <s v="Prime Agro Exports Nigeria Limited"/>
    <x v="1"/>
    <s v="7/19/2020"/>
    <n v="258"/>
    <n v="43253.51"/>
    <n v="3922.14"/>
    <n v="11159405.58"/>
    <s v="Warri"/>
    <s v="Sea"/>
    <x v="0"/>
    <n v="1011912.12"/>
  </r>
  <r>
    <s v="Cocoa"/>
    <s v="Solid Agro Nigeria Limited"/>
    <x v="2"/>
    <s v="10/7/2020"/>
    <n v="449"/>
    <n v="22573.52"/>
    <n v="5849.58"/>
    <n v="10135510.48"/>
    <s v="Lagos"/>
    <s v="Sea"/>
    <x v="0"/>
    <n v="2626461.42"/>
  </r>
  <r>
    <s v="Cocoa"/>
    <s v="Agriplus Nigeria Limited"/>
    <x v="2"/>
    <s v="3/13/2020"/>
    <n v="644"/>
    <n v="11922.17"/>
    <n v="2972.84"/>
    <n v="7677877.4800000004"/>
    <s v="Lagos"/>
    <s v="Sea"/>
    <x v="0"/>
    <n v="1914508.9600000002"/>
  </r>
  <r>
    <s v="Cocoa"/>
    <s v="Agriplus Nigeria Limited"/>
    <x v="3"/>
    <s v="4/5/2020"/>
    <n v="121"/>
    <n v="39676.69"/>
    <n v="4143.1899999999996"/>
    <n v="4800879.49"/>
    <s v="Lagos"/>
    <s v="Sea"/>
    <x v="0"/>
    <n v="501325.98999999993"/>
  </r>
  <r>
    <s v="Cocoa"/>
    <s v="Agro Allied Exporters Nigeria Limited"/>
    <x v="4"/>
    <s v="4/24/2020"/>
    <n v="482"/>
    <n v="34497.660000000003"/>
    <n v="2071.13"/>
    <n v="16627872.119999999"/>
    <s v="Port Harcourt"/>
    <s v="Sea"/>
    <x v="0"/>
    <n v="998284.66"/>
  </r>
  <r>
    <s v="Cocoa"/>
    <s v="Agro Export Nigeria Ltd"/>
    <x v="4"/>
    <s v="5/26/2020"/>
    <n v="798"/>
    <n v="43030.42"/>
    <n v="5718.02"/>
    <n v="34338275.159999996"/>
    <s v="Port Harcourt"/>
    <s v="Sea"/>
    <x v="0"/>
    <n v="4562979.96"/>
  </r>
  <r>
    <s v="Cocoa"/>
    <s v="Agro Allied Exporters Nigeria Limited"/>
    <x v="4"/>
    <s v="5/31/2020"/>
    <n v="216"/>
    <n v="25895.71"/>
    <n v="5588.44"/>
    <n v="5593473.3600000003"/>
    <s v="Lagos"/>
    <s v="Sea"/>
    <x v="0"/>
    <n v="1207103.0399999998"/>
  </r>
  <r>
    <s v="Cocoa"/>
    <s v="Greenfield Agro Exporters Nigeria Limited"/>
    <x v="4"/>
    <s v="6/30/2020"/>
    <n v="689"/>
    <n v="29393.13"/>
    <n v="3650.64"/>
    <n v="20251866.57"/>
    <s v="Lagos"/>
    <s v="Sea"/>
    <x v="0"/>
    <n v="2515290.96"/>
  </r>
  <r>
    <s v="Cocoa"/>
    <s v="Solid Agro Nigeria Limited"/>
    <x v="4"/>
    <s v="7/29/2020"/>
    <n v="723"/>
    <n v="24896.53"/>
    <n v="4266.1000000000004"/>
    <n v="18000191.190000001"/>
    <s v="Calabar"/>
    <s v="Sea"/>
    <x v="0"/>
    <n v="3084390.3000000003"/>
  </r>
  <r>
    <s v="Cocoa"/>
    <s v="Agriplus Nigeria Limited"/>
    <x v="5"/>
    <s v="7/29/2020"/>
    <n v="355"/>
    <n v="19246.61"/>
    <n v="2599.13"/>
    <n v="6832546.5499999998"/>
    <s v="Lagos"/>
    <s v="Sea"/>
    <x v="0"/>
    <n v="922691.15"/>
  </r>
  <r>
    <s v="Cocoa"/>
    <s v="Golden Farms Nigeria Limited"/>
    <x v="4"/>
    <s v="9/2/2020"/>
    <n v="997"/>
    <n v="23337.7"/>
    <n v="5441.12"/>
    <n v="23267686.899999999"/>
    <s v="Lagos"/>
    <s v="Sea"/>
    <x v="0"/>
    <n v="5424796.6399999997"/>
  </r>
  <r>
    <s v="Cocoa"/>
    <s v="Farmgate Nigeria Limited"/>
    <x v="6"/>
    <s v="10/29/2020"/>
    <n v="181"/>
    <n v="42649.85"/>
    <n v="4580.5200000000004"/>
    <n v="7719622.8499999996"/>
    <s v="Lagos"/>
    <s v="Sea"/>
    <x v="0"/>
    <n v="829074.12000000011"/>
  </r>
  <r>
    <s v="Cocoa"/>
    <s v="Prime Agro Exports Nigeria Limited"/>
    <x v="7"/>
    <s v="10/29/2020"/>
    <n v="953"/>
    <n v="30715.74"/>
    <n v="7323.65"/>
    <n v="29272100.219999999"/>
    <s v="Warri"/>
    <s v="Sea"/>
    <x v="0"/>
    <n v="6979438.4499999993"/>
  </r>
  <r>
    <s v="Cocoa"/>
    <s v="Farmgate Nigeria Limited"/>
    <x v="8"/>
    <s v="11/11/2020"/>
    <n v="839"/>
    <n v="20194.91"/>
    <n v="4050.93"/>
    <n v="16943529.489999998"/>
    <s v="Port Harcourt"/>
    <s v="Sea"/>
    <x v="0"/>
    <n v="3398730.27"/>
  </r>
  <r>
    <s v="Cocoa"/>
    <s v="Nigerian Export Promotion Council (NEPC)"/>
    <x v="8"/>
    <s v="3/27/2020"/>
    <n v="435"/>
    <n v="15057.51"/>
    <n v="5455.6"/>
    <n v="6550016.8499999996"/>
    <s v="Calabar"/>
    <s v="Sea"/>
    <x v="0"/>
    <n v="2373186"/>
  </r>
  <r>
    <s v="Cocoa"/>
    <s v="Golden Farms Nigeria Limited"/>
    <x v="8"/>
    <s v="8/17/2020"/>
    <n v="167"/>
    <n v="24405.81"/>
    <n v="5557.46"/>
    <n v="4075770.27"/>
    <s v="Lagos"/>
    <s v="Sea"/>
    <x v="0"/>
    <n v="928095.82"/>
  </r>
  <r>
    <s v="Cocoa"/>
    <s v="Prime Agro Exports Nigeria Limited"/>
    <x v="8"/>
    <s v="8/31/2020"/>
    <n v="118"/>
    <n v="22796.67"/>
    <n v="4784.42"/>
    <n v="2690007.06"/>
    <s v="Lagos"/>
    <s v="Sea"/>
    <x v="0"/>
    <n v="564561.56000000006"/>
  </r>
  <r>
    <s v="Cocoa"/>
    <s v="Greenfield Agro Exporters Nigeria Limited"/>
    <x v="9"/>
    <s v="1/16/2020"/>
    <n v="207"/>
    <n v="14501.74"/>
    <n v="4713.01"/>
    <n v="3001860.18"/>
    <s v="Lagos"/>
    <s v="Sea"/>
    <x v="0"/>
    <n v="975593.07000000007"/>
  </r>
  <r>
    <s v="Cocoa"/>
    <s v="Agriplus Nigeria Limited"/>
    <x v="9"/>
    <s v="12/14/2020"/>
    <n v="332"/>
    <n v="42678.9"/>
    <n v="2935.51"/>
    <n v="14169394.800000001"/>
    <s v="Lagos"/>
    <s v="Sea"/>
    <x v="0"/>
    <n v="974589.32000000007"/>
  </r>
  <r>
    <s v="Cocoa"/>
    <s v="Greenfield Agro Exporters Nigeria Limited"/>
    <x v="9"/>
    <s v="4/10/2020"/>
    <n v="741"/>
    <n v="47745.33"/>
    <n v="7767.31"/>
    <n v="35379289.530000001"/>
    <s v="Lagos"/>
    <s v="Sea"/>
    <x v="0"/>
    <n v="5755576.71"/>
  </r>
  <r>
    <s v="Cocoa"/>
    <s v="Agro Export Nigeria Ltd"/>
    <x v="9"/>
    <s v="4/20/2020"/>
    <n v="276"/>
    <n v="35183.879999999997"/>
    <n v="7272.88"/>
    <n v="9710750.8800000008"/>
    <s v="Port Harcourt"/>
    <s v="Sea"/>
    <x v="0"/>
    <n v="2007314.8800000001"/>
  </r>
  <r>
    <s v="Cocoa"/>
    <s v="Golden Farms Nigeria Limited"/>
    <x v="9"/>
    <s v="7/14/2020"/>
    <n v="360"/>
    <n v="26607.040000000001"/>
    <n v="3144.34"/>
    <n v="9578534.4000000004"/>
    <s v="Warri"/>
    <s v="Sea"/>
    <x v="0"/>
    <n v="1131962.4000000001"/>
  </r>
  <r>
    <s v="Cocoa"/>
    <s v="Agriplus Nigeria Limited"/>
    <x v="9"/>
    <s v="7/31/2020"/>
    <n v="410"/>
    <n v="42063.46"/>
    <n v="8620.2000000000007"/>
    <n v="17246018.600000001"/>
    <s v="Port Harcourt"/>
    <s v="Sea"/>
    <x v="0"/>
    <n v="3534282.0000000005"/>
  </r>
  <r>
    <s v="Cocoa"/>
    <s v="Golden Farms Nigeria Limited"/>
    <x v="7"/>
    <s v="1/24/2020"/>
    <n v="847"/>
    <n v="19595.099999999999"/>
    <n v="8836.6200000000008"/>
    <n v="16597049.699999999"/>
    <s v="Calabar"/>
    <s v="Sea"/>
    <x v="0"/>
    <n v="7484617.1400000006"/>
  </r>
  <r>
    <s v="Cocoa"/>
    <s v="Golden Farms Nigeria Limited"/>
    <x v="7"/>
    <s v="1/6/2020"/>
    <n v="492"/>
    <n v="33982.230000000003"/>
    <n v="3031.16"/>
    <n v="16719257.16"/>
    <s v="Lagos"/>
    <s v="Sea"/>
    <x v="0"/>
    <n v="1491330.72"/>
  </r>
  <r>
    <s v="Cocoa"/>
    <s v="Greenfield Agro Exporters Nigeria Limited"/>
    <x v="7"/>
    <s v="12/16/2020"/>
    <n v="579"/>
    <n v="40723.75"/>
    <n v="7020.3"/>
    <n v="23579051.25"/>
    <s v="Calabar"/>
    <s v="Sea"/>
    <x v="0"/>
    <n v="4064753.7"/>
  </r>
  <r>
    <s v="Cocoa"/>
    <s v="Farmgate Nigeria Limited"/>
    <x v="0"/>
    <s v="3/23/2021"/>
    <n v="864"/>
    <n v="40976.449999999997"/>
    <n v="3472.61"/>
    <n v="35403652.799999997"/>
    <s v="Lagos"/>
    <s v="Sea"/>
    <x v="1"/>
    <n v="3000335.04"/>
  </r>
  <r>
    <s v="Cocoa"/>
    <s v="Greenfield Agro Exporters Nigeria Limited"/>
    <x v="0"/>
    <s v="5/19/2021"/>
    <n v="743"/>
    <n v="20825.009999999998"/>
    <n v="2879.25"/>
    <n v="15472982.43"/>
    <s v="Calabar"/>
    <s v="Sea"/>
    <x v="1"/>
    <n v="2139282.75"/>
  </r>
  <r>
    <s v="Cocoa"/>
    <s v="Prime Agro Exports Nigeria Limited"/>
    <x v="0"/>
    <s v="6/3/2021"/>
    <n v="157"/>
    <n v="11352.41"/>
    <n v="6556.99"/>
    <n v="1782328.37"/>
    <s v="Lagos"/>
    <s v="Sea"/>
    <x v="1"/>
    <n v="1029447.4299999999"/>
  </r>
  <r>
    <s v="Cocoa"/>
    <s v="Nigeria Agro Export Company"/>
    <x v="1"/>
    <s v="10/25/2021"/>
    <n v="978"/>
    <n v="42445.04"/>
    <n v="4024.2"/>
    <n v="41511249.119999997"/>
    <s v="Lagos"/>
    <s v="Sea"/>
    <x v="1"/>
    <n v="3935667.5999999996"/>
  </r>
  <r>
    <s v="Cocoa"/>
    <s v="Agriplus Nigeria Limited"/>
    <x v="1"/>
    <s v="4/15/2021"/>
    <n v="262"/>
    <n v="27644.22"/>
    <n v="2134.1799999999998"/>
    <n v="7242785.6399999997"/>
    <s v="Lagos"/>
    <s v="Sea"/>
    <x v="1"/>
    <n v="559155.15999999992"/>
  </r>
  <r>
    <s v="Cocoa"/>
    <s v="Greenfield Agro Exporters Nigeria Limited"/>
    <x v="1"/>
    <s v="8/7/2021"/>
    <n v="232"/>
    <n v="40443.449999999997"/>
    <n v="8390.75"/>
    <n v="9382880.4000000004"/>
    <s v="Port Harcourt"/>
    <s v="Sea"/>
    <x v="1"/>
    <n v="1946654"/>
  </r>
  <r>
    <s v="Cocoa"/>
    <s v="Agro Allied Exporters Nigeria Limited"/>
    <x v="1"/>
    <s v="8/7/2021"/>
    <n v="231"/>
    <n v="37383.65"/>
    <n v="6025.9"/>
    <n v="8635623.1500000004"/>
    <s v="Lagos"/>
    <s v="Sea"/>
    <x v="1"/>
    <n v="1391982.9"/>
  </r>
  <r>
    <s v="Cocoa"/>
    <s v="Agro Allied Exporters Nigeria Limited"/>
    <x v="2"/>
    <s v="3/24/2021"/>
    <n v="564"/>
    <n v="23783.54"/>
    <n v="5997.33"/>
    <n v="13413916.560000001"/>
    <s v="Warri"/>
    <s v="Sea"/>
    <x v="1"/>
    <n v="3382494.12"/>
  </r>
  <r>
    <s v="Cocoa"/>
    <s v="Nigerian Export Promotion Council (NEPC)"/>
    <x v="2"/>
    <s v="6/30/2021"/>
    <n v="741"/>
    <n v="29609.45"/>
    <n v="7089.59"/>
    <n v="21940602.449999999"/>
    <s v="Port Harcourt"/>
    <s v="Sea"/>
    <x v="1"/>
    <n v="5253386.1900000004"/>
  </r>
  <r>
    <s v="Cocoa"/>
    <s v="Farmgate Nigeria Limited"/>
    <x v="3"/>
    <s v="10/2/2021"/>
    <n v="310"/>
    <n v="27530.43"/>
    <n v="2895.68"/>
    <n v="8534433.3000000007"/>
    <s v="Lagos"/>
    <s v="Sea"/>
    <x v="1"/>
    <n v="897660.79999999993"/>
  </r>
  <r>
    <s v="Cocoa"/>
    <s v="Golden Farms Nigeria Limited"/>
    <x v="3"/>
    <s v="2/26/2021"/>
    <n v="999"/>
    <n v="35396.620000000003"/>
    <n v="6036.55"/>
    <n v="35361223.380000003"/>
    <s v="Warri"/>
    <s v="Sea"/>
    <x v="1"/>
    <n v="6030513.4500000002"/>
  </r>
  <r>
    <s v="Cocoa"/>
    <s v="Agro Allied Exporters Nigeria Limited"/>
    <x v="4"/>
    <s v="10/1/2021"/>
    <n v="815"/>
    <n v="12663.48"/>
    <n v="6749.3"/>
    <n v="10320736.199999999"/>
    <s v="Port Harcourt"/>
    <s v="Sea"/>
    <x v="1"/>
    <n v="5500679.5"/>
  </r>
  <r>
    <s v="Cocoa"/>
    <s v="Greenfield Agro Exporters Nigeria Limited"/>
    <x v="4"/>
    <s v="8/17/2021"/>
    <n v="573"/>
    <n v="47666.720000000001"/>
    <n v="9323.9"/>
    <n v="27313030.559999999"/>
    <s v="Lagos"/>
    <s v="Sea"/>
    <x v="1"/>
    <n v="5342594.7"/>
  </r>
  <r>
    <s v="Cocoa"/>
    <s v="Prime Agro Exports Nigeria Limited"/>
    <x v="6"/>
    <s v="11/4/2021"/>
    <n v="871"/>
    <n v="44322.34"/>
    <n v="4441.17"/>
    <n v="38604758.140000001"/>
    <s v="Lagos"/>
    <s v="Sea"/>
    <x v="1"/>
    <n v="3868259.07"/>
  </r>
  <r>
    <s v="Cocoa"/>
    <s v="Golden Farms Nigeria Limited"/>
    <x v="6"/>
    <s v="11/8/2021"/>
    <n v="385"/>
    <n v="42207.48"/>
    <n v="2035.1"/>
    <n v="16249879.800000001"/>
    <s v="Lagos"/>
    <s v="Sea"/>
    <x v="1"/>
    <n v="783513.5"/>
  </r>
  <r>
    <s v="Cocoa"/>
    <s v="Nigerian Export Promotion Council (NEPC)"/>
    <x v="6"/>
    <s v="3/18/2021"/>
    <n v="619"/>
    <n v="35120.03"/>
    <n v="4158.59"/>
    <n v="21739298.57"/>
    <s v="Calabar"/>
    <s v="Sea"/>
    <x v="1"/>
    <n v="2574167.21"/>
  </r>
  <r>
    <s v="Cocoa"/>
    <s v="Greenfield Agro Exporters Nigeria Limited"/>
    <x v="6"/>
    <s v="3/19/2021"/>
    <n v="673"/>
    <n v="49924.06"/>
    <n v="9726.7900000000009"/>
    <n v="33598892.380000003"/>
    <s v="Lagos"/>
    <s v="Sea"/>
    <x v="1"/>
    <n v="6546129.6700000009"/>
  </r>
  <r>
    <s v="Cocoa"/>
    <s v="Nigerian Export Promotion Council (NEPC)"/>
    <x v="6"/>
    <s v="3/31/2021"/>
    <n v="673"/>
    <n v="45974"/>
    <n v="7313.46"/>
    <n v="30940502"/>
    <s v="Lagos"/>
    <s v="Sea"/>
    <x v="1"/>
    <n v="4921958.58"/>
  </r>
  <r>
    <s v="Cocoa"/>
    <s v="Golden Farms Nigeria Limited"/>
    <x v="6"/>
    <s v="5/27/2021"/>
    <n v="480"/>
    <n v="12519.37"/>
    <n v="8790.94"/>
    <n v="6009297.5999999996"/>
    <s v="Lagos"/>
    <s v="Sea"/>
    <x v="1"/>
    <n v="4219651.2"/>
  </r>
  <r>
    <s v="Cocoa"/>
    <s v="Farmgate Nigeria Limited"/>
    <x v="6"/>
    <s v="8/31/2021"/>
    <n v="296"/>
    <n v="15129.48"/>
    <n v="8612.34"/>
    <n v="4478326.08"/>
    <s v="Lagos"/>
    <s v="Sea"/>
    <x v="1"/>
    <n v="2549252.64"/>
  </r>
  <r>
    <s v="Cocoa"/>
    <s v="Nigerian Export Promotion Council (NEPC)"/>
    <x v="8"/>
    <s v="7/2/2021"/>
    <n v="648"/>
    <n v="32276.01"/>
    <n v="3180.07"/>
    <n v="20914854.48"/>
    <s v="Lagos"/>
    <s v="Sea"/>
    <x v="1"/>
    <n v="2060685.36"/>
  </r>
  <r>
    <s v="Cocoa"/>
    <s v="Nigeria Agro Export Company"/>
    <x v="8"/>
    <s v="7/7/2021"/>
    <n v="571"/>
    <n v="27712.14"/>
    <n v="6221.24"/>
    <n v="15823631.939999999"/>
    <s v="Lagos"/>
    <s v="Sea"/>
    <x v="1"/>
    <n v="3552328.04"/>
  </r>
  <r>
    <s v="Cocoa"/>
    <s v="Agro Export Nigeria Ltd"/>
    <x v="9"/>
    <s v="10/6/2021"/>
    <n v="660"/>
    <n v="29898.29"/>
    <n v="3852.77"/>
    <n v="19732871.399999999"/>
    <s v="Lagos"/>
    <s v="Sea"/>
    <x v="1"/>
    <n v="2542828.2000000002"/>
  </r>
  <r>
    <s v="Cocoa"/>
    <s v="Agriplus Nigeria Limited"/>
    <x v="9"/>
    <s v="12/13/2021"/>
    <n v="564"/>
    <n v="18024.78"/>
    <n v="9857.8700000000008"/>
    <n v="10165975.92"/>
    <s v="Lagos"/>
    <s v="Sea"/>
    <x v="1"/>
    <n v="5559838.6800000006"/>
  </r>
  <r>
    <s v="Cocoa"/>
    <s v="Nigerian Export Promotion Council (NEPC)"/>
    <x v="9"/>
    <s v="12/31/2021"/>
    <n v="544"/>
    <n v="31992.21"/>
    <n v="6314.66"/>
    <n v="17403762.239999998"/>
    <s v="Warri"/>
    <s v="Sea"/>
    <x v="1"/>
    <n v="3435175.04"/>
  </r>
  <r>
    <s v="Cocoa"/>
    <s v="Nigerian Export Promotion Council (NEPC)"/>
    <x v="7"/>
    <s v="12/14/2021"/>
    <n v="605"/>
    <n v="32275.27"/>
    <n v="4331.41"/>
    <n v="19526538.350000001"/>
    <s v="Lagos"/>
    <s v="Sea"/>
    <x v="1"/>
    <n v="2620503.0499999998"/>
  </r>
  <r>
    <s v="Cocoa"/>
    <s v="Agriplus Nigeria Limited"/>
    <x v="7"/>
    <s v="2/15/2021"/>
    <n v="520"/>
    <n v="25128.16"/>
    <n v="3894.72"/>
    <n v="13066643.199999999"/>
    <s v="Lagos"/>
    <s v="Sea"/>
    <x v="1"/>
    <n v="2025254.4"/>
  </r>
  <r>
    <s v="Cocoa"/>
    <s v="Agro Export Nigeria Ltd"/>
    <x v="5"/>
    <s v="3/7/2021"/>
    <n v="820"/>
    <n v="15596.18"/>
    <n v="8725.66"/>
    <n v="12788867.6"/>
    <s v="Lagos"/>
    <s v="Sea"/>
    <x v="1"/>
    <n v="7155041.2000000002"/>
  </r>
  <r>
    <s v="Cocoa"/>
    <s v="Greenfield Agro Exporters Nigeria Limited"/>
    <x v="0"/>
    <s v="10/1/2022"/>
    <n v="199"/>
    <n v="46862.07"/>
    <n v="7340.8"/>
    <n v="9325551.9299999997"/>
    <s v="Calabar"/>
    <s v="Sea"/>
    <x v="2"/>
    <n v="1460819.2"/>
  </r>
  <r>
    <s v="Cocoa"/>
    <s v="Greenfield Agro Exporters Nigeria Limited"/>
    <x v="0"/>
    <s v="10/14/2022"/>
    <n v="604"/>
    <n v="37692.51"/>
    <n v="5514.53"/>
    <n v="22766276.039999999"/>
    <s v="Port Harcourt"/>
    <s v="Sea"/>
    <x v="2"/>
    <n v="3330776.1199999996"/>
  </r>
  <r>
    <s v="Cocoa"/>
    <s v="Agro Allied Exporters Nigeria Limited"/>
    <x v="0"/>
    <s v="12/10/2022"/>
    <n v="270"/>
    <n v="14740.11"/>
    <n v="4400.0600000000004"/>
    <n v="3979829.7"/>
    <s v="Lagos"/>
    <s v="Sea"/>
    <x v="2"/>
    <n v="1188016.2000000002"/>
  </r>
  <r>
    <s v="Cocoa"/>
    <s v="Agriplus Nigeria Limited"/>
    <x v="0"/>
    <s v="6/2/2022"/>
    <n v="438"/>
    <n v="43305.68"/>
    <n v="9195.7199999999993"/>
    <n v="18967887.84"/>
    <s v="Lagos"/>
    <s v="Sea"/>
    <x v="2"/>
    <n v="4027725.36"/>
  </r>
  <r>
    <s v="Cocoa"/>
    <s v="Solid Agro Nigeria Limited"/>
    <x v="0"/>
    <s v="6/9/2022"/>
    <n v="930"/>
    <n v="40089.03"/>
    <n v="8651.1200000000008"/>
    <n v="37282797.899999999"/>
    <s v="Port Harcourt"/>
    <s v="Sea"/>
    <x v="2"/>
    <n v="8045541.6000000006"/>
  </r>
  <r>
    <s v="Cocoa"/>
    <s v="Golden Farms Nigeria Limited"/>
    <x v="0"/>
    <s v="7/16/2022"/>
    <n v="930"/>
    <n v="10155.64"/>
    <n v="7680.1"/>
    <n v="9444745.1999999993"/>
    <s v="Lagos"/>
    <s v="Sea"/>
    <x v="2"/>
    <n v="7142493"/>
  </r>
  <r>
    <s v="Cocoa"/>
    <s v="Solid Agro Nigeria Limited"/>
    <x v="0"/>
    <s v="9/6/2022"/>
    <n v="752"/>
    <n v="33682.199999999997"/>
    <n v="2116.71"/>
    <n v="25329014.399999999"/>
    <s v="Lagos"/>
    <s v="Sea"/>
    <x v="2"/>
    <n v="1591765.92"/>
  </r>
  <r>
    <s v="Cocoa"/>
    <s v="Prime Agro Exports Nigeria Limited"/>
    <x v="1"/>
    <s v="12/15/2022"/>
    <n v="285"/>
    <n v="31583.71"/>
    <n v="7018.27"/>
    <n v="9001357.3499999996"/>
    <s v="Lagos"/>
    <s v="Sea"/>
    <x v="2"/>
    <n v="2000206.9500000002"/>
  </r>
  <r>
    <s v="Cocoa"/>
    <s v="Agro Allied Exporters Nigeria Limited"/>
    <x v="1"/>
    <s v="2/6/2022"/>
    <n v="881"/>
    <n v="26436.880000000001"/>
    <n v="3810.84"/>
    <n v="23290891.280000001"/>
    <s v="Port Harcourt"/>
    <s v="Sea"/>
    <x v="2"/>
    <n v="3357350.04"/>
  </r>
  <r>
    <s v="Cocoa"/>
    <s v="Farmgate Nigeria Limited"/>
    <x v="1"/>
    <s v="3/23/2022"/>
    <n v="340"/>
    <n v="26117.99"/>
    <n v="2018.73"/>
    <n v="8880116.5999999996"/>
    <s v="Lagos"/>
    <s v="Sea"/>
    <x v="2"/>
    <n v="686368.2"/>
  </r>
  <r>
    <s v="Cocoa"/>
    <s v="Prime Agro Exports Nigeria Limited"/>
    <x v="1"/>
    <s v="6/13/2022"/>
    <n v="980"/>
    <n v="36784.33"/>
    <n v="3862.81"/>
    <n v="36048643.399999999"/>
    <s v="Lagos"/>
    <s v="Sea"/>
    <x v="2"/>
    <n v="3785553.8"/>
  </r>
  <r>
    <s v="Cocoa"/>
    <s v="Agriplus Nigeria Limited"/>
    <x v="1"/>
    <s v="7/2/2022"/>
    <n v="640"/>
    <n v="37592.199999999997"/>
    <n v="7882.03"/>
    <n v="24059008"/>
    <s v="Lagos"/>
    <s v="Sea"/>
    <x v="2"/>
    <n v="5044499.2"/>
  </r>
  <r>
    <s v="Cocoa"/>
    <s v="Agro Allied Exporters Nigeria Limited"/>
    <x v="8"/>
    <s v="7/2/2022"/>
    <n v="331"/>
    <n v="40975.54"/>
    <n v="5778.24"/>
    <n v="13562903.74"/>
    <s v="Calabar"/>
    <s v="Sea"/>
    <x v="2"/>
    <n v="1912597.44"/>
  </r>
  <r>
    <s v="Cocoa"/>
    <s v="Nigeria Agro Export Company"/>
    <x v="1"/>
    <s v="8/21/2022"/>
    <n v="337"/>
    <n v="12898.06"/>
    <n v="2443.4"/>
    <n v="4346646.22"/>
    <s v="Lagos"/>
    <s v="Sea"/>
    <x v="2"/>
    <n v="823425.8"/>
  </r>
  <r>
    <s v="Cocoa"/>
    <s v="Agro Allied Exporters Nigeria Limited"/>
    <x v="2"/>
    <s v="11/25/2022"/>
    <n v="273"/>
    <n v="29358.38"/>
    <n v="5452.34"/>
    <n v="8014837.7400000002"/>
    <s v="Warri"/>
    <s v="Sea"/>
    <x v="2"/>
    <n v="1488488.82"/>
  </r>
  <r>
    <s v="Cocoa"/>
    <s v="Agro Allied Exporters Nigeria Limited"/>
    <x v="2"/>
    <s v="2/12/2022"/>
    <n v="778"/>
    <n v="24299.4"/>
    <n v="7503.95"/>
    <n v="18904933.199999999"/>
    <s v="Lagos"/>
    <s v="Sea"/>
    <x v="2"/>
    <n v="5838073.0999999996"/>
  </r>
  <r>
    <s v="Cocoa"/>
    <s v="Farmgate Nigeria Limited"/>
    <x v="2"/>
    <s v="2/16/2022"/>
    <n v="972"/>
    <n v="12391.17"/>
    <n v="4739.75"/>
    <n v="12044217.24"/>
    <s v="Lagos"/>
    <s v="Sea"/>
    <x v="2"/>
    <n v="4607037"/>
  </r>
  <r>
    <s v="Cocoa"/>
    <s v="Golden Farms Nigeria Limited"/>
    <x v="2"/>
    <s v="6/7/2022"/>
    <n v="775"/>
    <n v="13645.3"/>
    <n v="6202.53"/>
    <n v="10575107.5"/>
    <s v="Warri"/>
    <s v="Sea"/>
    <x v="2"/>
    <n v="4806960.75"/>
  </r>
  <r>
    <s v="Cocoa"/>
    <s v="Golden Farms Nigeria Limited"/>
    <x v="3"/>
    <s v="6/7/2022"/>
    <n v="181"/>
    <n v="46007.28"/>
    <n v="9692.49"/>
    <n v="8327317.6799999997"/>
    <s v="Lagos"/>
    <s v="Sea"/>
    <x v="2"/>
    <n v="1754340.69"/>
  </r>
  <r>
    <s v="Cocoa"/>
    <s v="Farmgate Nigeria Limited"/>
    <x v="2"/>
    <s v="8/18/2022"/>
    <n v="583"/>
    <n v="31350.91"/>
    <n v="7272.46"/>
    <n v="18277580.530000001"/>
    <s v="Lagos"/>
    <s v="Sea"/>
    <x v="2"/>
    <n v="4239844.18"/>
  </r>
  <r>
    <s v="Cocoa"/>
    <s v="Agriplus Nigeria Limited"/>
    <x v="3"/>
    <s v="2/7/2022"/>
    <n v="113"/>
    <n v="47220.35"/>
    <n v="6292.5"/>
    <n v="5335899.55"/>
    <s v="Lagos"/>
    <s v="Sea"/>
    <x v="2"/>
    <n v="711052.5"/>
  </r>
  <r>
    <s v="Cocoa"/>
    <s v="Farmgate Nigeria Limited"/>
    <x v="3"/>
    <s v="4/29/2022"/>
    <n v="339"/>
    <n v="45625.14"/>
    <n v="4973.87"/>
    <n v="15466922.460000001"/>
    <s v="Lagos"/>
    <s v="Sea"/>
    <x v="2"/>
    <n v="1686141.93"/>
  </r>
  <r>
    <s v="Cocoa"/>
    <s v="Farmgate Nigeria Limited"/>
    <x v="3"/>
    <s v="5/26/2022"/>
    <n v="651"/>
    <n v="23667.26"/>
    <n v="6606.14"/>
    <n v="15407386.26"/>
    <s v="Lagos"/>
    <s v="Sea"/>
    <x v="2"/>
    <n v="4300597.1400000006"/>
  </r>
  <r>
    <s v="Cocoa"/>
    <s v="Agriplus Nigeria Limited"/>
    <x v="3"/>
    <s v="9/18/2022"/>
    <n v="512"/>
    <n v="40616.94"/>
    <n v="8997.44"/>
    <n v="20795873.280000001"/>
    <s v="Lagos"/>
    <s v="Sea"/>
    <x v="2"/>
    <n v="4606689.2800000003"/>
  </r>
  <r>
    <s v="Cocoa"/>
    <s v="Golden Farms Nigeria Limited"/>
    <x v="6"/>
    <s v="1/12/2022"/>
    <n v="994"/>
    <n v="38992.61"/>
    <n v="8142.85"/>
    <n v="38758654.340000004"/>
    <s v="Lagos"/>
    <s v="Sea"/>
    <x v="2"/>
    <n v="8093992.9000000004"/>
  </r>
  <r>
    <s v="Cocoa"/>
    <s v="Nigeria Agro Export Company"/>
    <x v="6"/>
    <s v="3/17/2022"/>
    <n v="746"/>
    <n v="11537.24"/>
    <n v="4261.71"/>
    <n v="8606781.0399999991"/>
    <s v="Calabar"/>
    <s v="Sea"/>
    <x v="2"/>
    <n v="3179235.66"/>
  </r>
  <r>
    <s v="Cocoa"/>
    <s v="Nigerian Export Promotion Council (NEPC)"/>
    <x v="6"/>
    <s v="3/5/2022"/>
    <n v="371"/>
    <n v="36210.54"/>
    <n v="3101.99"/>
    <n v="13434110.34"/>
    <s v="Calabar"/>
    <s v="Sea"/>
    <x v="2"/>
    <n v="1150838.2899999998"/>
  </r>
  <r>
    <s v="Cocoa"/>
    <s v="Greenfield Agro Exporters Nigeria Limited"/>
    <x v="6"/>
    <s v="7/18/2022"/>
    <n v="945"/>
    <n v="32510.05"/>
    <n v="5669.22"/>
    <n v="30721997.25"/>
    <s v="Warri"/>
    <s v="Sea"/>
    <x v="2"/>
    <n v="5357412.9000000004"/>
  </r>
  <r>
    <s v="Cocoa"/>
    <s v="Solid Agro Nigeria Limited"/>
    <x v="7"/>
    <s v="7/18/2022"/>
    <n v="357"/>
    <n v="46900.29"/>
    <n v="2786.12"/>
    <n v="16743403.529999999"/>
    <s v="Port Harcourt"/>
    <s v="Sea"/>
    <x v="2"/>
    <n v="994644.84"/>
  </r>
  <r>
    <s v="Cocoa"/>
    <s v="Agro Allied Exporters Nigeria Limited"/>
    <x v="6"/>
    <s v="7/7/2022"/>
    <n v="954"/>
    <n v="32313.86"/>
    <n v="6873.64"/>
    <n v="30827422.440000001"/>
    <s v="Port Harcourt"/>
    <s v="Sea"/>
    <x v="2"/>
    <n v="6557452.5600000005"/>
  </r>
  <r>
    <s v="Cocoa"/>
    <s v="Solid Agro Nigeria Limited"/>
    <x v="6"/>
    <s v="8/10/2022"/>
    <n v="248"/>
    <n v="47005.31"/>
    <n v="9451.99"/>
    <n v="11657316.880000001"/>
    <s v="Lagos"/>
    <s v="Sea"/>
    <x v="2"/>
    <n v="2344093.52"/>
  </r>
  <r>
    <s v="Cocoa"/>
    <s v="Solid Agro Nigeria Limited"/>
    <x v="8"/>
    <s v="1/9/2022"/>
    <n v="394"/>
    <n v="32556.2"/>
    <n v="8455.9699999999993"/>
    <n v="12827142.800000001"/>
    <s v="Warri"/>
    <s v="Sea"/>
    <x v="2"/>
    <n v="3331652.1799999997"/>
  </r>
  <r>
    <s v="Cocoa"/>
    <s v="Nigerian Export Promotion Council (NEPC)"/>
    <x v="8"/>
    <s v="4/24/2022"/>
    <n v="951"/>
    <n v="49548.71"/>
    <n v="5274.5"/>
    <n v="47120823.210000001"/>
    <s v="Lagos"/>
    <s v="Sea"/>
    <x v="2"/>
    <n v="5016049.5"/>
  </r>
  <r>
    <s v="Cocoa"/>
    <s v="Golden Farms Nigeria Limited"/>
    <x v="7"/>
    <s v="12/6/2022"/>
    <n v="285"/>
    <n v="15478.05"/>
    <n v="4402.63"/>
    <n v="4411244.25"/>
    <s v="Calabar"/>
    <s v="Sea"/>
    <x v="2"/>
    <n v="1254749.55"/>
  </r>
  <r>
    <s v="Cocoa"/>
    <s v="Nigeria Agro Export Company"/>
    <x v="7"/>
    <s v="3/7/2022"/>
    <n v="305"/>
    <n v="21673.21"/>
    <n v="7611.27"/>
    <n v="6610329.0499999998"/>
    <s v="Lagos"/>
    <s v="Sea"/>
    <x v="2"/>
    <n v="2321437.35"/>
  </r>
  <r>
    <s v="Cocoa"/>
    <s v="Agro Allied Exporters Nigeria Limited"/>
    <x v="7"/>
    <s v="8/23/2022"/>
    <n v="639"/>
    <n v="35392.97"/>
    <n v="6671.2"/>
    <n v="22616107.829999998"/>
    <s v="Warri"/>
    <s v="Sea"/>
    <x v="2"/>
    <n v="4262896.8"/>
  </r>
  <r>
    <s v="Cocoa"/>
    <s v="Agro Allied Exporters Nigeria Limited"/>
    <x v="0"/>
    <s v="2/18/2023"/>
    <n v="172"/>
    <n v="19594.66"/>
    <n v="9712"/>
    <n v="3370281.52"/>
    <s v="Warri"/>
    <s v="Sea"/>
    <x v="3"/>
    <n v="1670464"/>
  </r>
  <r>
    <s v="Cocoa"/>
    <s v="Nigeria Agro Export Company"/>
    <x v="0"/>
    <s v="2/21/2023"/>
    <n v="938"/>
    <n v="29055.81"/>
    <n v="3557.94"/>
    <n v="27254349.780000001"/>
    <s v="Calabar"/>
    <s v="Sea"/>
    <x v="3"/>
    <n v="3337347.72"/>
  </r>
  <r>
    <s v="Cocoa"/>
    <s v="Agriplus Nigeria Limited"/>
    <x v="0"/>
    <s v="6/7/2023"/>
    <n v="540"/>
    <n v="45317.85"/>
    <n v="7712.76"/>
    <n v="24471639"/>
    <s v="Warri"/>
    <s v="Sea"/>
    <x v="3"/>
    <n v="4164890.4"/>
  </r>
  <r>
    <s v="Cocoa"/>
    <s v="Solid Agro Nigeria Limited"/>
    <x v="0"/>
    <s v="7/18/2023"/>
    <n v="238"/>
    <n v="26925.18"/>
    <n v="2901.45"/>
    <n v="6408192.8399999999"/>
    <s v="Lagos"/>
    <s v="Sea"/>
    <x v="3"/>
    <n v="690545.1"/>
  </r>
  <r>
    <s v="Cocoa"/>
    <s v="Golden Farms Nigeria Limited"/>
    <x v="2"/>
    <s v="7/18/2023"/>
    <n v="948"/>
    <n v="14062.61"/>
    <n v="7842.17"/>
    <n v="13331354.279999999"/>
    <s v="Warri"/>
    <s v="Sea"/>
    <x v="3"/>
    <n v="7434377.1600000001"/>
  </r>
  <r>
    <s v="Cocoa"/>
    <s v="Solid Agro Nigeria Limited"/>
    <x v="0"/>
    <s v="9/15/2023"/>
    <n v="222"/>
    <n v="28231.62"/>
    <n v="7367.68"/>
    <n v="6267419.6399999997"/>
    <s v="Lagos"/>
    <s v="Sea"/>
    <x v="3"/>
    <n v="1635624.96"/>
  </r>
  <r>
    <s v="Cocoa"/>
    <s v="Nigeria Agro Export Company"/>
    <x v="0"/>
    <s v="9/20/2023"/>
    <n v="264"/>
    <n v="49192.22"/>
    <n v="4003.23"/>
    <n v="12986746.08"/>
    <s v="Port Harcourt"/>
    <s v="Sea"/>
    <x v="3"/>
    <n v="1056852.72"/>
  </r>
  <r>
    <s v="Cocoa"/>
    <s v="Farmgate Nigeria Limited"/>
    <x v="0"/>
    <s v="9/26/2023"/>
    <n v="250"/>
    <n v="39171.51"/>
    <n v="5314.78"/>
    <n v="9792877.5"/>
    <s v="Port Harcourt"/>
    <s v="Sea"/>
    <x v="3"/>
    <n v="1328695"/>
  </r>
  <r>
    <s v="Cocoa"/>
    <s v="Golden Farms Nigeria Limited"/>
    <x v="1"/>
    <s v="10/23/2023"/>
    <n v="657"/>
    <n v="42148.94"/>
    <n v="5773.97"/>
    <n v="27691853.579999998"/>
    <s v="Calabar"/>
    <s v="Sea"/>
    <x v="3"/>
    <n v="3793498.29"/>
  </r>
  <r>
    <s v="Cocoa"/>
    <s v="Nigerian Export Promotion Council (NEPC)"/>
    <x v="1"/>
    <s v="12/23/2023"/>
    <n v="354"/>
    <n v="16810.169999999998"/>
    <n v="7303.36"/>
    <n v="5950800.1799999997"/>
    <s v="Port Harcourt"/>
    <s v="Sea"/>
    <x v="3"/>
    <n v="2585389.44"/>
  </r>
  <r>
    <s v="Cocoa"/>
    <s v="Agro Allied Exporters Nigeria Limited"/>
    <x v="1"/>
    <s v="2/23/2023"/>
    <n v="981"/>
    <n v="39948.71"/>
    <n v="5611.36"/>
    <n v="39189684.509999998"/>
    <s v="Warri"/>
    <s v="Sea"/>
    <x v="3"/>
    <n v="5504744.1599999992"/>
  </r>
  <r>
    <s v="Cocoa"/>
    <s v="Solid Agro Nigeria Limited"/>
    <x v="1"/>
    <s v="5/23/2023"/>
    <n v="708"/>
    <n v="34554.94"/>
    <n v="4062.57"/>
    <n v="24464897.52"/>
    <s v="Lagos"/>
    <s v="Sea"/>
    <x v="3"/>
    <n v="2876299.56"/>
  </r>
  <r>
    <s v="Cocoa"/>
    <s v="Agriplus Nigeria Limited"/>
    <x v="2"/>
    <s v="4/1/2023"/>
    <n v="366"/>
    <n v="37718.550000000003"/>
    <n v="3056.13"/>
    <n v="13804989.300000001"/>
    <s v="Lagos"/>
    <s v="Sea"/>
    <x v="3"/>
    <n v="1118543.58"/>
  </r>
  <r>
    <s v="Cocoa"/>
    <s v="Nigerian Export Promotion Council (NEPC)"/>
    <x v="5"/>
    <s v="4/1/2023"/>
    <n v="902"/>
    <n v="26139.97"/>
    <n v="4595.3900000000003"/>
    <n v="23578252.940000001"/>
    <s v="Warri"/>
    <s v="Sea"/>
    <x v="3"/>
    <n v="4145041.7800000003"/>
  </r>
  <r>
    <s v="Cocoa"/>
    <s v="Farmgate Nigeria Limited"/>
    <x v="2"/>
    <s v="4/14/2023"/>
    <n v="166"/>
    <n v="21132.81"/>
    <n v="7252.84"/>
    <n v="3508046.46"/>
    <s v="Lagos"/>
    <s v="Sea"/>
    <x v="3"/>
    <n v="1203971.44"/>
  </r>
  <r>
    <s v="Cocoa"/>
    <s v="Greenfield Agro Exporters Nigeria Limited"/>
    <x v="2"/>
    <s v="8/17/2023"/>
    <n v="164"/>
    <n v="44326.559999999998"/>
    <n v="5980.31"/>
    <n v="7269555.8399999999"/>
    <s v="Calabar"/>
    <s v="Sea"/>
    <x v="3"/>
    <n v="980770.84000000008"/>
  </r>
  <r>
    <s v="Cocoa"/>
    <s v="Agro Allied Exporters Nigeria Limited"/>
    <x v="3"/>
    <s v="1/18/2023"/>
    <n v="179"/>
    <n v="13561.99"/>
    <n v="7189.28"/>
    <n v="2427596.21"/>
    <s v="Lagos"/>
    <s v="Sea"/>
    <x v="3"/>
    <n v="1286881.1199999999"/>
  </r>
  <r>
    <s v="Cocoa"/>
    <s v="Agriplus Nigeria Limited"/>
    <x v="6"/>
    <s v="1/18/2023"/>
    <n v="507"/>
    <n v="25077"/>
    <n v="4342.1899999999996"/>
    <n v="12714039"/>
    <s v="Calabar"/>
    <s v="Sea"/>
    <x v="3"/>
    <n v="2201490.3299999996"/>
  </r>
  <r>
    <s v="Cocoa"/>
    <s v="Greenfield Agro Exporters Nigeria Limited"/>
    <x v="3"/>
    <s v="10/12/2023"/>
    <n v="997"/>
    <n v="32753.279999999999"/>
    <n v="8951.58"/>
    <n v="32655020.16"/>
    <s v="Calabar"/>
    <s v="Sea"/>
    <x v="3"/>
    <n v="8924725.2599999998"/>
  </r>
  <r>
    <s v="Cocoa"/>
    <s v="Solid Agro Nigeria Limited"/>
    <x v="3"/>
    <s v="2/5/2023"/>
    <n v="813"/>
    <n v="17261.98"/>
    <n v="4878.03"/>
    <n v="14033989.74"/>
    <s v="Lagos"/>
    <s v="Sea"/>
    <x v="3"/>
    <n v="3965838.3899999997"/>
  </r>
  <r>
    <s v="Cocoa"/>
    <s v="Prime Agro Exports Nigeria Limited"/>
    <x v="3"/>
    <s v="3/20/2023"/>
    <n v="383"/>
    <n v="10974.92"/>
    <n v="2308.7800000000002"/>
    <n v="4203394.3600000003"/>
    <s v="Warri"/>
    <s v="Sea"/>
    <x v="3"/>
    <n v="884262.74000000011"/>
  </r>
  <r>
    <s v="Cocoa"/>
    <s v="Prime Agro Exports Nigeria Limited"/>
    <x v="3"/>
    <s v="6/21/2023"/>
    <n v="212"/>
    <n v="18804.84"/>
    <n v="4332.0200000000004"/>
    <n v="3986626.08"/>
    <s v="Lagos"/>
    <s v="Sea"/>
    <x v="3"/>
    <n v="918388.24000000011"/>
  </r>
  <r>
    <s v="Cocoa"/>
    <s v="Nigeria Agro Export Company"/>
    <x v="4"/>
    <s v="1/12/2023"/>
    <n v="295"/>
    <n v="15255.06"/>
    <n v="5692.82"/>
    <n v="4500242.7"/>
    <s v="Warri"/>
    <s v="Sea"/>
    <x v="3"/>
    <n v="1679381.9"/>
  </r>
  <r>
    <s v="Cocoa"/>
    <s v="Nigerian Export Promotion Council (NEPC)"/>
    <x v="4"/>
    <s v="1/20/2023"/>
    <n v="839"/>
    <n v="42307.64"/>
    <n v="2725.48"/>
    <n v="35496109.960000001"/>
    <s v="Lagos"/>
    <s v="Sea"/>
    <x v="3"/>
    <n v="2286677.7200000002"/>
  </r>
  <r>
    <s v="Cocoa"/>
    <s v="Agro Export Nigeria Ltd"/>
    <x v="4"/>
    <s v="1/5/2023"/>
    <n v="639"/>
    <n v="46793.26"/>
    <n v="2626.29"/>
    <n v="29900893.140000001"/>
    <s v="Calabar"/>
    <s v="Sea"/>
    <x v="3"/>
    <n v="1678199.31"/>
  </r>
  <r>
    <s v="Cocoa"/>
    <s v="Golden Farms Nigeria Limited"/>
    <x v="4"/>
    <s v="12/17/2023"/>
    <n v="856"/>
    <n v="25955.18"/>
    <n v="8075.39"/>
    <n v="22217634.079999998"/>
    <s v="Warri"/>
    <s v="Sea"/>
    <x v="3"/>
    <n v="6912533.8399999999"/>
  </r>
  <r>
    <s v="Cocoa"/>
    <s v="Prime Agro Exports Nigeria Limited"/>
    <x v="4"/>
    <s v="2/24/2023"/>
    <n v="696"/>
    <n v="29398.99"/>
    <n v="4816.3"/>
    <n v="20461697.039999999"/>
    <s v="Lagos"/>
    <s v="Sea"/>
    <x v="3"/>
    <n v="3352144.8000000003"/>
  </r>
  <r>
    <s v="Cocoa"/>
    <s v="Solid Agro Nigeria Limited"/>
    <x v="6"/>
    <s v="11/30/2023"/>
    <n v="896"/>
    <n v="37856.44"/>
    <n v="8880.76"/>
    <n v="33919370.240000002"/>
    <s v="Lagos"/>
    <s v="Sea"/>
    <x v="3"/>
    <n v="7957160.96"/>
  </r>
  <r>
    <s v="Cocoa"/>
    <s v="Prime Agro Exports Nigeria Limited"/>
    <x v="6"/>
    <s v="12/9/2023"/>
    <n v="800"/>
    <n v="44815.63"/>
    <n v="8719.48"/>
    <n v="35852504"/>
    <s v="Warri"/>
    <s v="Sea"/>
    <x v="3"/>
    <n v="6975584"/>
  </r>
  <r>
    <s v="Cocoa"/>
    <s v="Agro Export Nigeria Ltd"/>
    <x v="6"/>
    <s v="8/11/2023"/>
    <n v="581"/>
    <n v="36715.879999999997"/>
    <n v="9369.14"/>
    <n v="21331926.280000001"/>
    <s v="Lagos"/>
    <s v="Sea"/>
    <x v="3"/>
    <n v="5443470.3399999999"/>
  </r>
  <r>
    <s v="Cocoa"/>
    <s v="Agro Export Nigeria Ltd"/>
    <x v="8"/>
    <s v="3/4/2023"/>
    <n v="513"/>
    <n v="40829.589999999997"/>
    <n v="5780.88"/>
    <n v="20945579.670000002"/>
    <s v="Calabar"/>
    <s v="Sea"/>
    <x v="3"/>
    <n v="2965591.44"/>
  </r>
  <r>
    <s v="Cocoa"/>
    <s v="Agro Export Nigeria Ltd"/>
    <x v="8"/>
    <s v="7/29/2023"/>
    <n v="283"/>
    <n v="24034.1"/>
    <n v="8798.82"/>
    <n v="6801650.2999999998"/>
    <s v="Lagos"/>
    <s v="Sea"/>
    <x v="3"/>
    <n v="2490066.06"/>
  </r>
  <r>
    <s v="Cocoa"/>
    <s v="Prime Agro Exports Nigeria Limited"/>
    <x v="8"/>
    <s v="9/21/2023"/>
    <n v="499"/>
    <n v="39950.239999999998"/>
    <n v="6053.8"/>
    <n v="19935169.760000002"/>
    <s v="Lagos"/>
    <s v="Sea"/>
    <x v="3"/>
    <n v="3020846.2"/>
  </r>
  <r>
    <s v="Cocoa"/>
    <s v="Farmgate Nigeria Limited"/>
    <x v="9"/>
    <s v="6/16/2023"/>
    <n v="513"/>
    <n v="39875.46"/>
    <n v="4915.93"/>
    <n v="20456110.98"/>
    <s v="Port Harcourt"/>
    <s v="Sea"/>
    <x v="3"/>
    <n v="2521872.0900000003"/>
  </r>
  <r>
    <s v="Cocoa"/>
    <s v="Greenfield Agro Exporters Nigeria Limited"/>
    <x v="9"/>
    <s v="8/23/2023"/>
    <n v="858"/>
    <n v="41834.28"/>
    <n v="2100.66"/>
    <n v="35893812.240000002"/>
    <s v="Lagos"/>
    <s v="Sea"/>
    <x v="3"/>
    <n v="1802366.2799999998"/>
  </r>
  <r>
    <s v="Cocoa"/>
    <s v="Prime Agro Exports Nigeria Limited"/>
    <x v="7"/>
    <s v="1/21/2023"/>
    <n v="906"/>
    <n v="32575.54"/>
    <n v="9617.59"/>
    <n v="29513439.239999998"/>
    <s v="Lagos"/>
    <s v="Sea"/>
    <x v="3"/>
    <n v="8713536.540000001"/>
  </r>
  <r>
    <s v="Cocoa"/>
    <s v="Golden Farms Nigeria Limited"/>
    <x v="7"/>
    <s v="11/25/2023"/>
    <n v="881"/>
    <n v="41023.599999999999"/>
    <n v="9427.2999999999993"/>
    <n v="36141791.600000001"/>
    <s v="Port Harcourt"/>
    <s v="Sea"/>
    <x v="3"/>
    <n v="8305451.2999999998"/>
  </r>
  <r>
    <s v="Cocoa"/>
    <s v="Farmgate Nigeria Limited"/>
    <x v="7"/>
    <s v="9/16/2023"/>
    <n v="989"/>
    <n v="31752.95"/>
    <n v="7600.6"/>
    <n v="31403667.550000001"/>
    <s v="Warri"/>
    <s v="Sea"/>
    <x v="3"/>
    <n v="7516993.4000000004"/>
  </r>
  <r>
    <s v="Cocoa"/>
    <s v="Agro Allied Exporters Nigeria Limited"/>
    <x v="5"/>
    <s v="11/16/2023"/>
    <n v="410"/>
    <n v="33864.480000000003"/>
    <n v="7060.48"/>
    <n v="13884436.800000001"/>
    <s v="Lagos"/>
    <s v="Sea"/>
    <x v="3"/>
    <n v="2894796.7999999998"/>
  </r>
  <r>
    <s v="Cocoa"/>
    <s v="Prime Agro Exports Nigeria Limited"/>
    <x v="5"/>
    <s v="11/20/2023"/>
    <n v="372"/>
    <n v="43946.38"/>
    <n v="6638.27"/>
    <n v="16348053.359999999"/>
    <s v="Lagos"/>
    <s v="Sea"/>
    <x v="3"/>
    <n v="2469436.44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1">
  <r>
    <s v="Ginger"/>
    <s v="Agro Export Nigeria Ltd"/>
    <x v="0"/>
    <s v="1/8/2020"/>
    <n v="866"/>
    <n v="37209.43"/>
    <n v="8028.81"/>
    <n v="32223366.379999999"/>
    <s v="Lagos"/>
    <s v="Sea"/>
    <x v="0"/>
    <n v="6952949.46"/>
  </r>
  <r>
    <s v="Ginger"/>
    <s v="Agro Export Nigeria Ltd"/>
    <x v="0"/>
    <s v="10/15/2020"/>
    <n v="686"/>
    <n v="20272.96"/>
    <n v="8833.6299999999992"/>
    <n v="13907250.560000001"/>
    <s v="Lagos"/>
    <s v="Sea"/>
    <x v="0"/>
    <n v="6059870.1799999997"/>
  </r>
  <r>
    <s v="Ginger"/>
    <s v="Agro Allied Exporters Nigeria Limited"/>
    <x v="0"/>
    <s v="11/13/2020"/>
    <n v="419"/>
    <n v="11329.85"/>
    <n v="3545.89"/>
    <n v="4747207.1500000004"/>
    <s v="Lagos"/>
    <s v="Sea"/>
    <x v="0"/>
    <n v="1485727.91"/>
  </r>
  <r>
    <s v="Ginger"/>
    <s v="Agro Export Nigeria Ltd"/>
    <x v="1"/>
    <s v="3/25/2020"/>
    <n v="372"/>
    <n v="20678.919999999998"/>
    <n v="6836.12"/>
    <n v="7692558.2400000002"/>
    <s v="Warri"/>
    <s v="Sea"/>
    <x v="0"/>
    <n v="2543036.64"/>
  </r>
  <r>
    <s v="Ginger"/>
    <s v="Agriplus Nigeria Limited"/>
    <x v="1"/>
    <s v="6/13/2020"/>
    <n v="525"/>
    <n v="33769.46"/>
    <n v="4015.3"/>
    <n v="17728966.5"/>
    <s v="Lagos"/>
    <s v="Sea"/>
    <x v="0"/>
    <n v="2108032.5"/>
  </r>
  <r>
    <s v="Ginger"/>
    <s v="Nigerian Export Promotion Council (NEPC)"/>
    <x v="1"/>
    <s v="6/16/2020"/>
    <n v="115"/>
    <n v="25006.63"/>
    <n v="5301.73"/>
    <n v="2875762.45"/>
    <s v="Warri"/>
    <s v="Sea"/>
    <x v="0"/>
    <n v="609698.94999999995"/>
  </r>
  <r>
    <s v="Ginger"/>
    <s v="Farmgate Nigeria Limited"/>
    <x v="2"/>
    <s v="6/16/2020"/>
    <n v="647"/>
    <n v="40768.559999999998"/>
    <n v="8852.0499999999993"/>
    <n v="26377258.32"/>
    <s v="Port Harcourt"/>
    <s v="Sea"/>
    <x v="0"/>
    <n v="5727276.3499999996"/>
  </r>
  <r>
    <s v="Ginger"/>
    <s v="Nigeria Agro Export Company"/>
    <x v="1"/>
    <s v="7/25/2020"/>
    <n v="443"/>
    <n v="27640.45"/>
    <n v="7433.24"/>
    <n v="12244719.35"/>
    <s v="Calabar"/>
    <s v="Sea"/>
    <x v="0"/>
    <n v="3292925.32"/>
  </r>
  <r>
    <s v="Ginger"/>
    <s v="Golden Farms Nigeria Limited"/>
    <x v="3"/>
    <s v="1/13/2020"/>
    <n v="472"/>
    <n v="15687.36"/>
    <n v="2000.3"/>
    <n v="7404433.9199999999"/>
    <s v="Calabar"/>
    <s v="Sea"/>
    <x v="0"/>
    <n v="944141.6"/>
  </r>
  <r>
    <s v="Ginger"/>
    <s v="Golden Farms Nigeria Limited"/>
    <x v="4"/>
    <s v="1/13/2020"/>
    <n v="967"/>
    <n v="22317.21"/>
    <n v="8745.61"/>
    <n v="21580742.07"/>
    <s v="Calabar"/>
    <s v="Sea"/>
    <x v="0"/>
    <n v="8457004.870000001"/>
  </r>
  <r>
    <s v="Ginger"/>
    <s v="Agriplus Nigeria Limited"/>
    <x v="3"/>
    <s v="12/12/2020"/>
    <n v="568"/>
    <n v="39056.870000000003"/>
    <n v="7655.01"/>
    <n v="22184302.16"/>
    <s v="Lagos"/>
    <s v="Sea"/>
    <x v="0"/>
    <n v="4348045.68"/>
  </r>
  <r>
    <s v="Ginger"/>
    <s v="Farmgate Nigeria Limited"/>
    <x v="3"/>
    <s v="6/28/2020"/>
    <n v="371"/>
    <n v="15691.82"/>
    <n v="6331.62"/>
    <n v="5821665.2199999997"/>
    <s v="Lagos"/>
    <s v="Sea"/>
    <x v="0"/>
    <n v="2349031.02"/>
  </r>
  <r>
    <s v="Ginger"/>
    <s v="Agro Export Nigeria Ltd"/>
    <x v="3"/>
    <s v="8/11/2020"/>
    <n v="467"/>
    <n v="17621.38"/>
    <n v="4867.75"/>
    <n v="8229184.46"/>
    <s v="Lagos"/>
    <s v="Sea"/>
    <x v="0"/>
    <n v="2273239.25"/>
  </r>
  <r>
    <s v="Ginger"/>
    <s v="Nigerian Export Promotion Council (NEPC)"/>
    <x v="5"/>
    <s v="12/2/2020"/>
    <n v="295"/>
    <n v="37960.85"/>
    <n v="4804.0200000000004"/>
    <n v="11198450.75"/>
    <s v="Warri"/>
    <s v="Sea"/>
    <x v="0"/>
    <n v="1417185.9000000001"/>
  </r>
  <r>
    <s v="Ginger"/>
    <s v="Prime Agro Exports Nigeria Limited"/>
    <x v="5"/>
    <s v="12/25/2020"/>
    <n v="925"/>
    <n v="13785.14"/>
    <n v="8374.84"/>
    <n v="12751254.5"/>
    <s v="Lagos"/>
    <s v="Sea"/>
    <x v="0"/>
    <n v="7746727"/>
  </r>
  <r>
    <s v="Ginger"/>
    <s v="Solid Agro Nigeria Limited"/>
    <x v="5"/>
    <s v="3/5/2020"/>
    <n v="224"/>
    <n v="45093.4"/>
    <n v="7090.2"/>
    <n v="10100921.6"/>
    <s v="Lagos"/>
    <s v="Sea"/>
    <x v="0"/>
    <n v="1588204.8"/>
  </r>
  <r>
    <s v="Ginger"/>
    <s v="Agro Export Nigeria Ltd"/>
    <x v="6"/>
    <s v="3/5/2020"/>
    <n v="303"/>
    <n v="16552.77"/>
    <n v="2426.6999999999998"/>
    <n v="5015489.3099999996"/>
    <s v="Lagos"/>
    <s v="Sea"/>
    <x v="0"/>
    <n v="735290.1"/>
  </r>
  <r>
    <s v="Ginger"/>
    <s v="Agriplus Nigeria Limited"/>
    <x v="5"/>
    <s v="7/18/2020"/>
    <n v="361"/>
    <n v="23661.98"/>
    <n v="2145.5700000000002"/>
    <n v="8541974.7799999993"/>
    <s v="Lagos"/>
    <s v="Sea"/>
    <x v="0"/>
    <n v="774550.77"/>
  </r>
  <r>
    <s v="Ginger"/>
    <s v="Nigerian Export Promotion Council (NEPC)"/>
    <x v="2"/>
    <s v="4/23/2020"/>
    <n v="525"/>
    <n v="45333.56"/>
    <n v="8558.6200000000008"/>
    <n v="23800119"/>
    <s v="Lagos"/>
    <s v="Sea"/>
    <x v="0"/>
    <n v="4493275.5"/>
  </r>
  <r>
    <s v="Ginger"/>
    <s v="Prime Agro Exports Nigeria Limited"/>
    <x v="6"/>
    <s v="2/8/2020"/>
    <n v="459"/>
    <n v="30252.46"/>
    <n v="2958.05"/>
    <n v="13885879.140000001"/>
    <s v="Port Harcourt"/>
    <s v="Sea"/>
    <x v="0"/>
    <n v="1357744.9500000002"/>
  </r>
  <r>
    <s v="Ginger"/>
    <s v="Greenfield Agro Exporters Nigeria Limited"/>
    <x v="6"/>
    <s v="4/15/2020"/>
    <n v="175"/>
    <n v="15018.73"/>
    <n v="9030.94"/>
    <n v="2628277.75"/>
    <s v="Lagos"/>
    <s v="Sea"/>
    <x v="0"/>
    <n v="1580414.5"/>
  </r>
  <r>
    <s v="Ginger"/>
    <s v="Farmgate Nigeria Limited"/>
    <x v="6"/>
    <s v="7/17/2020"/>
    <n v="499"/>
    <n v="20654.53"/>
    <n v="9398.3799999999992"/>
    <n v="10306610.470000001"/>
    <s v="Lagos"/>
    <s v="Sea"/>
    <x v="0"/>
    <n v="4689791.6199999992"/>
  </r>
  <r>
    <s v="Ginger"/>
    <s v="Agro Export Nigeria Ltd"/>
    <x v="6"/>
    <s v="7/23/2020"/>
    <n v="522"/>
    <n v="38587.910000000003"/>
    <n v="7291.1"/>
    <n v="20142889.02"/>
    <s v="Lagos"/>
    <s v="Sea"/>
    <x v="0"/>
    <n v="3805954.2"/>
  </r>
  <r>
    <s v="Ginger"/>
    <s v="Nigerian Export Promotion Council (NEPC)"/>
    <x v="4"/>
    <s v="6/2/2020"/>
    <n v="732"/>
    <n v="11168.28"/>
    <n v="6791.68"/>
    <n v="8175180.96"/>
    <s v="Warri"/>
    <s v="Sea"/>
    <x v="0"/>
    <n v="4971509.7599999998"/>
  </r>
  <r>
    <s v="Ginger"/>
    <s v="Nigerian Export Promotion Council (NEPC)"/>
    <x v="7"/>
    <s v="12/15/2020"/>
    <n v="824"/>
    <n v="25390.880000000001"/>
    <n v="8773"/>
    <n v="20922085.120000001"/>
    <s v="Lagos"/>
    <s v="Sea"/>
    <x v="0"/>
    <n v="7228952"/>
  </r>
  <r>
    <s v="Ginger"/>
    <s v="Agriplus Nigeria Limited"/>
    <x v="0"/>
    <s v="6/21/2021"/>
    <n v="566"/>
    <n v="15516.87"/>
    <n v="3043.78"/>
    <n v="8782548.4199999999"/>
    <s v="Warri"/>
    <s v="Sea"/>
    <x v="1"/>
    <n v="1722779.4800000002"/>
  </r>
  <r>
    <s v="Ginger"/>
    <s v="Farmgate Nigeria Limited"/>
    <x v="1"/>
    <s v="1/29/2021"/>
    <n v="307"/>
    <n v="20303.59"/>
    <n v="7637.18"/>
    <n v="6233202.1299999999"/>
    <s v="Lagos"/>
    <s v="Sea"/>
    <x v="1"/>
    <n v="2344614.2600000002"/>
  </r>
  <r>
    <s v="Ginger"/>
    <s v="Farmgate Nigeria Limited"/>
    <x v="1"/>
    <s v="5/10/2021"/>
    <n v="568"/>
    <n v="37507.870000000003"/>
    <n v="4346.03"/>
    <n v="21304470.16"/>
    <s v="Lagos"/>
    <s v="Sea"/>
    <x v="1"/>
    <n v="2468545.04"/>
  </r>
  <r>
    <s v="Ginger"/>
    <s v="Farmgate Nigeria Limited"/>
    <x v="1"/>
    <s v="6/23/2021"/>
    <n v="414"/>
    <n v="26446.32"/>
    <n v="9849.4500000000007"/>
    <n v="10948776.48"/>
    <s v="Warri"/>
    <s v="Sea"/>
    <x v="1"/>
    <n v="4077672.3000000003"/>
  </r>
  <r>
    <s v="Ginger"/>
    <s v="Agro Export Nigeria Ltd"/>
    <x v="3"/>
    <s v="11/13/2021"/>
    <n v="385"/>
    <n v="21988.74"/>
    <n v="2986.5"/>
    <n v="8465664.9000000004"/>
    <s v="Lagos"/>
    <s v="Sea"/>
    <x v="1"/>
    <n v="1149802.5"/>
  </r>
  <r>
    <s v="Ginger"/>
    <s v="Greenfield Agro Exporters Nigeria Limited"/>
    <x v="3"/>
    <s v="12/15/2021"/>
    <n v="525"/>
    <n v="21719.7"/>
    <n v="9485.0499999999993"/>
    <n v="11402842.5"/>
    <s v="Lagos"/>
    <s v="Sea"/>
    <x v="1"/>
    <n v="4979651.25"/>
  </r>
  <r>
    <s v="Ginger"/>
    <s v="Agro Allied Exporters Nigeria Limited"/>
    <x v="3"/>
    <s v="4/22/2021"/>
    <n v="985"/>
    <n v="22041.82"/>
    <n v="9336.1200000000008"/>
    <n v="21711192.699999999"/>
    <s v="Port Harcourt"/>
    <s v="Sea"/>
    <x v="1"/>
    <n v="9196078.2000000011"/>
  </r>
  <r>
    <s v="Ginger"/>
    <s v="Solid Agro Nigeria Limited"/>
    <x v="3"/>
    <s v="5/9/2021"/>
    <n v="539"/>
    <n v="44640.26"/>
    <n v="6879.9"/>
    <n v="24061100.140000001"/>
    <s v="Lagos"/>
    <s v="Sea"/>
    <x v="1"/>
    <n v="3708266.0999999996"/>
  </r>
  <r>
    <s v="Ginger"/>
    <s v="Agriplus Nigeria Limited"/>
    <x v="3"/>
    <s v="7/6/2021"/>
    <n v="631"/>
    <n v="13405.98"/>
    <n v="9333.15"/>
    <n v="8459173.3800000008"/>
    <s v="Lagos"/>
    <s v="Sea"/>
    <x v="1"/>
    <n v="5889217.6499999994"/>
  </r>
  <r>
    <s v="Ginger"/>
    <s v="Nigeria Agro Export Company"/>
    <x v="8"/>
    <s v="12/30/2021"/>
    <n v="823"/>
    <n v="44241.93"/>
    <n v="3183.41"/>
    <n v="36411108.390000001"/>
    <s v="Lagos"/>
    <s v="Sea"/>
    <x v="1"/>
    <n v="2619946.4299999997"/>
  </r>
  <r>
    <s v="Ginger"/>
    <s v="Agro Export Nigeria Ltd"/>
    <x v="8"/>
    <s v="2/7/2021"/>
    <n v="554"/>
    <n v="40655.79"/>
    <n v="3828.59"/>
    <n v="22523307.66"/>
    <s v="Port Harcourt"/>
    <s v="Sea"/>
    <x v="1"/>
    <n v="2121038.86"/>
  </r>
  <r>
    <s v="Ginger"/>
    <s v="Farmgate Nigeria Limited"/>
    <x v="8"/>
    <s v="6/18/2021"/>
    <n v="892"/>
    <n v="30720.69"/>
    <n v="8022.12"/>
    <n v="27402855.48"/>
    <s v="Warri"/>
    <s v="Sea"/>
    <x v="1"/>
    <n v="7155731.04"/>
  </r>
  <r>
    <s v="Ginger"/>
    <s v="Agriplus Nigeria Limited"/>
    <x v="5"/>
    <s v="11/24/2021"/>
    <n v="604"/>
    <n v="10944.17"/>
    <n v="5479.31"/>
    <n v="6610278.6799999997"/>
    <s v="Lagos"/>
    <s v="Sea"/>
    <x v="1"/>
    <n v="3309503.24"/>
  </r>
  <r>
    <s v="Ginger"/>
    <s v="Agro Export Nigeria Ltd"/>
    <x v="5"/>
    <s v="6/9/2021"/>
    <n v="651"/>
    <n v="10926.4"/>
    <n v="2904.18"/>
    <n v="7113086.4000000004"/>
    <s v="Warri"/>
    <s v="Sea"/>
    <x v="1"/>
    <n v="1890621.18"/>
  </r>
  <r>
    <s v="Ginger"/>
    <s v="Golden Farms Nigeria Limited"/>
    <x v="5"/>
    <s v="7/13/2021"/>
    <n v="999"/>
    <n v="16092.91"/>
    <n v="5565.11"/>
    <n v="16076817.09"/>
    <s v="Warri"/>
    <s v="Sea"/>
    <x v="1"/>
    <n v="5559544.8899999997"/>
  </r>
  <r>
    <s v="Ginger"/>
    <s v="Greenfield Agro Exporters Nigeria Limited"/>
    <x v="2"/>
    <s v="11/2/2021"/>
    <n v="775"/>
    <n v="33127.43"/>
    <n v="2179.1799999999998"/>
    <n v="25673758.25"/>
    <s v="Port Harcourt"/>
    <s v="Sea"/>
    <x v="1"/>
    <n v="1688864.4999999998"/>
  </r>
  <r>
    <s v="Ginger"/>
    <s v="Nigerian Export Promotion Council (NEPC)"/>
    <x v="2"/>
    <s v="12/25/2021"/>
    <n v="965"/>
    <n v="27453.95"/>
    <n v="3730.14"/>
    <n v="26493061.75"/>
    <s v="Warri"/>
    <s v="Sea"/>
    <x v="1"/>
    <n v="3599585.1"/>
  </r>
  <r>
    <s v="Ginger"/>
    <s v="Agro Export Nigeria Ltd"/>
    <x v="6"/>
    <s v="11/5/2021"/>
    <n v="618"/>
    <n v="12028.51"/>
    <n v="9967.48"/>
    <n v="7433619.1799999997"/>
    <s v="Calabar"/>
    <s v="Sea"/>
    <x v="1"/>
    <n v="6159902.6399999997"/>
  </r>
  <r>
    <s v="Ginger"/>
    <s v="Nigeria Agro Export Company"/>
    <x v="6"/>
    <s v="4/1/2021"/>
    <n v="808"/>
    <n v="36102.120000000003"/>
    <n v="4257.5"/>
    <n v="29170512.960000001"/>
    <s v="Calabar"/>
    <s v="Sea"/>
    <x v="1"/>
    <n v="3440060"/>
  </r>
  <r>
    <s v="Ginger"/>
    <s v="Prime Agro Exports Nigeria Limited"/>
    <x v="6"/>
    <s v="4/19/2021"/>
    <n v="763"/>
    <n v="42458.7"/>
    <n v="6325.82"/>
    <n v="32395988.100000001"/>
    <s v="Calabar"/>
    <s v="Sea"/>
    <x v="1"/>
    <n v="4826600.66"/>
  </r>
  <r>
    <s v="Ginger"/>
    <s v="Solid Agro Nigeria Limited"/>
    <x v="6"/>
    <s v="5/15/2021"/>
    <n v="511"/>
    <n v="31655.61"/>
    <n v="8956.6"/>
    <n v="16176016.710000001"/>
    <s v="Lagos"/>
    <s v="Sea"/>
    <x v="1"/>
    <n v="4576822.6000000006"/>
  </r>
  <r>
    <s v="Ginger"/>
    <s v="Agro Allied Exporters Nigeria Limited"/>
    <x v="6"/>
    <s v="5/25/2021"/>
    <n v="715"/>
    <n v="36611.18"/>
    <n v="9363.9500000000007"/>
    <n v="26176993.699999999"/>
    <s v="Warri"/>
    <s v="Sea"/>
    <x v="1"/>
    <n v="6695224.2500000009"/>
  </r>
  <r>
    <s v="Ginger"/>
    <s v="Agro Export Nigeria Ltd"/>
    <x v="9"/>
    <s v="5/6/2021"/>
    <n v="727"/>
    <n v="21997.05"/>
    <n v="7782.56"/>
    <n v="15991855.35"/>
    <s v="Lagos"/>
    <s v="Sea"/>
    <x v="1"/>
    <n v="5657921.1200000001"/>
  </r>
  <r>
    <s v="Ginger"/>
    <s v="Greenfield Agro Exporters Nigeria Limited"/>
    <x v="9"/>
    <s v="7/30/2021"/>
    <n v="350"/>
    <n v="47157.35"/>
    <n v="3777.28"/>
    <n v="16505072.5"/>
    <s v="Lagos"/>
    <s v="Sea"/>
    <x v="1"/>
    <n v="1322048"/>
  </r>
  <r>
    <s v="Ginger"/>
    <s v="Golden Farms Nigeria Limited"/>
    <x v="7"/>
    <s v="1/28/2021"/>
    <n v="218"/>
    <n v="18450.310000000001"/>
    <n v="3273.85"/>
    <n v="4022167.58"/>
    <s v="Lagos"/>
    <s v="Sea"/>
    <x v="1"/>
    <n v="713699.29999999993"/>
  </r>
  <r>
    <s v="Ginger"/>
    <s v="Prime Agro Exports Nigeria Limited"/>
    <x v="1"/>
    <s v="1/12/2022"/>
    <n v="740"/>
    <n v="49218.64"/>
    <n v="3231.87"/>
    <n v="36421793.600000001"/>
    <s v="Lagos"/>
    <s v="Sea"/>
    <x v="2"/>
    <n v="2391583.7999999998"/>
  </r>
  <r>
    <s v="Ginger"/>
    <s v="Agriplus Nigeria Limited"/>
    <x v="1"/>
    <s v="1/21/2022"/>
    <n v="536"/>
    <n v="10387.59"/>
    <n v="9458.2199999999993"/>
    <n v="5567748.2400000002"/>
    <s v="Lagos"/>
    <s v="Sea"/>
    <x v="2"/>
    <n v="5069605.92"/>
  </r>
  <r>
    <s v="Ginger"/>
    <s v="Agriplus Nigeria Limited"/>
    <x v="1"/>
    <s v="1/27/2022"/>
    <n v="563"/>
    <n v="41130.94"/>
    <n v="6706.05"/>
    <n v="23156719.219999999"/>
    <s v="Lagos"/>
    <s v="Sea"/>
    <x v="2"/>
    <n v="3775506.15"/>
  </r>
  <r>
    <s v="Ginger"/>
    <s v="Farmgate Nigeria Limited"/>
    <x v="1"/>
    <s v="12/30/2022"/>
    <n v="519"/>
    <n v="46462.39"/>
    <n v="7563.66"/>
    <n v="24113980.41"/>
    <s v="Calabar"/>
    <s v="Sea"/>
    <x v="2"/>
    <n v="3925539.54"/>
  </r>
  <r>
    <s v="Ginger"/>
    <s v="Agro Export Nigeria Ltd"/>
    <x v="1"/>
    <s v="4/24/2022"/>
    <n v="276"/>
    <n v="47090.73"/>
    <n v="7019.4"/>
    <n v="12997041.48"/>
    <s v="Lagos"/>
    <s v="Sea"/>
    <x v="2"/>
    <n v="1937354.4"/>
  </r>
  <r>
    <s v="Ginger"/>
    <s v="Greenfield Agro Exporters Nigeria Limited"/>
    <x v="8"/>
    <s v="4/24/2022"/>
    <n v="706"/>
    <n v="47962.400000000001"/>
    <n v="8161.97"/>
    <n v="33861454.399999999"/>
    <s v="Port Harcourt"/>
    <s v="Sea"/>
    <x v="2"/>
    <n v="5762350.8200000003"/>
  </r>
  <r>
    <s v="Ginger"/>
    <s v="Golden Farms Nigeria Limited"/>
    <x v="3"/>
    <s v="4/4/2022"/>
    <n v="296"/>
    <n v="10142.15"/>
    <n v="6846.41"/>
    <n v="3002076.4"/>
    <s v="Lagos"/>
    <s v="Sea"/>
    <x v="2"/>
    <n v="2026537.3599999999"/>
  </r>
  <r>
    <s v="Ginger"/>
    <s v="Agro Export Nigeria Ltd"/>
    <x v="3"/>
    <s v="5/5/2022"/>
    <n v="606"/>
    <n v="48515.519999999997"/>
    <n v="6441.57"/>
    <n v="29400405.120000001"/>
    <s v="Lagos"/>
    <s v="Sea"/>
    <x v="2"/>
    <n v="3903591.42"/>
  </r>
  <r>
    <s v="Ginger"/>
    <s v="Nigerian Export Promotion Council (NEPC)"/>
    <x v="3"/>
    <s v="6/29/2022"/>
    <n v="105"/>
    <n v="47676.69"/>
    <n v="6392.49"/>
    <n v="5006052.45"/>
    <s v="Lagos"/>
    <s v="Sea"/>
    <x v="2"/>
    <n v="671211.45"/>
  </r>
  <r>
    <s v="Ginger"/>
    <s v="Farmgate Nigeria Limited"/>
    <x v="8"/>
    <s v="2/2/2022"/>
    <n v="306"/>
    <n v="28489.69"/>
    <n v="5983.88"/>
    <n v="8717845.1400000006"/>
    <s v="Lagos"/>
    <s v="Sea"/>
    <x v="2"/>
    <n v="1831067.28"/>
  </r>
  <r>
    <s v="Ginger"/>
    <s v="Nigerian Export Promotion Council (NEPC)"/>
    <x v="8"/>
    <s v="9/12/2022"/>
    <n v="471"/>
    <n v="11415.43"/>
    <n v="8345.6"/>
    <n v="5376667.5300000003"/>
    <s v="Lagos"/>
    <s v="Sea"/>
    <x v="2"/>
    <n v="3930777.6000000001"/>
  </r>
  <r>
    <s v="Ginger"/>
    <s v="Greenfield Agro Exporters Nigeria Limited"/>
    <x v="5"/>
    <s v="11/22/2022"/>
    <n v="129"/>
    <n v="18817.41"/>
    <n v="4803.29"/>
    <n v="2427445.89"/>
    <s v="Lagos"/>
    <s v="Sea"/>
    <x v="2"/>
    <n v="619624.41"/>
  </r>
  <r>
    <s v="Ginger"/>
    <s v="Agro Export Nigeria Ltd"/>
    <x v="5"/>
    <s v="11/4/2022"/>
    <n v="787"/>
    <n v="35424.54"/>
    <n v="7667.6"/>
    <n v="27879112.98"/>
    <s v="Lagos"/>
    <s v="Sea"/>
    <x v="2"/>
    <n v="6034401.2000000002"/>
  </r>
  <r>
    <s v="Ginger"/>
    <s v="Nigeria Agro Export Company"/>
    <x v="5"/>
    <s v="12/9/2022"/>
    <n v="115"/>
    <n v="37857.65"/>
    <n v="2928.51"/>
    <n v="4353629.75"/>
    <s v="Port Harcourt"/>
    <s v="Sea"/>
    <x v="2"/>
    <n v="336778.65"/>
  </r>
  <r>
    <s v="Ginger"/>
    <s v="Prime Agro Exports Nigeria Limited"/>
    <x v="5"/>
    <s v="4/17/2022"/>
    <n v="329"/>
    <n v="37602.339999999997"/>
    <n v="5086.95"/>
    <n v="12371169.859999999"/>
    <s v="Lagos"/>
    <s v="Sea"/>
    <x v="2"/>
    <n v="1673606.55"/>
  </r>
  <r>
    <s v="Ginger"/>
    <s v="Agriplus Nigeria Limited"/>
    <x v="2"/>
    <s v="10/4/2022"/>
    <n v="427"/>
    <n v="18212.38"/>
    <n v="3741.87"/>
    <n v="7776686.2599999998"/>
    <s v="Lagos"/>
    <s v="Sea"/>
    <x v="2"/>
    <n v="1597778.49"/>
  </r>
  <r>
    <s v="Ginger"/>
    <s v="Solid Agro Nigeria Limited"/>
    <x v="2"/>
    <s v="5/8/2022"/>
    <n v="825"/>
    <n v="42082.19"/>
    <n v="5341.84"/>
    <n v="34717806.75"/>
    <s v="Lagos"/>
    <s v="Sea"/>
    <x v="2"/>
    <n v="4407018"/>
  </r>
  <r>
    <s v="Ginger"/>
    <s v="Agro Allied Exporters Nigeria Limited"/>
    <x v="2"/>
    <s v="9/2/2022"/>
    <n v="359"/>
    <n v="39185.03"/>
    <n v="5876.48"/>
    <n v="14067425.77"/>
    <s v="Warri"/>
    <s v="Sea"/>
    <x v="2"/>
    <n v="2109656.3199999998"/>
  </r>
  <r>
    <s v="Ginger"/>
    <s v="Farmgate Nigeria Limited"/>
    <x v="6"/>
    <s v="5/4/2022"/>
    <n v="899"/>
    <n v="27430.43"/>
    <n v="9404.06"/>
    <n v="24659956.57"/>
    <s v="Calabar"/>
    <s v="Sea"/>
    <x v="2"/>
    <n v="8454249.9399999995"/>
  </r>
  <r>
    <s v="Ginger"/>
    <s v="Greenfield Agro Exporters Nigeria Limited"/>
    <x v="4"/>
    <s v="10/1/2022"/>
    <n v="556"/>
    <n v="46687.6"/>
    <n v="6872.49"/>
    <n v="25958305.600000001"/>
    <s v="Lagos"/>
    <s v="Sea"/>
    <x v="2"/>
    <n v="3821104.44"/>
  </r>
  <r>
    <s v="Ginger"/>
    <s v="Agriplus Nigeria Limited"/>
    <x v="4"/>
    <s v="10/6/2022"/>
    <n v="710"/>
    <n v="30593.52"/>
    <n v="8558.98"/>
    <n v="21721399.199999999"/>
    <s v="Lagos"/>
    <s v="Sea"/>
    <x v="2"/>
    <n v="6076875.7999999998"/>
  </r>
  <r>
    <s v="Ginger"/>
    <s v="Nigerian Export Promotion Council (NEPC)"/>
    <x v="4"/>
    <s v="2/21/2022"/>
    <n v="331"/>
    <n v="27941.06"/>
    <n v="2011.49"/>
    <n v="9248490.8599999994"/>
    <s v="Port Harcourt"/>
    <s v="Sea"/>
    <x v="2"/>
    <n v="665803.19000000006"/>
  </r>
  <r>
    <s v="Ginger"/>
    <s v="Farmgate Nigeria Limited"/>
    <x v="4"/>
    <s v="3/15/2022"/>
    <n v="173"/>
    <n v="14946.11"/>
    <n v="3265.19"/>
    <n v="2585677.0299999998"/>
    <s v="Lagos"/>
    <s v="Sea"/>
    <x v="2"/>
    <n v="564877.87"/>
  </r>
  <r>
    <s v="Ginger"/>
    <s v="Agro Allied Exporters Nigeria Limited"/>
    <x v="4"/>
    <s v="5/30/2022"/>
    <n v="115"/>
    <n v="20772.650000000001"/>
    <n v="2751.58"/>
    <n v="2388854.75"/>
    <s v="Port Harcourt"/>
    <s v="Sea"/>
    <x v="2"/>
    <n v="316431.7"/>
  </r>
  <r>
    <s v="Ginger"/>
    <s v="Golden Farms Nigeria Limited"/>
    <x v="4"/>
    <s v="7/2/2022"/>
    <n v="313"/>
    <n v="21553.66"/>
    <n v="7531.22"/>
    <n v="6746295.5800000001"/>
    <s v="Warri"/>
    <s v="Sea"/>
    <x v="2"/>
    <n v="2357271.86"/>
  </r>
  <r>
    <s v="Ginger"/>
    <s v="Golden Farms Nigeria Limited"/>
    <x v="7"/>
    <s v="3/24/2022"/>
    <n v="196"/>
    <n v="31132.11"/>
    <n v="5678.06"/>
    <n v="6101893.5599999996"/>
    <s v="Lagos"/>
    <s v="Sea"/>
    <x v="2"/>
    <n v="1112899.76"/>
  </r>
  <r>
    <s v="Ginger"/>
    <s v="Nigeria Agro Export Company"/>
    <x v="7"/>
    <s v="4/8/2022"/>
    <n v="315"/>
    <n v="30068.36"/>
    <n v="5296.72"/>
    <n v="9471533.4000000004"/>
    <s v="Lagos"/>
    <s v="Sea"/>
    <x v="2"/>
    <n v="1668466.8"/>
  </r>
  <r>
    <s v="Ginger"/>
    <s v="Prime Agro Exports Nigeria Limited"/>
    <x v="0"/>
    <s v="1/10/2023"/>
    <n v="435"/>
    <n v="41081.230000000003"/>
    <n v="5890.73"/>
    <n v="17870335.050000001"/>
    <s v="Lagos"/>
    <s v="Sea"/>
    <x v="3"/>
    <n v="2562467.5499999998"/>
  </r>
  <r>
    <s v="Ginger"/>
    <s v="Nigerian Export Promotion Council (NEPC)"/>
    <x v="0"/>
    <s v="11/18/2023"/>
    <n v="198"/>
    <n v="31390.01"/>
    <n v="5406.99"/>
    <n v="6215221.9800000004"/>
    <s v="Port Harcourt"/>
    <s v="Sea"/>
    <x v="3"/>
    <n v="1070584.02"/>
  </r>
  <r>
    <s v="Ginger"/>
    <s v="Farmgate Nigeria Limited"/>
    <x v="0"/>
    <s v="5/9/2023"/>
    <n v="684"/>
    <n v="32847.980000000003"/>
    <n v="4767"/>
    <n v="22468018.32"/>
    <s v="Port Harcourt"/>
    <s v="Sea"/>
    <x v="3"/>
    <n v="3260628"/>
  </r>
  <r>
    <s v="Ginger"/>
    <s v="Agro Export Nigeria Ltd"/>
    <x v="1"/>
    <s v="7/10/2023"/>
    <n v="996"/>
    <n v="17208.419999999998"/>
    <n v="6502.15"/>
    <n v="17139586.32"/>
    <s v="Lagos"/>
    <s v="Sea"/>
    <x v="3"/>
    <n v="6476141.3999999994"/>
  </r>
  <r>
    <s v="Ginger"/>
    <s v="Golden Farms Nigeria Limited"/>
    <x v="1"/>
    <s v="9/7/2023"/>
    <n v="511"/>
    <n v="25221.34"/>
    <n v="4876.26"/>
    <n v="12888104.74"/>
    <s v="Lagos"/>
    <s v="Sea"/>
    <x v="3"/>
    <n v="2491768.8600000003"/>
  </r>
  <r>
    <s v="Ginger"/>
    <s v="Prime Agro Exports Nigeria Limited"/>
    <x v="3"/>
    <s v="6/16/2023"/>
    <n v="589"/>
    <n v="38608.54"/>
    <n v="2144.4699999999998"/>
    <n v="22740430.059999999"/>
    <s v="Lagos"/>
    <s v="Sea"/>
    <x v="3"/>
    <n v="1263092.8299999998"/>
  </r>
  <r>
    <s v="Ginger"/>
    <s v="Agro Export Nigeria Ltd"/>
    <x v="8"/>
    <s v="1/28/2023"/>
    <n v="391"/>
    <n v="40770.5"/>
    <n v="4126.1400000000003"/>
    <n v="15941265.5"/>
    <s v="Port Harcourt"/>
    <s v="Sea"/>
    <x v="3"/>
    <n v="1613320.7400000002"/>
  </r>
  <r>
    <s v="Ginger"/>
    <s v="Prime Agro Exports Nigeria Limited"/>
    <x v="8"/>
    <s v="7/30/2023"/>
    <n v="315"/>
    <n v="48540.47"/>
    <n v="2187.98"/>
    <n v="15290248.050000001"/>
    <s v="Lagos"/>
    <s v="Sea"/>
    <x v="3"/>
    <n v="689213.7"/>
  </r>
  <r>
    <s v="Ginger"/>
    <s v="Nigeria Agro Export Company"/>
    <x v="5"/>
    <s v="10/17/2023"/>
    <n v="345"/>
    <n v="40531.919999999998"/>
    <n v="8482.65"/>
    <n v="13983512.4"/>
    <s v="Lagos"/>
    <s v="Sea"/>
    <x v="3"/>
    <n v="2926514.25"/>
  </r>
  <r>
    <s v="Ginger"/>
    <s v="Solid Agro Nigeria Limited"/>
    <x v="2"/>
    <s v="10/31/2023"/>
    <n v="912"/>
    <n v="36518.14"/>
    <n v="7764.13"/>
    <n v="33304543.68"/>
    <s v="Lagos"/>
    <s v="Sea"/>
    <x v="3"/>
    <n v="7080886.5600000005"/>
  </r>
  <r>
    <s v="Ginger"/>
    <s v="Agro Export Nigeria Ltd"/>
    <x v="2"/>
    <s v="4/2/2023"/>
    <n v="671"/>
    <n v="47059.63"/>
    <n v="2744.68"/>
    <n v="31577011.73"/>
    <s v="Port Harcourt"/>
    <s v="Sea"/>
    <x v="3"/>
    <n v="1841680.2799999998"/>
  </r>
  <r>
    <s v="Ginger"/>
    <s v="Agriplus Nigeria Limited"/>
    <x v="2"/>
    <s v="5/21/2023"/>
    <n v="181"/>
    <n v="24434.41"/>
    <n v="5026.9799999999996"/>
    <n v="4422628.21"/>
    <s v="Warri"/>
    <s v="Sea"/>
    <x v="3"/>
    <n v="909883.37999999989"/>
  </r>
  <r>
    <s v="Ginger"/>
    <s v="Agriplus Nigeria Limited"/>
    <x v="6"/>
    <s v="10/29/2023"/>
    <n v="931"/>
    <n v="44314.68"/>
    <n v="7504.88"/>
    <n v="41256967.079999998"/>
    <s v="Lagos"/>
    <s v="Sea"/>
    <x v="3"/>
    <n v="6987043.2800000003"/>
  </r>
  <r>
    <s v="Ginger"/>
    <s v="Agro Export Nigeria Ltd"/>
    <x v="6"/>
    <s v="10/7/2023"/>
    <n v="967"/>
    <n v="40625.11"/>
    <n v="2102.62"/>
    <n v="39284481.369999997"/>
    <s v="Port Harcourt"/>
    <s v="Sea"/>
    <x v="3"/>
    <n v="2033233.5399999998"/>
  </r>
  <r>
    <s v="Ginger"/>
    <s v="Golden Farms Nigeria Limited"/>
    <x v="6"/>
    <s v="12/14/2023"/>
    <n v="475"/>
    <n v="12470.79"/>
    <n v="4281.38"/>
    <n v="5923625.25"/>
    <s v="Lagos"/>
    <s v="Sea"/>
    <x v="3"/>
    <n v="2033655.5"/>
  </r>
  <r>
    <s v="Ginger"/>
    <s v="Agro Allied Exporters Nigeria Limited"/>
    <x v="6"/>
    <s v="12/4/2023"/>
    <n v="378"/>
    <n v="12746.62"/>
    <n v="6086.46"/>
    <n v="4818222.3600000003"/>
    <s v="Lagos"/>
    <s v="Sea"/>
    <x v="3"/>
    <n v="2300681.88"/>
  </r>
  <r>
    <s v="Ginger"/>
    <s v="Solid Agro Nigeria Limited"/>
    <x v="9"/>
    <s v="4/5/2023"/>
    <n v="347"/>
    <n v="17266.349999999999"/>
    <n v="8076.81"/>
    <n v="5991423.4500000002"/>
    <s v="Calabar"/>
    <s v="Sea"/>
    <x v="3"/>
    <n v="2802653.0700000003"/>
  </r>
  <r>
    <s v="Ginger"/>
    <s v="Solid Agro Nigeria Limited"/>
    <x v="9"/>
    <s v="6/13/2023"/>
    <n v="891"/>
    <n v="35087.339999999997"/>
    <n v="5489.92"/>
    <n v="31262819.940000001"/>
    <s v="Lagos"/>
    <s v="Sea"/>
    <x v="3"/>
    <n v="4891518.72"/>
  </r>
  <r>
    <s v="Ginger"/>
    <s v="Agro Export Nigeria Ltd"/>
    <x v="4"/>
    <s v="3/10/2023"/>
    <n v="699"/>
    <n v="26065.73"/>
    <n v="7877.61"/>
    <n v="18219945.27"/>
    <s v="Lagos"/>
    <s v="Sea"/>
    <x v="3"/>
    <n v="5506449.3899999997"/>
  </r>
  <r>
    <s v="Ginger"/>
    <s v="Farmgate Nigeria Limited"/>
    <x v="7"/>
    <s v="12/24/2023"/>
    <n v="457"/>
    <n v="16150.42"/>
    <n v="9986.08"/>
    <n v="7380741.9400000004"/>
    <s v="Calabar"/>
    <s v="Sea"/>
    <x v="3"/>
    <n v="4563638.5599999996"/>
  </r>
  <r>
    <s v="Ginger"/>
    <s v="Nigerian Export Promotion Council (NEPC)"/>
    <x v="7"/>
    <s v="2/2/2023"/>
    <n v="794"/>
    <n v="22692.69"/>
    <n v="4559.66"/>
    <n v="18017995.859999999"/>
    <s v="Lagos"/>
    <s v="Sea"/>
    <x v="3"/>
    <n v="3620370.04"/>
  </r>
  <r>
    <s v="Ginger"/>
    <s v="Agro Allied Exporters Nigeria Limited"/>
    <x v="7"/>
    <s v="3/31/2023"/>
    <n v="132"/>
    <n v="19176.7"/>
    <n v="2330.1799999999998"/>
    <n v="2531324.4"/>
    <s v="Lagos"/>
    <s v="Sea"/>
    <x v="3"/>
    <n v="307583.75999999995"/>
  </r>
  <r>
    <s v="Ginger"/>
    <s v="Greenfield Agro Exporters Nigeria Limited"/>
    <x v="7"/>
    <s v="4/30/2023"/>
    <n v="559"/>
    <n v="30415.41"/>
    <n v="2103.4"/>
    <n v="17002214.190000001"/>
    <s v="Lagos"/>
    <s v="Sea"/>
    <x v="3"/>
    <n v="1175800.6000000001"/>
  </r>
  <r>
    <s v="Ginger"/>
    <s v="Greenfield Agro Exporters Nigeria Limited"/>
    <x v="7"/>
    <s v="9/25/2023"/>
    <n v="877"/>
    <n v="30508.22"/>
    <n v="7705.96"/>
    <n v="26755708.940000001"/>
    <s v="Lagos"/>
    <s v="Sea"/>
    <x v="3"/>
    <n v="6758126.9199999999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0">
  <r>
    <m/>
    <m/>
    <x v="0"/>
    <m/>
    <m/>
    <m/>
    <m/>
    <m/>
    <m/>
    <m/>
    <x v="0"/>
    <m/>
  </r>
  <r>
    <s v="Cashew"/>
    <s v="Golden Farms Nigeria Limited"/>
    <x v="1"/>
    <s v="11/26/2020"/>
    <n v="900"/>
    <n v="42463.53"/>
    <n v="5468.54"/>
    <n v="38217177"/>
    <s v="Lagos"/>
    <s v="Sea"/>
    <x v="1"/>
    <n v="4921686"/>
  </r>
  <r>
    <s v="Cashew"/>
    <s v="Golden Farms Nigeria Limited"/>
    <x v="1"/>
    <s v="12/17/2020"/>
    <n v="620"/>
    <n v="35549.32"/>
    <n v="2269.9699999999998"/>
    <n v="22040578.399999999"/>
    <s v="Port Harcourt"/>
    <s v="Sea"/>
    <x v="1"/>
    <n v="1407381.4"/>
  </r>
  <r>
    <s v="Cashew"/>
    <s v="Greenfield Agro Exporters Nigeria Limited"/>
    <x v="1"/>
    <s v="9/22/2020"/>
    <n v="479"/>
    <n v="17626.87"/>
    <n v="6801.41"/>
    <n v="8443270.7300000004"/>
    <s v="Warri"/>
    <s v="Sea"/>
    <x v="1"/>
    <n v="3257875.39"/>
  </r>
  <r>
    <s v="Cashew"/>
    <s v="Golden Farms Nigeria Limited"/>
    <x v="2"/>
    <s v="1/9/2020"/>
    <n v="151"/>
    <n v="15679.05"/>
    <n v="8708.7099999999991"/>
    <n v="2367536.5499999998"/>
    <s v="Warri"/>
    <s v="Sea"/>
    <x v="1"/>
    <n v="1315015.21"/>
  </r>
  <r>
    <s v="Cashew"/>
    <s v="Nigeria Agro Export Company"/>
    <x v="2"/>
    <s v="11/29/2020"/>
    <n v="987"/>
    <n v="38561.5"/>
    <n v="9018.41"/>
    <n v="38060200.5"/>
    <s v="Lagos"/>
    <s v="Sea"/>
    <x v="1"/>
    <n v="8901170.6699999999"/>
  </r>
  <r>
    <s v="Cashew"/>
    <s v="Agriplus Nigeria Limited"/>
    <x v="2"/>
    <s v="5/10/2020"/>
    <n v="445"/>
    <n v="20520.439999999999"/>
    <n v="6305.29"/>
    <n v="9131595.8000000007"/>
    <s v="Lagos"/>
    <s v="Sea"/>
    <x v="1"/>
    <n v="2805854.05"/>
  </r>
  <r>
    <s v="Cashew"/>
    <s v="Greenfield Agro Exporters Nigeria Limited"/>
    <x v="2"/>
    <s v="7/12/2020"/>
    <n v="774"/>
    <n v="24784.46"/>
    <n v="6047.25"/>
    <n v="19183172.039999999"/>
    <s v="Lagos"/>
    <s v="Sea"/>
    <x v="1"/>
    <n v="4680571.5"/>
  </r>
  <r>
    <s v="Cashew"/>
    <s v="Solid Agro Nigeria Limited"/>
    <x v="3"/>
    <s v="11/6/2020"/>
    <n v="413"/>
    <n v="28753.55"/>
    <n v="6243.28"/>
    <n v="11875216.15"/>
    <s v="Lagos"/>
    <s v="Sea"/>
    <x v="1"/>
    <n v="2578474.6399999997"/>
  </r>
  <r>
    <s v="Cashew"/>
    <s v="Nigerian Export Promotion Council (NEPC)"/>
    <x v="3"/>
    <s v="4/19/2020"/>
    <n v="636"/>
    <n v="18138.259999999998"/>
    <n v="6241.93"/>
    <n v="11535933.359999999"/>
    <s v="Lagos"/>
    <s v="Sea"/>
    <x v="1"/>
    <n v="3969867.48"/>
  </r>
  <r>
    <s v="Cashew"/>
    <s v="Nigeria Agro Export Company"/>
    <x v="4"/>
    <s v="3/31/2020"/>
    <n v="627"/>
    <n v="34746.28"/>
    <n v="9410.6200000000008"/>
    <n v="21785917.559999999"/>
    <s v="Lagos"/>
    <s v="Sea"/>
    <x v="1"/>
    <n v="5900458.7400000002"/>
  </r>
  <r>
    <s v="Cashew"/>
    <s v="Nigerian Export Promotion Council (NEPC)"/>
    <x v="4"/>
    <s v="7/8/2020"/>
    <n v="804"/>
    <n v="24263.35"/>
    <n v="4847.33"/>
    <n v="19507733.399999999"/>
    <s v="Calabar"/>
    <s v="Sea"/>
    <x v="1"/>
    <n v="3897253.32"/>
  </r>
  <r>
    <s v="Cashew"/>
    <s v="Farmgate Nigeria Limited"/>
    <x v="4"/>
    <s v="9/16/2020"/>
    <n v="158"/>
    <n v="33199.440000000002"/>
    <n v="5295.09"/>
    <n v="5245511.5199999996"/>
    <s v="Lagos"/>
    <s v="Sea"/>
    <x v="1"/>
    <n v="836624.22"/>
  </r>
  <r>
    <s v="Cashew"/>
    <s v="Prime Agro Exports Nigeria Limited"/>
    <x v="5"/>
    <s v="10/24/2020"/>
    <n v="208"/>
    <n v="31322.799999999999"/>
    <n v="7800.08"/>
    <n v="6515142.4000000004"/>
    <s v="Lagos"/>
    <s v="Sea"/>
    <x v="1"/>
    <n v="1622416.64"/>
  </r>
  <r>
    <s v="Cashew"/>
    <s v="Solid Agro Nigeria Limited"/>
    <x v="5"/>
    <s v="6/29/2020"/>
    <n v="585"/>
    <n v="36047.54"/>
    <n v="7586.5"/>
    <n v="21087810.899999999"/>
    <s v="Lagos"/>
    <s v="Sea"/>
    <x v="1"/>
    <n v="4438102.5"/>
  </r>
  <r>
    <s v="Cashew"/>
    <s v="Agro Export Nigeria Ltd"/>
    <x v="5"/>
    <s v="9/11/2020"/>
    <n v="481"/>
    <n v="28731.34"/>
    <n v="7792.24"/>
    <n v="13819774.539999999"/>
    <s v="Port Harcourt"/>
    <s v="Sea"/>
    <x v="1"/>
    <n v="3748067.44"/>
  </r>
  <r>
    <s v="Cashew"/>
    <s v="Golden Farms Nigeria Limited"/>
    <x v="6"/>
    <s v="3/13/2020"/>
    <n v="592"/>
    <n v="10021.32"/>
    <n v="7255.38"/>
    <n v="5932621.4400000004"/>
    <s v="Lagos"/>
    <s v="Sea"/>
    <x v="1"/>
    <n v="4295184.96"/>
  </r>
  <r>
    <s v="Cashew"/>
    <s v="Nigeria Agro Export Company"/>
    <x v="6"/>
    <s v="3/4/2020"/>
    <n v="537"/>
    <n v="18603.64"/>
    <n v="5520.33"/>
    <n v="9990154.6799999997"/>
    <s v="Warri"/>
    <s v="Sea"/>
    <x v="1"/>
    <n v="2964417.21"/>
  </r>
  <r>
    <s v="Cashew"/>
    <s v="Farmgate Nigeria Limited"/>
    <x v="6"/>
    <s v="8/6/2020"/>
    <n v="492"/>
    <n v="49229.66"/>
    <n v="7287.84"/>
    <n v="24220992.719999999"/>
    <s v="Lagos"/>
    <s v="Sea"/>
    <x v="1"/>
    <n v="3585617.2800000003"/>
  </r>
  <r>
    <s v="Cashew"/>
    <s v="Nigeria Agro Export Company"/>
    <x v="6"/>
    <s v="9/5/2020"/>
    <n v="604"/>
    <n v="26272.25"/>
    <n v="3836.47"/>
    <n v="15868439"/>
    <s v="Lagos"/>
    <s v="Sea"/>
    <x v="1"/>
    <n v="2317227.88"/>
  </r>
  <r>
    <s v="Cashew"/>
    <s v="Farmgate Nigeria Limited"/>
    <x v="7"/>
    <s v="1/11/2020"/>
    <n v="204"/>
    <n v="22765.81"/>
    <n v="5848.05"/>
    <n v="4644225.24"/>
    <s v="Lagos"/>
    <s v="Sea"/>
    <x v="1"/>
    <n v="1193002.2"/>
  </r>
  <r>
    <s v="Cashew"/>
    <s v="Nigerian Export Promotion Council (NEPC)"/>
    <x v="7"/>
    <s v="11/8/2020"/>
    <n v="898"/>
    <n v="21737.75"/>
    <n v="5661.66"/>
    <n v="19520499.5"/>
    <s v="Lagos"/>
    <s v="Sea"/>
    <x v="1"/>
    <n v="5084170.68"/>
  </r>
  <r>
    <s v="Cashew"/>
    <s v="Nigerian Export Promotion Council (NEPC)"/>
    <x v="7"/>
    <s v="11/9/2020"/>
    <n v="519"/>
    <n v="33727.94"/>
    <n v="6857.59"/>
    <n v="17504800.859999999"/>
    <s v="Lagos"/>
    <s v="Sea"/>
    <x v="1"/>
    <n v="3559089.21"/>
  </r>
  <r>
    <s v="Cashew"/>
    <s v="Prime Agro Exports Nigeria Limited"/>
    <x v="7"/>
    <s v="4/21/2020"/>
    <n v="123"/>
    <n v="28223.94"/>
    <n v="4207.7299999999996"/>
    <n v="3471544.62"/>
    <s v="Lagos"/>
    <s v="Sea"/>
    <x v="1"/>
    <n v="517550.78999999992"/>
  </r>
  <r>
    <s v="Cashew"/>
    <s v="Prime Agro Exports Nigeria Limited"/>
    <x v="7"/>
    <s v="7/18/2020"/>
    <n v="647"/>
    <n v="24424.61"/>
    <n v="4660.79"/>
    <n v="15802722.67"/>
    <s v="Calabar"/>
    <s v="Sea"/>
    <x v="1"/>
    <n v="3015531.13"/>
  </r>
  <r>
    <s v="Cashew"/>
    <s v="Solid Agro Nigeria Limited"/>
    <x v="7"/>
    <s v="7/6/2020"/>
    <n v="396"/>
    <n v="28963.42"/>
    <n v="9765.76"/>
    <n v="11469514.32"/>
    <s v="Calabar"/>
    <s v="Sea"/>
    <x v="1"/>
    <n v="3867240.96"/>
  </r>
  <r>
    <s v="Cashew"/>
    <s v="Farmgate Nigeria Limited"/>
    <x v="7"/>
    <s v="8/8/2020"/>
    <n v="390"/>
    <n v="38419.120000000003"/>
    <n v="7127.08"/>
    <n v="14983456.800000001"/>
    <s v="Lagos"/>
    <s v="Sea"/>
    <x v="1"/>
    <n v="2779561.2"/>
  </r>
  <r>
    <s v="Cashew"/>
    <s v="Greenfield Agro Exporters Nigeria Limited"/>
    <x v="8"/>
    <s v="12/3/2020"/>
    <n v="290"/>
    <n v="18007.189999999999"/>
    <n v="9572.06"/>
    <n v="5222085.0999999996"/>
    <s v="Port Harcourt"/>
    <s v="Sea"/>
    <x v="1"/>
    <n v="2775897.4"/>
  </r>
  <r>
    <s v="Cashew"/>
    <s v="Agro Export Nigeria Ltd"/>
    <x v="8"/>
    <s v="7/3/2020"/>
    <n v="511"/>
    <n v="28130.25"/>
    <n v="9295.18"/>
    <n v="14374557.75"/>
    <s v="Lagos"/>
    <s v="Sea"/>
    <x v="1"/>
    <n v="4749836.9800000004"/>
  </r>
  <r>
    <s v="Cashew"/>
    <s v="Farmgate Nigeria Limited"/>
    <x v="8"/>
    <s v="9/1/2020"/>
    <n v="747"/>
    <n v="32440.35"/>
    <n v="7368.96"/>
    <n v="24232941.449999999"/>
    <s v="Lagos"/>
    <s v="Sea"/>
    <x v="1"/>
    <n v="5504613.1200000001"/>
  </r>
  <r>
    <s v="Cashew"/>
    <s v="Farmgate Nigeria Limited"/>
    <x v="8"/>
    <s v="9/3/2020"/>
    <n v="729"/>
    <n v="43688.56"/>
    <n v="7472"/>
    <n v="31848960.239999998"/>
    <s v="Port Harcourt"/>
    <s v="Sea"/>
    <x v="1"/>
    <n v="5447088"/>
  </r>
  <r>
    <s v="Cashew"/>
    <s v="Agriplus Nigeria Limited"/>
    <x v="9"/>
    <s v="11/1/2020"/>
    <n v="618"/>
    <n v="34261.660000000003"/>
    <n v="9850.59"/>
    <n v="21173705.879999999"/>
    <s v="Lagos"/>
    <s v="Sea"/>
    <x v="1"/>
    <n v="6087664.6200000001"/>
  </r>
  <r>
    <s v="Cashew"/>
    <s v="Prime Agro Exports Nigeria Limited"/>
    <x v="9"/>
    <s v="11/21/2020"/>
    <n v="706"/>
    <n v="35409.89"/>
    <n v="6520"/>
    <n v="24999382.34"/>
    <s v="Port Harcourt"/>
    <s v="Sea"/>
    <x v="1"/>
    <n v="4603120"/>
  </r>
  <r>
    <s v="Cashew"/>
    <s v="Golden Farms Nigeria Limited"/>
    <x v="9"/>
    <s v="12/7/2020"/>
    <n v="316"/>
    <n v="35104.26"/>
    <n v="2739.19"/>
    <n v="11092946.16"/>
    <s v="Lagos"/>
    <s v="Sea"/>
    <x v="1"/>
    <n v="865584.04"/>
  </r>
  <r>
    <s v="Cashew"/>
    <s v="Agriplus Nigeria Limited"/>
    <x v="9"/>
    <s v="5/25/2020"/>
    <n v="890"/>
    <n v="20914.84"/>
    <n v="7851.32"/>
    <n v="18614207.600000001"/>
    <s v="Lagos"/>
    <s v="Sea"/>
    <x v="1"/>
    <n v="6987674.7999999998"/>
  </r>
  <r>
    <s v="Cashew"/>
    <s v="Nigerian Export Promotion Council (NEPC)"/>
    <x v="9"/>
    <s v="5/30/2020"/>
    <n v="444"/>
    <n v="25730.68"/>
    <n v="5539.83"/>
    <n v="11424421.92"/>
    <s v="Lagos"/>
    <s v="Sea"/>
    <x v="1"/>
    <n v="2459684.52"/>
  </r>
  <r>
    <s v="Cashew"/>
    <s v="Nigeria Agro Export Company"/>
    <x v="10"/>
    <s v="6/28/2020"/>
    <n v="825"/>
    <n v="40168.050000000003"/>
    <n v="4338.22"/>
    <n v="33138641.25"/>
    <s v="Port Harcourt"/>
    <s v="Sea"/>
    <x v="1"/>
    <n v="3579031.5"/>
  </r>
  <r>
    <s v="Cashew"/>
    <s v="Nigeria Agro Export Company"/>
    <x v="1"/>
    <s v="6/24/2021"/>
    <n v="670"/>
    <n v="29082.54"/>
    <n v="4982.72"/>
    <n v="19485301.800000001"/>
    <s v="Calabar"/>
    <s v="Sea"/>
    <x v="2"/>
    <n v="3338422.4000000004"/>
  </r>
  <r>
    <s v="Cashew"/>
    <s v="Agro Export Nigeria Ltd"/>
    <x v="1"/>
    <s v="8/17/2021"/>
    <n v="293"/>
    <n v="35250.959999999999"/>
    <n v="4432.8900000000003"/>
    <n v="10328531.279999999"/>
    <s v="Lagos"/>
    <s v="Sea"/>
    <x v="2"/>
    <n v="1298836.77"/>
  </r>
  <r>
    <s v="Cashew"/>
    <s v="Agriplus Nigeria Limited"/>
    <x v="1"/>
    <s v="8/18/2021"/>
    <n v="109"/>
    <n v="37687.33"/>
    <n v="8794.43"/>
    <n v="4107918.97"/>
    <s v="Warri"/>
    <s v="Sea"/>
    <x v="2"/>
    <n v="958592.87"/>
  </r>
  <r>
    <s v="Cashew"/>
    <s v="Solid Agro Nigeria Limited"/>
    <x v="2"/>
    <s v="1/17/2021"/>
    <n v="108"/>
    <n v="37249.78"/>
    <n v="4225.05"/>
    <n v="4022976.24"/>
    <s v="Port Harcourt"/>
    <s v="Sea"/>
    <x v="2"/>
    <n v="456305.4"/>
  </r>
  <r>
    <s v="Cashew"/>
    <s v="Golden Farms Nigeria Limited"/>
    <x v="2"/>
    <s v="10/6/2021"/>
    <n v="344"/>
    <n v="11762.79"/>
    <n v="5039.24"/>
    <n v="4046399.76"/>
    <s v="Lagos"/>
    <s v="Sea"/>
    <x v="2"/>
    <n v="1733498.5599999998"/>
  </r>
  <r>
    <s v="Cashew"/>
    <s v="Farmgate Nigeria Limited"/>
    <x v="2"/>
    <s v="12/23/2021"/>
    <n v="188"/>
    <n v="38387.230000000003"/>
    <n v="9785.67"/>
    <n v="7216799.2400000002"/>
    <s v="Calabar"/>
    <s v="Sea"/>
    <x v="2"/>
    <n v="1839705.96"/>
  </r>
  <r>
    <s v="Cashew"/>
    <s v="Solid Agro Nigeria Limited"/>
    <x v="2"/>
    <s v="2/24/2021"/>
    <n v="973"/>
    <n v="13019.66"/>
    <n v="7802.91"/>
    <n v="12668129.18"/>
    <s v="Lagos"/>
    <s v="Sea"/>
    <x v="2"/>
    <n v="7592231.4299999997"/>
  </r>
  <r>
    <s v="Cashew"/>
    <s v="Nigeria Agro Export Company"/>
    <x v="3"/>
    <s v="7/1/2021"/>
    <n v="599"/>
    <n v="46916.93"/>
    <n v="8747.6"/>
    <n v="28103241.07"/>
    <s v="Lagos"/>
    <s v="Sea"/>
    <x v="2"/>
    <n v="5239812.4000000004"/>
  </r>
  <r>
    <s v="Cashew"/>
    <s v="Agro Export Nigeria Ltd"/>
    <x v="3"/>
    <s v="7/18/2021"/>
    <n v="319"/>
    <n v="26580.33"/>
    <n v="9531.2000000000007"/>
    <n v="8479125.2699999996"/>
    <s v="Lagos"/>
    <s v="Sea"/>
    <x v="2"/>
    <n v="3040452.8000000003"/>
  </r>
  <r>
    <s v="Cashew"/>
    <s v="Nigeria Agro Export Company"/>
    <x v="3"/>
    <s v="8/6/2021"/>
    <n v="195"/>
    <n v="22573.75"/>
    <n v="8379.0499999999993"/>
    <n v="4401881.25"/>
    <s v="Lagos"/>
    <s v="Sea"/>
    <x v="2"/>
    <n v="1633914.7499999998"/>
  </r>
  <r>
    <s v="Cashew"/>
    <s v="Agro Allied Exporters Nigeria Limited"/>
    <x v="7"/>
    <s v="8/6/2021"/>
    <n v="551"/>
    <n v="23671.25"/>
    <n v="6023.56"/>
    <n v="13042858.75"/>
    <s v="Lagos"/>
    <s v="Sea"/>
    <x v="2"/>
    <n v="3318981.56"/>
  </r>
  <r>
    <s v="Cashew"/>
    <s v="Greenfield Agro Exporters Nigeria Limited"/>
    <x v="3"/>
    <s v="9/7/2021"/>
    <n v="397"/>
    <n v="29715"/>
    <n v="6060.24"/>
    <n v="11796855"/>
    <s v="Warri"/>
    <s v="Sea"/>
    <x v="2"/>
    <n v="2405915.2799999998"/>
  </r>
  <r>
    <s v="Cashew"/>
    <s v="Nigeria Agro Export Company"/>
    <x v="4"/>
    <s v="10/25/2021"/>
    <n v="309"/>
    <n v="36171.199999999997"/>
    <n v="5485.99"/>
    <n v="11176900.800000001"/>
    <s v="Lagos"/>
    <s v="Sea"/>
    <x v="2"/>
    <n v="1695170.91"/>
  </r>
  <r>
    <s v="Cashew"/>
    <s v="Nigerian Export Promotion Council (NEPC)"/>
    <x v="4"/>
    <s v="11/16/2021"/>
    <n v="810"/>
    <n v="37294.980000000003"/>
    <n v="9804.7000000000007"/>
    <n v="30208933.800000001"/>
    <s v="Lagos"/>
    <s v="Sea"/>
    <x v="2"/>
    <n v="7941807.0000000009"/>
  </r>
  <r>
    <s v="Cashew"/>
    <s v="Agro Export Nigeria Ltd"/>
    <x v="4"/>
    <s v="2/8/2021"/>
    <n v="779"/>
    <n v="41434.9"/>
    <n v="4902.3900000000003"/>
    <n v="32277787.100000001"/>
    <s v="Lagos"/>
    <s v="Sea"/>
    <x v="2"/>
    <n v="3818961.81"/>
  </r>
  <r>
    <s v="Cashew"/>
    <s v="Farmgate Nigeria Limited"/>
    <x v="4"/>
    <s v="5/14/2021"/>
    <n v="407"/>
    <n v="17240.740000000002"/>
    <n v="7258.3"/>
    <n v="7016981.1799999997"/>
    <s v="Lagos"/>
    <s v="Sea"/>
    <x v="2"/>
    <n v="2954128.1"/>
  </r>
  <r>
    <s v="Cashew"/>
    <s v="Nigeria Agro Export Company"/>
    <x v="4"/>
    <s v="6/30/2021"/>
    <n v="469"/>
    <n v="40500.51"/>
    <n v="9256.9500000000007"/>
    <n v="18994739.190000001"/>
    <s v="Calabar"/>
    <s v="Sea"/>
    <x v="2"/>
    <n v="4341509.5500000007"/>
  </r>
  <r>
    <s v="Cashew"/>
    <s v="Prime Agro Exports Nigeria Limited"/>
    <x v="5"/>
    <s v="10/4/2021"/>
    <n v="963"/>
    <n v="16009.91"/>
    <n v="7849.5"/>
    <n v="15417543.33"/>
    <s v="Warri"/>
    <s v="Sea"/>
    <x v="2"/>
    <n v="7559068.5"/>
  </r>
  <r>
    <s v="Cashew"/>
    <s v="Agriplus Nigeria Limited"/>
    <x v="5"/>
    <s v="11/6/2021"/>
    <n v="491"/>
    <n v="42937.24"/>
    <n v="7776.41"/>
    <n v="21082184.84"/>
    <s v="Lagos"/>
    <s v="Sea"/>
    <x v="2"/>
    <n v="3818217.31"/>
  </r>
  <r>
    <s v="Cashew"/>
    <s v="Farmgate Nigeria Limited"/>
    <x v="5"/>
    <s v="4/21/2021"/>
    <n v="238"/>
    <n v="28152.42"/>
    <n v="8234.85"/>
    <n v="6700275.96"/>
    <s v="Lagos"/>
    <s v="Sea"/>
    <x v="2"/>
    <n v="1959894.3"/>
  </r>
  <r>
    <s v="Cashew"/>
    <s v="Nigeria Agro Export Company"/>
    <x v="5"/>
    <s v="7/5/2021"/>
    <n v="305"/>
    <n v="18218.73"/>
    <n v="9792.49"/>
    <n v="5556712.6500000004"/>
    <s v="Lagos"/>
    <s v="Sea"/>
    <x v="2"/>
    <n v="2986709.4499999997"/>
  </r>
  <r>
    <s v="Cashew"/>
    <s v="Nigerian Export Promotion Council (NEPC)"/>
    <x v="6"/>
    <s v="12/28/2021"/>
    <n v="360"/>
    <n v="25462.65"/>
    <n v="9477.39"/>
    <n v="9166554"/>
    <s v="Lagos"/>
    <s v="Sea"/>
    <x v="2"/>
    <n v="3411860.4"/>
  </r>
  <r>
    <s v="Cashew"/>
    <s v="Prime Agro Exports Nigeria Limited"/>
    <x v="6"/>
    <s v="4/1/2021"/>
    <n v="394"/>
    <n v="47388.5"/>
    <n v="9454.0300000000007"/>
    <n v="18671069"/>
    <s v="Lagos"/>
    <s v="Sea"/>
    <x v="2"/>
    <n v="3724887.8200000003"/>
  </r>
  <r>
    <s v="Cashew"/>
    <s v="Nigeria Agro Export Company"/>
    <x v="6"/>
    <s v="5/25/2021"/>
    <n v="112"/>
    <n v="37672.07"/>
    <n v="5265.33"/>
    <n v="4219271.84"/>
    <s v="Lagos"/>
    <s v="Sea"/>
    <x v="2"/>
    <n v="589716.96"/>
  </r>
  <r>
    <s v="Cashew"/>
    <s v="Nigeria Agro Export Company"/>
    <x v="6"/>
    <s v="5/29/2021"/>
    <n v="494"/>
    <n v="29181.06"/>
    <n v="2446.06"/>
    <n v="14415443.640000001"/>
    <s v="Lagos"/>
    <s v="Sea"/>
    <x v="2"/>
    <n v="1208353.6399999999"/>
  </r>
  <r>
    <s v="Cashew"/>
    <s v="Farmgate Nigeria Limited"/>
    <x v="7"/>
    <s v="12/15/2021"/>
    <n v="773"/>
    <n v="38681.14"/>
    <n v="8033.55"/>
    <n v="29900521.219999999"/>
    <s v="Lagos"/>
    <s v="Sea"/>
    <x v="2"/>
    <n v="6209934.1500000004"/>
  </r>
  <r>
    <s v="Cashew"/>
    <s v="Prime Agro Exports Nigeria Limited"/>
    <x v="7"/>
    <s v="12/24/2021"/>
    <n v="279"/>
    <n v="13571.23"/>
    <n v="9897.25"/>
    <n v="3786373.17"/>
    <s v="Calabar"/>
    <s v="Sea"/>
    <x v="2"/>
    <n v="2761332.75"/>
  </r>
  <r>
    <s v="Cashew"/>
    <s v="Farmgate Nigeria Limited"/>
    <x v="7"/>
    <s v="12/24/2021"/>
    <n v="634"/>
    <n v="40807.39"/>
    <n v="9589.5300000000007"/>
    <n v="25871885.260000002"/>
    <s v="Lagos"/>
    <s v="Sea"/>
    <x v="2"/>
    <n v="6079762.0200000005"/>
  </r>
  <r>
    <s v="Cashew"/>
    <s v="Agro Export Nigeria Ltd"/>
    <x v="7"/>
    <s v="12/25/2021"/>
    <n v="595"/>
    <n v="49952.76"/>
    <n v="3880.69"/>
    <n v="29721892.199999999"/>
    <s v="Calabar"/>
    <s v="Sea"/>
    <x v="2"/>
    <n v="2309010.5499999998"/>
  </r>
  <r>
    <s v="Cashew"/>
    <s v="Nigerian Export Promotion Council (NEPC)"/>
    <x v="7"/>
    <s v="4/12/2021"/>
    <n v="777"/>
    <n v="30049.86"/>
    <n v="4993.55"/>
    <n v="23348741.219999999"/>
    <s v="Calabar"/>
    <s v="Sea"/>
    <x v="2"/>
    <n v="3879988.35"/>
  </r>
  <r>
    <s v="Cashew"/>
    <s v="Greenfield Agro Exporters Nigeria Limited"/>
    <x v="7"/>
    <s v="8/8/2021"/>
    <n v="669"/>
    <n v="18940.330000000002"/>
    <n v="2890.92"/>
    <n v="12671080.77"/>
    <s v="Lagos"/>
    <s v="Sea"/>
    <x v="2"/>
    <n v="1934025.48"/>
  </r>
  <r>
    <s v="Cashew"/>
    <s v="Golden Farms Nigeria Limited"/>
    <x v="8"/>
    <s v="2/12/2021"/>
    <n v="359"/>
    <n v="19044.29"/>
    <n v="6879.43"/>
    <n v="6836900.1100000003"/>
    <s v="Lagos"/>
    <s v="Sea"/>
    <x v="2"/>
    <n v="2469715.37"/>
  </r>
  <r>
    <s v="Cashew"/>
    <s v="Agro Allied Exporters Nigeria Limited"/>
    <x v="8"/>
    <s v="3/1/2021"/>
    <n v="692"/>
    <n v="20019.73"/>
    <n v="4532.37"/>
    <n v="13853653.16"/>
    <s v="Lagos"/>
    <s v="Sea"/>
    <x v="2"/>
    <n v="3136400.04"/>
  </r>
  <r>
    <s v="Cashew"/>
    <s v="Prime Agro Exports Nigeria Limited"/>
    <x v="8"/>
    <s v="7/17/2021"/>
    <n v="435"/>
    <n v="33734.239999999998"/>
    <n v="7258.28"/>
    <n v="14674394.4"/>
    <s v="Lagos"/>
    <s v="Sea"/>
    <x v="2"/>
    <n v="3157351.8"/>
  </r>
  <r>
    <s v="Cashew"/>
    <s v="Prime Agro Exports Nigeria Limited"/>
    <x v="9"/>
    <s v="1/27/2021"/>
    <n v="870"/>
    <n v="48583.99"/>
    <n v="3988.43"/>
    <n v="42268071.299999997"/>
    <s v="Lagos"/>
    <s v="Sea"/>
    <x v="2"/>
    <n v="3469934.0999999996"/>
  </r>
  <r>
    <s v="Cashew"/>
    <s v="Prime Agro Exports Nigeria Limited"/>
    <x v="9"/>
    <s v="10/5/2021"/>
    <n v="388"/>
    <n v="14002.05"/>
    <n v="7799.02"/>
    <n v="5432795.4000000004"/>
    <s v="Lagos"/>
    <s v="Sea"/>
    <x v="2"/>
    <n v="3026019.7600000002"/>
  </r>
  <r>
    <s v="Cashew"/>
    <s v="Agriplus Nigeria Limited"/>
    <x v="9"/>
    <s v="3/17/2021"/>
    <n v="988"/>
    <n v="34090.050000000003"/>
    <n v="6763.49"/>
    <n v="33680969.399999999"/>
    <s v="Lagos"/>
    <s v="Sea"/>
    <x v="2"/>
    <n v="6682328.1200000001"/>
  </r>
  <r>
    <s v="Cashew"/>
    <s v="Agriplus Nigeria Limited"/>
    <x v="9"/>
    <s v="6/17/2021"/>
    <n v="456"/>
    <n v="21633.599999999999"/>
    <n v="4135.4399999999996"/>
    <n v="9864921.5999999996"/>
    <s v="Calabar"/>
    <s v="Sea"/>
    <x v="2"/>
    <n v="1885760.64"/>
  </r>
  <r>
    <s v="Cashew"/>
    <s v="Prime Agro Exports Nigeria Limited"/>
    <x v="9"/>
    <s v="6/26/2021"/>
    <n v="627"/>
    <n v="28634.29"/>
    <n v="6333.2"/>
    <n v="17953699.829999998"/>
    <s v="Warri"/>
    <s v="Sea"/>
    <x v="2"/>
    <n v="3970916.4"/>
  </r>
  <r>
    <s v="Cashew"/>
    <s v="Nigerian Export Promotion Council (NEPC)"/>
    <x v="9"/>
    <s v="9/4/2021"/>
    <n v="369"/>
    <n v="13952.52"/>
    <n v="6188.94"/>
    <n v="5148479.88"/>
    <s v="Lagos"/>
    <s v="Sea"/>
    <x v="2"/>
    <n v="2283718.86"/>
  </r>
  <r>
    <s v="Cashew"/>
    <s v="Agriplus Nigeria Limited"/>
    <x v="10"/>
    <s v="6/18/2021"/>
    <n v="496"/>
    <n v="16337.54"/>
    <n v="7374.32"/>
    <n v="8103419.8399999999"/>
    <s v="Port Harcourt"/>
    <s v="Sea"/>
    <x v="2"/>
    <n v="3657662.7199999997"/>
  </r>
  <r>
    <s v="Cashew"/>
    <s v="Nigeria Agro Export Company"/>
    <x v="2"/>
    <s v="1/2/2022"/>
    <n v="225"/>
    <n v="27359.34"/>
    <n v="4792.7"/>
    <n v="6155851.5"/>
    <s v="Lagos"/>
    <s v="Sea"/>
    <x v="3"/>
    <n v="1078357.5"/>
  </r>
  <r>
    <s v="Cashew"/>
    <s v="Solid Agro Nigeria Limited"/>
    <x v="2"/>
    <s v="3/13/2022"/>
    <n v="425"/>
    <n v="18775.34"/>
    <n v="5343.85"/>
    <n v="7979519.5"/>
    <s v="Lagos"/>
    <s v="Sea"/>
    <x v="3"/>
    <n v="2271136.25"/>
  </r>
  <r>
    <s v="Cashew"/>
    <s v="Solid Agro Nigeria Limited"/>
    <x v="2"/>
    <s v="5/22/2022"/>
    <n v="930"/>
    <n v="37216.61"/>
    <n v="4076.71"/>
    <n v="34611447.299999997"/>
    <s v="Warri"/>
    <s v="Sea"/>
    <x v="3"/>
    <n v="3791340.3"/>
  </r>
  <r>
    <s v="Cashew"/>
    <s v="Agriplus Nigeria Limited"/>
    <x v="2"/>
    <s v="8/26/2022"/>
    <n v="220"/>
    <n v="37731.49"/>
    <n v="5466.27"/>
    <n v="8300927.7999999998"/>
    <s v="Warri"/>
    <s v="Sea"/>
    <x v="3"/>
    <n v="1202579.4000000001"/>
  </r>
  <r>
    <s v="Cashew"/>
    <s v="Nigeria Agro Export Company"/>
    <x v="3"/>
    <s v="1/12/2022"/>
    <n v="223"/>
    <n v="41689.96"/>
    <n v="7172.86"/>
    <n v="9296861.0800000001"/>
    <s v="Lagos"/>
    <s v="Sea"/>
    <x v="3"/>
    <n v="1599547.78"/>
  </r>
  <r>
    <s v="Cashew"/>
    <s v="Golden Farms Nigeria Limited"/>
    <x v="3"/>
    <s v="10/13/2022"/>
    <n v="238"/>
    <n v="31839.65"/>
    <n v="8488.9699999999993"/>
    <n v="7577836.7000000002"/>
    <s v="Lagos"/>
    <s v="Sea"/>
    <x v="3"/>
    <n v="2020374.8599999999"/>
  </r>
  <r>
    <s v="Cashew"/>
    <s v="Agro Allied Exporters Nigeria Limited"/>
    <x v="3"/>
    <s v="3/10/2022"/>
    <n v="228"/>
    <n v="27992.79"/>
    <n v="4627.45"/>
    <n v="6382356.1200000001"/>
    <s v="Calabar"/>
    <s v="Sea"/>
    <x v="3"/>
    <n v="1055058.5999999999"/>
  </r>
  <r>
    <s v="Cashew"/>
    <s v="Greenfield Agro Exporters Nigeria Limited"/>
    <x v="3"/>
    <s v="3/27/2022"/>
    <n v="462"/>
    <n v="40352.050000000003"/>
    <n v="5985.5"/>
    <n v="18642647.100000001"/>
    <s v="Lagos"/>
    <s v="Sea"/>
    <x v="3"/>
    <n v="2765301"/>
  </r>
  <r>
    <s v="Cashew"/>
    <s v="Nigerian Export Promotion Council (NEPC)"/>
    <x v="3"/>
    <s v="3/3/2022"/>
    <n v="212"/>
    <n v="38606.82"/>
    <n v="8270.19"/>
    <n v="8184645.8399999999"/>
    <s v="Lagos"/>
    <s v="Sea"/>
    <x v="3"/>
    <n v="1753280.28"/>
  </r>
  <r>
    <s v="Cashew"/>
    <s v="Agro Allied Exporters Nigeria Limited"/>
    <x v="4"/>
    <s v="12/22/2022"/>
    <n v="197"/>
    <n v="32460.959999999999"/>
    <n v="3462.01"/>
    <n v="6394809.1200000001"/>
    <s v="Lagos"/>
    <s v="Sea"/>
    <x v="3"/>
    <n v="682015.97000000009"/>
  </r>
  <r>
    <s v="Cashew"/>
    <s v="Prime Agro Exports Nigeria Limited"/>
    <x v="4"/>
    <s v="4/14/2022"/>
    <n v="969"/>
    <n v="18970.62"/>
    <n v="4948.6899999999996"/>
    <n v="18382530.780000001"/>
    <s v="Lagos"/>
    <s v="Sea"/>
    <x v="3"/>
    <n v="4795280.6099999994"/>
  </r>
  <r>
    <s v="Cashew"/>
    <s v="Agro Export Nigeria Ltd"/>
    <x v="4"/>
    <s v="4/24/2022"/>
    <n v="179"/>
    <n v="11948.5"/>
    <n v="8565.61"/>
    <n v="2138781.5"/>
    <s v="Lagos"/>
    <s v="Sea"/>
    <x v="3"/>
    <n v="1533244.1900000002"/>
  </r>
  <r>
    <s v="Cashew"/>
    <s v="Agro Export Nigeria Ltd"/>
    <x v="4"/>
    <s v="8/14/2022"/>
    <n v="884"/>
    <n v="49041.91"/>
    <n v="3226.31"/>
    <n v="43353048.439999998"/>
    <s v="Lagos"/>
    <s v="Sea"/>
    <x v="3"/>
    <n v="2852058.04"/>
  </r>
  <r>
    <s v="Cashew"/>
    <s v="Nigeria Agro Export Company"/>
    <x v="5"/>
    <s v="11/24/2022"/>
    <n v="509"/>
    <n v="37586.949999999997"/>
    <n v="3011.25"/>
    <n v="19131757.550000001"/>
    <s v="Lagos"/>
    <s v="Sea"/>
    <x v="3"/>
    <n v="1532726.25"/>
  </r>
  <r>
    <s v="Cashew"/>
    <s v="Nigerian Export Promotion Council (NEPC)"/>
    <x v="5"/>
    <s v="2/25/2022"/>
    <n v="928"/>
    <n v="43869.35"/>
    <n v="7665.68"/>
    <n v="40710756.799999997"/>
    <s v="Lagos"/>
    <s v="Sea"/>
    <x v="3"/>
    <n v="7113751.04"/>
  </r>
  <r>
    <s v="Cashew"/>
    <s v="Farmgate Nigeria Limited"/>
    <x v="5"/>
    <s v="2/26/2022"/>
    <n v="687"/>
    <n v="33342.97"/>
    <n v="6500.51"/>
    <n v="22906620.390000001"/>
    <s v="Lagos"/>
    <s v="Sea"/>
    <x v="3"/>
    <n v="4465850.37"/>
  </r>
  <r>
    <s v="Cashew"/>
    <s v="Solid Agro Nigeria Limited"/>
    <x v="5"/>
    <s v="3/26/2022"/>
    <n v="606"/>
    <n v="27024.3"/>
    <n v="3236.49"/>
    <n v="16376725.800000001"/>
    <s v="Lagos"/>
    <s v="Sea"/>
    <x v="3"/>
    <n v="1961312.94"/>
  </r>
  <r>
    <s v="Cashew"/>
    <s v="Greenfield Agro Exporters Nigeria Limited"/>
    <x v="5"/>
    <s v="4/5/2022"/>
    <n v="318"/>
    <n v="24796.29"/>
    <n v="9931.61"/>
    <n v="7885220.2199999997"/>
    <s v="Port Harcourt"/>
    <s v="Sea"/>
    <x v="3"/>
    <n v="3158251.98"/>
  </r>
  <r>
    <s v="Cashew"/>
    <s v="Prime Agro Exports Nigeria Limited"/>
    <x v="5"/>
    <s v="5/17/2022"/>
    <n v="603"/>
    <n v="25715.79"/>
    <n v="9586.4599999999991"/>
    <n v="15506621.369999999"/>
    <s v="Port Harcourt"/>
    <s v="Sea"/>
    <x v="3"/>
    <n v="5780635.3799999999"/>
  </r>
  <r>
    <s v="Cashew"/>
    <s v="Solid Agro Nigeria Limited"/>
    <x v="5"/>
    <s v="9/9/2022"/>
    <n v="504"/>
    <n v="16636.12"/>
    <n v="4596.82"/>
    <n v="8384604.4800000004"/>
    <s v="Port Harcourt"/>
    <s v="Sea"/>
    <x v="3"/>
    <n v="2316797.2799999998"/>
  </r>
  <r>
    <s v="Cashew"/>
    <s v="Golden Farms Nigeria Limited"/>
    <x v="6"/>
    <s v="4/13/2022"/>
    <n v="900"/>
    <n v="27487.89"/>
    <n v="7714.09"/>
    <n v="24739101"/>
    <s v="Lagos"/>
    <s v="Sea"/>
    <x v="3"/>
    <n v="6942681"/>
  </r>
  <r>
    <s v="Cashew"/>
    <s v="Agriplus Nigeria Limited"/>
    <x v="6"/>
    <s v="4/8/2022"/>
    <n v="389"/>
    <n v="22294.639999999999"/>
    <n v="3359.32"/>
    <n v="8672614.9600000009"/>
    <s v="Calabar"/>
    <s v="Sea"/>
    <x v="3"/>
    <n v="1306775.48"/>
  </r>
  <r>
    <s v="Cashew"/>
    <s v="Greenfield Agro Exporters Nigeria Limited"/>
    <x v="10"/>
    <s v="4/8/2022"/>
    <n v="253"/>
    <n v="10966.93"/>
    <n v="2635.2"/>
    <n v="2774633.29"/>
    <s v="Port Harcourt"/>
    <s v="Sea"/>
    <x v="3"/>
    <n v="666705.6"/>
  </r>
  <r>
    <s v="Cashew"/>
    <s v="Solid Agro Nigeria Limited"/>
    <x v="7"/>
    <s v="1/3/2022"/>
    <n v="633"/>
    <n v="25099.43"/>
    <n v="2601.7800000000002"/>
    <n v="15887939.189999999"/>
    <s v="Lagos"/>
    <s v="Sea"/>
    <x v="3"/>
    <n v="1646926.7400000002"/>
  </r>
  <r>
    <s v="Cashew"/>
    <s v="Prime Agro Exports Nigeria Limited"/>
    <x v="7"/>
    <s v="1/5/2022"/>
    <n v="749"/>
    <n v="28798.52"/>
    <n v="6193.18"/>
    <n v="21570091.48"/>
    <s v="Lagos"/>
    <s v="Sea"/>
    <x v="3"/>
    <n v="4638691.82"/>
  </r>
  <r>
    <s v="Cashew"/>
    <s v="Greenfield Agro Exporters Nigeria Limited"/>
    <x v="7"/>
    <s v="12/3/2022"/>
    <n v="757"/>
    <n v="15651.76"/>
    <n v="2822.57"/>
    <n v="11848382.32"/>
    <s v="Lagos"/>
    <s v="Sea"/>
    <x v="3"/>
    <n v="2136685.4900000002"/>
  </r>
  <r>
    <s v="Cashew"/>
    <s v="Prime Agro Exports Nigeria Limited"/>
    <x v="7"/>
    <s v="7/22/2022"/>
    <n v="412"/>
    <n v="39780.129999999997"/>
    <n v="7699.27"/>
    <n v="16389413.560000001"/>
    <s v="Lagos"/>
    <s v="Sea"/>
    <x v="3"/>
    <n v="3172099.24"/>
  </r>
  <r>
    <s v="Cashew"/>
    <s v="Agriplus Nigeria Limited"/>
    <x v="7"/>
    <s v="7/28/2022"/>
    <n v="985"/>
    <n v="17927.04"/>
    <n v="2110.33"/>
    <n v="17658134.399999999"/>
    <s v="Lagos"/>
    <s v="Sea"/>
    <x v="3"/>
    <n v="2078675.0499999998"/>
  </r>
  <r>
    <s v="Cashew"/>
    <s v="Farmgate Nigeria Limited"/>
    <x v="8"/>
    <s v="1/19/2022"/>
    <n v="720"/>
    <n v="20018.86"/>
    <n v="3870.9"/>
    <n v="14413579.199999999"/>
    <s v="Lagos"/>
    <s v="Sea"/>
    <x v="3"/>
    <n v="2787048"/>
  </r>
  <r>
    <s v="Cashew"/>
    <s v="Solid Agro Nigeria Limited"/>
    <x v="8"/>
    <s v="10/20/2022"/>
    <n v="494"/>
    <n v="15808.25"/>
    <n v="8514.16"/>
    <n v="7809275.5"/>
    <s v="Lagos"/>
    <s v="Sea"/>
    <x v="3"/>
    <n v="4205995.04"/>
  </r>
  <r>
    <s v="Cashew"/>
    <s v="Greenfield Agro Exporters Nigeria Limited"/>
    <x v="8"/>
    <s v="7/20/2022"/>
    <n v="275"/>
    <n v="18649.39"/>
    <n v="2111.9899999999998"/>
    <n v="5128582.25"/>
    <s v="Lagos"/>
    <s v="Sea"/>
    <x v="3"/>
    <n v="580797.24999999988"/>
  </r>
  <r>
    <s v="Cashew"/>
    <s v="Prime Agro Exports Nigeria Limited"/>
    <x v="9"/>
    <s v="11/29/2022"/>
    <n v="558"/>
    <n v="37757.629999999997"/>
    <n v="8787.98"/>
    <n v="21068757.539999999"/>
    <s v="Lagos"/>
    <s v="Sea"/>
    <x v="3"/>
    <n v="4903692.84"/>
  </r>
  <r>
    <s v="Cashew"/>
    <s v="Agriplus Nigeria Limited"/>
    <x v="10"/>
    <s v="9/13/2022"/>
    <n v="823"/>
    <n v="27043.87"/>
    <n v="3741.34"/>
    <n v="22257105.010000002"/>
    <s v="Lagos"/>
    <s v="Sea"/>
    <x v="3"/>
    <n v="3079122.8200000003"/>
  </r>
  <r>
    <s v="Cashew"/>
    <s v="Greenfield Agro Exporters Nigeria Limited"/>
    <x v="1"/>
    <s v="10/10/2023"/>
    <n v="561"/>
    <n v="12953.71"/>
    <n v="2565.69"/>
    <n v="7267031.3099999996"/>
    <s v="Lagos"/>
    <s v="Sea"/>
    <x v="4"/>
    <n v="1439352.09"/>
  </r>
  <r>
    <s v="Cashew"/>
    <s v="Nigeria Agro Export Company"/>
    <x v="1"/>
    <s v="12/17/2023"/>
    <n v="506"/>
    <n v="49365.93"/>
    <n v="8498.57"/>
    <n v="24979160.579999998"/>
    <s v="Lagos"/>
    <s v="Sea"/>
    <x v="4"/>
    <n v="4300276.42"/>
  </r>
  <r>
    <s v="Cashew"/>
    <s v="Agriplus Nigeria Limited"/>
    <x v="2"/>
    <s v="12/17/2023"/>
    <n v="104"/>
    <n v="28856.79"/>
    <n v="6754.28"/>
    <n v="3001106.16"/>
    <s v="Port Harcourt"/>
    <s v="Sea"/>
    <x v="4"/>
    <n v="702445.12"/>
  </r>
  <r>
    <s v="Cashew"/>
    <s v="Nigeria Agro Export Company"/>
    <x v="1"/>
    <s v="6/11/2023"/>
    <n v="730"/>
    <n v="49937.99"/>
    <n v="9149.4"/>
    <n v="36454732.700000003"/>
    <s v="Warri"/>
    <s v="Sea"/>
    <x v="4"/>
    <n v="6679062"/>
  </r>
  <r>
    <s v="Cashew"/>
    <s v="Nigerian Export Promotion Council (NEPC)"/>
    <x v="2"/>
    <s v="1/24/2023"/>
    <n v="245"/>
    <n v="22058.15"/>
    <n v="9141.0499999999993"/>
    <n v="5404246.75"/>
    <s v="Port Harcourt"/>
    <s v="Sea"/>
    <x v="4"/>
    <n v="2239557.25"/>
  </r>
  <r>
    <s v="Cashew"/>
    <s v="Nigerian Export Promotion Council (NEPC)"/>
    <x v="2"/>
    <s v="2/9/2023"/>
    <n v="388"/>
    <n v="43524.13"/>
    <n v="7427.72"/>
    <n v="16887362.440000001"/>
    <s v="Lagos"/>
    <s v="Sea"/>
    <x v="4"/>
    <n v="2881955.36"/>
  </r>
  <r>
    <s v="Cashew"/>
    <s v="Agriplus Nigeria Limited"/>
    <x v="2"/>
    <s v="8/29/2023"/>
    <n v="296"/>
    <n v="28499.89"/>
    <n v="4918.3100000000004"/>
    <n v="8435967.4399999995"/>
    <s v="Calabar"/>
    <s v="Sea"/>
    <x v="4"/>
    <n v="1455819.76"/>
  </r>
  <r>
    <s v="Cashew"/>
    <s v="Agro Allied Exporters Nigeria Limited"/>
    <x v="3"/>
    <s v="12/29/2023"/>
    <n v="768"/>
    <n v="39606.639999999999"/>
    <n v="7529.98"/>
    <n v="30417899.52"/>
    <s v="Lagos"/>
    <s v="Sea"/>
    <x v="4"/>
    <n v="5783024.6399999997"/>
  </r>
  <r>
    <s v="Cashew"/>
    <s v="Greenfield Agro Exporters Nigeria Limited"/>
    <x v="3"/>
    <s v="12/30/2023"/>
    <n v="128"/>
    <n v="13118.57"/>
    <n v="7901.12"/>
    <n v="1679176.96"/>
    <s v="Lagos"/>
    <s v="Sea"/>
    <x v="4"/>
    <n v="1011343.36"/>
  </r>
  <r>
    <s v="Cashew"/>
    <s v="Solid Agro Nigeria Limited"/>
    <x v="3"/>
    <s v="3/10/2023"/>
    <n v="403"/>
    <n v="12673.28"/>
    <n v="3954.67"/>
    <n v="5107331.84"/>
    <s v="Port Harcourt"/>
    <s v="Sea"/>
    <x v="4"/>
    <n v="1593732.01"/>
  </r>
  <r>
    <s v="Cashew"/>
    <s v="Solid Agro Nigeria Limited"/>
    <x v="4"/>
    <s v="1/15/2023"/>
    <n v="555"/>
    <n v="16865.509999999998"/>
    <n v="4394.07"/>
    <n v="9360358.0500000007"/>
    <s v="Lagos"/>
    <s v="Sea"/>
    <x v="4"/>
    <n v="2438708.8499999996"/>
  </r>
  <r>
    <s v="Cashew"/>
    <s v="Agro Export Nigeria Ltd"/>
    <x v="4"/>
    <s v="1/31/2023"/>
    <n v="506"/>
    <n v="35141.25"/>
    <n v="6995.65"/>
    <n v="17781472.5"/>
    <s v="Warri"/>
    <s v="Sea"/>
    <x v="4"/>
    <n v="3539798.9"/>
  </r>
  <r>
    <s v="Cashew"/>
    <s v="Farmgate Nigeria Limited"/>
    <x v="4"/>
    <s v="2/7/2023"/>
    <n v="687"/>
    <n v="31309.13"/>
    <n v="5015.01"/>
    <n v="21509372.309999999"/>
    <s v="Lagos"/>
    <s v="Sea"/>
    <x v="4"/>
    <n v="3445311.87"/>
  </r>
  <r>
    <s v="Cashew"/>
    <s v="Agro Export Nigeria Ltd"/>
    <x v="4"/>
    <s v="5/28/2023"/>
    <n v="653"/>
    <n v="43827.24"/>
    <n v="5249.1"/>
    <n v="28619187.719999999"/>
    <s v="Lagos"/>
    <s v="Sea"/>
    <x v="4"/>
    <n v="3427662.3000000003"/>
  </r>
  <r>
    <s v="Cashew"/>
    <s v="Solid Agro Nigeria Limited"/>
    <x v="4"/>
    <s v="9/9/2023"/>
    <n v="705"/>
    <n v="20889.939999999999"/>
    <n v="5798.03"/>
    <n v="14727407.699999999"/>
    <s v="Warri"/>
    <s v="Sea"/>
    <x v="4"/>
    <n v="4087611.15"/>
  </r>
  <r>
    <s v="Cashew"/>
    <s v="Greenfield Agro Exporters Nigeria Limited"/>
    <x v="5"/>
    <s v="1/9/2023"/>
    <n v="494"/>
    <n v="30668.78"/>
    <n v="5725.02"/>
    <n v="15150377.32"/>
    <s v="Lagos"/>
    <s v="Sea"/>
    <x v="4"/>
    <n v="2828159.8800000004"/>
  </r>
  <r>
    <s v="Cashew"/>
    <s v="Greenfield Agro Exporters Nigeria Limited"/>
    <x v="5"/>
    <s v="5/27/2023"/>
    <n v="296"/>
    <n v="12168.22"/>
    <n v="6858.4"/>
    <n v="3601793.12"/>
    <s v="Lagos"/>
    <s v="Sea"/>
    <x v="4"/>
    <n v="2030086.4"/>
  </r>
  <r>
    <s v="Cashew"/>
    <s v="Farmgate Nigeria Limited"/>
    <x v="5"/>
    <s v="6/21/2023"/>
    <n v="374"/>
    <n v="37904.800000000003"/>
    <n v="8329.34"/>
    <n v="14176395.199999999"/>
    <s v="Calabar"/>
    <s v="Sea"/>
    <x v="4"/>
    <n v="3115173.16"/>
  </r>
  <r>
    <s v="Cashew"/>
    <s v="Agriplus Nigeria Limited"/>
    <x v="6"/>
    <s v="9/22/2023"/>
    <n v="287"/>
    <n v="16862.169999999998"/>
    <n v="4233.25"/>
    <n v="4839442.79"/>
    <s v="Port Harcourt"/>
    <s v="Sea"/>
    <x v="4"/>
    <n v="1214942.75"/>
  </r>
  <r>
    <s v="Cashew"/>
    <s v="Agro Export Nigeria Ltd"/>
    <x v="7"/>
    <s v="11/11/2023"/>
    <n v="608"/>
    <n v="26360.69"/>
    <n v="9315.67"/>
    <n v="16027299.52"/>
    <s v="Lagos"/>
    <s v="Sea"/>
    <x v="4"/>
    <n v="5663927.3600000003"/>
  </r>
  <r>
    <s v="Cashew"/>
    <s v="Agro Export Nigeria Ltd"/>
    <x v="7"/>
    <s v="5/9/2023"/>
    <n v="409"/>
    <n v="48643.45"/>
    <n v="3745.48"/>
    <n v="19895171.050000001"/>
    <s v="Lagos"/>
    <s v="Sea"/>
    <x v="4"/>
    <n v="1531901.32"/>
  </r>
  <r>
    <s v="Cashew"/>
    <s v="Nigeria Agro Export Company"/>
    <x v="8"/>
    <s v="12/20/2023"/>
    <n v="490"/>
    <n v="23893.95"/>
    <n v="5788.54"/>
    <n v="11708035.5"/>
    <s v="Calabar"/>
    <s v="Sea"/>
    <x v="4"/>
    <n v="2836384.6"/>
  </r>
  <r>
    <s v="Cashew"/>
    <s v="Agro Export Nigeria Ltd"/>
    <x v="8"/>
    <s v="12/4/2023"/>
    <n v="413"/>
    <n v="13305.43"/>
    <n v="7780.18"/>
    <n v="5495142.5899999999"/>
    <s v="Port Harcourt"/>
    <s v="Sea"/>
    <x v="4"/>
    <n v="3213214.3400000003"/>
  </r>
  <r>
    <s v="Cashew"/>
    <s v="Solid Agro Nigeria Limited"/>
    <x v="8"/>
    <s v="6/1/2023"/>
    <n v="290"/>
    <n v="40212.78"/>
    <n v="6892.54"/>
    <n v="11661706.199999999"/>
    <s v="Port Harcourt"/>
    <s v="Sea"/>
    <x v="4"/>
    <n v="1998836.6"/>
  </r>
  <r>
    <s v="Cashew"/>
    <s v="Greenfield Agro Exporters Nigeria Limited"/>
    <x v="9"/>
    <s v="5/23/2023"/>
    <n v="221"/>
    <n v="49351.360000000001"/>
    <n v="5461.08"/>
    <n v="10906650.560000001"/>
    <s v="Lagos"/>
    <s v="Sea"/>
    <x v="4"/>
    <n v="1206898.68"/>
  </r>
  <r>
    <s v="Cashew"/>
    <s v="Agro Export Nigeria Ltd"/>
    <x v="9"/>
    <s v="5/3/2023"/>
    <n v="600"/>
    <n v="35084.68"/>
    <n v="5515.51"/>
    <n v="21050808"/>
    <s v="Warri"/>
    <s v="Sea"/>
    <x v="4"/>
    <n v="3309306"/>
  </r>
  <r>
    <s v="Cashew"/>
    <s v="Golden Farms Nigeria Limited"/>
    <x v="10"/>
    <s v="2/8/2023"/>
    <n v="998"/>
    <n v="30576.799999999999"/>
    <n v="2142.19"/>
    <n v="30515646.399999999"/>
    <s v="Lagos"/>
    <s v="Sea"/>
    <x v="4"/>
    <n v="2137905.62"/>
  </r>
  <r>
    <s v="Cashew"/>
    <s v="Greenfield Agro Exporters Nigeria Limited"/>
    <x v="10"/>
    <s v="3/31/2023"/>
    <n v="278"/>
    <n v="28564.880000000001"/>
    <n v="8098.26"/>
    <n v="7941036.6399999997"/>
    <s v="Lagos"/>
    <s v="Sea"/>
    <x v="4"/>
    <n v="2251316.2800000003"/>
  </r>
  <r>
    <s v="Cashew"/>
    <s v="Greenfield Agro Exporters Nigeria Limited"/>
    <x v="10"/>
    <s v="3/5/2023"/>
    <n v="315"/>
    <n v="42814.92"/>
    <n v="6620.22"/>
    <n v="13486699.800000001"/>
    <s v="Lagos"/>
    <s v="Sea"/>
    <x v="4"/>
    <n v="2085369.3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">
  <r>
    <s v="Cassava"/>
    <s v="Farmgate Nigeria Limited"/>
    <x v="0"/>
    <s v="10/14/2020"/>
    <n v="702"/>
    <n v="18536.45"/>
    <n v="5105.01"/>
    <n v="13012587.9"/>
    <s v="Calabar"/>
    <s v="Sea"/>
    <x v="0"/>
    <n v="3583717.02"/>
  </r>
  <r>
    <s v="Cassava"/>
    <s v="Agro Allied Exporters Nigeria Limited"/>
    <x v="1"/>
    <s v="10/14/2020"/>
    <n v="963"/>
    <n v="29641.1"/>
    <n v="7617.73"/>
    <n v="28544379.300000001"/>
    <s v="Calabar"/>
    <s v="Sea"/>
    <x v="0"/>
    <n v="7335873.9899999993"/>
  </r>
  <r>
    <s v="Cassava"/>
    <s v="Prime Agro Exports Nigeria Limited"/>
    <x v="2"/>
    <s v="10/14/2020"/>
    <n v="405"/>
    <n v="49485.77"/>
    <n v="8763.98"/>
    <n v="20041736.850000001"/>
    <s v="Warri"/>
    <s v="Sea"/>
    <x v="0"/>
    <n v="3549411.9"/>
  </r>
  <r>
    <s v="Cassava"/>
    <s v="Agriplus Nigeria Limited"/>
    <x v="0"/>
    <s v="10/8/2020"/>
    <n v="518"/>
    <n v="11462.7"/>
    <n v="9321.44"/>
    <n v="5937678.5999999996"/>
    <s v="Warri"/>
    <s v="Sea"/>
    <x v="0"/>
    <n v="4828505.92"/>
  </r>
  <r>
    <s v="Cassava"/>
    <s v="Solid Agro Nigeria Limited"/>
    <x v="0"/>
    <s v="2/13/2020"/>
    <n v="531"/>
    <n v="16488.41"/>
    <n v="7791.27"/>
    <n v="8755345.7100000009"/>
    <s v="Warri"/>
    <s v="Sea"/>
    <x v="0"/>
    <n v="4137164.37"/>
  </r>
  <r>
    <s v="Cassava"/>
    <s v="Nigeria Agro Export Company"/>
    <x v="0"/>
    <s v="7/2/2020"/>
    <n v="690"/>
    <n v="32888.269999999997"/>
    <n v="8503.9699999999993"/>
    <n v="22692906.300000001"/>
    <s v="Lagos"/>
    <s v="Sea"/>
    <x v="0"/>
    <n v="5867739.2999999998"/>
  </r>
  <r>
    <s v="Cassava"/>
    <s v="Solid Agro Nigeria Limited"/>
    <x v="1"/>
    <s v="4/26/2020"/>
    <n v="566"/>
    <n v="10637.35"/>
    <n v="3020.33"/>
    <n v="6020740.0999999996"/>
    <s v="Calabar"/>
    <s v="Sea"/>
    <x v="0"/>
    <n v="1709506.78"/>
  </r>
  <r>
    <s v="Cassava"/>
    <s v="Solid Agro Nigeria Limited"/>
    <x v="3"/>
    <s v="12/23/2020"/>
    <n v="395"/>
    <n v="10195.24"/>
    <n v="6032.84"/>
    <n v="4027119.8"/>
    <s v="Calabar"/>
    <s v="Sea"/>
    <x v="0"/>
    <n v="2382971.8000000003"/>
  </r>
  <r>
    <s v="Cassava"/>
    <s v="Golden Farms Nigeria Limited"/>
    <x v="3"/>
    <s v="7/25/2020"/>
    <n v="765"/>
    <n v="38984.959999999999"/>
    <n v="8638.35"/>
    <n v="29823494.399999999"/>
    <s v="Warri"/>
    <s v="Sea"/>
    <x v="0"/>
    <n v="6608337.75"/>
  </r>
  <r>
    <s v="Cassava"/>
    <s v="Nigeria Agro Export Company"/>
    <x v="3"/>
    <s v="8/9/2020"/>
    <n v="504"/>
    <n v="10656.58"/>
    <n v="9979.02"/>
    <n v="5370916.3200000003"/>
    <s v="Lagos"/>
    <s v="Sea"/>
    <x v="0"/>
    <n v="5029426.08"/>
  </r>
  <r>
    <s v="Cassava"/>
    <s v="Agriplus Nigeria Limited"/>
    <x v="3"/>
    <s v="9/1/2020"/>
    <n v="302"/>
    <n v="19878.5"/>
    <n v="8056.92"/>
    <n v="6003307"/>
    <s v="Lagos"/>
    <s v="Sea"/>
    <x v="0"/>
    <n v="2433189.84"/>
  </r>
  <r>
    <s v="Cassava"/>
    <s v="Agro Allied Exporters Nigeria Limited"/>
    <x v="4"/>
    <s v="10/24/2020"/>
    <n v="885"/>
    <n v="37238.519999999997"/>
    <n v="5263.08"/>
    <n v="32956090.199999999"/>
    <s v="Lagos"/>
    <s v="Sea"/>
    <x v="0"/>
    <n v="4657825.8"/>
  </r>
  <r>
    <s v="Cassava"/>
    <s v="Nigeria Agro Export Company"/>
    <x v="4"/>
    <s v="11/13/2020"/>
    <n v="229"/>
    <n v="18212.59"/>
    <n v="3226.57"/>
    <n v="4170683.11"/>
    <s v="Warri"/>
    <s v="Sea"/>
    <x v="0"/>
    <n v="738884.53"/>
  </r>
  <r>
    <s v="Cassava"/>
    <s v="Prime Agro Exports Nigeria Limited"/>
    <x v="4"/>
    <s v="3/26/2020"/>
    <n v="534"/>
    <n v="15831.82"/>
    <n v="3835.13"/>
    <n v="8454191.8800000008"/>
    <s v="Port Harcourt"/>
    <s v="Sea"/>
    <x v="0"/>
    <n v="2047959.4200000002"/>
  </r>
  <r>
    <s v="Cassava"/>
    <s v="Prime Agro Exports Nigeria Limited"/>
    <x v="4"/>
    <s v="8/11/2020"/>
    <n v="158"/>
    <n v="24848.97"/>
    <n v="5426.09"/>
    <n v="3926137.26"/>
    <s v="Port Harcourt"/>
    <s v="Sea"/>
    <x v="0"/>
    <n v="857322.22"/>
  </r>
  <r>
    <s v="Cassava"/>
    <s v="Farmgate Nigeria Limited"/>
    <x v="5"/>
    <s v="2/21/2020"/>
    <n v="312"/>
    <n v="29465.29"/>
    <n v="8310.14"/>
    <n v="9193170.4800000004"/>
    <s v="Lagos"/>
    <s v="Sea"/>
    <x v="0"/>
    <n v="2592763.6799999997"/>
  </r>
  <r>
    <s v="Cassava"/>
    <s v="Solid Agro Nigeria Limited"/>
    <x v="5"/>
    <s v="6/26/2020"/>
    <n v="442"/>
    <n v="18782.89"/>
    <n v="5559.47"/>
    <n v="8302037.3799999999"/>
    <s v="Port Harcourt"/>
    <s v="Sea"/>
    <x v="0"/>
    <n v="2457285.7400000002"/>
  </r>
  <r>
    <s v="Cassava"/>
    <s v="Agro Export Nigeria Ltd"/>
    <x v="2"/>
    <s v="5/13/2020"/>
    <n v="895"/>
    <n v="44627.31"/>
    <n v="6484.53"/>
    <n v="39941442.450000003"/>
    <s v="Calabar"/>
    <s v="Sea"/>
    <x v="0"/>
    <n v="5803654.3499999996"/>
  </r>
  <r>
    <s v="Cassava"/>
    <s v="Prime Agro Exports Nigeria Limited"/>
    <x v="6"/>
    <s v="5/10/2020"/>
    <n v="871"/>
    <n v="41177"/>
    <n v="9144.43"/>
    <n v="35865167"/>
    <s v="Lagos"/>
    <s v="Sea"/>
    <x v="0"/>
    <n v="7964798.5300000003"/>
  </r>
  <r>
    <s v="Cassava"/>
    <s v="Nigeria Agro Export Company"/>
    <x v="6"/>
    <s v="6/28/2020"/>
    <n v="427"/>
    <n v="29828.71"/>
    <n v="2279.98"/>
    <n v="12736859.17"/>
    <s v="Lagos"/>
    <s v="Sea"/>
    <x v="0"/>
    <n v="973551.46"/>
  </r>
  <r>
    <s v="Cassava"/>
    <s v="Prime Agro Exports Nigeria Limited"/>
    <x v="6"/>
    <s v="9/10/2020"/>
    <n v="711"/>
    <n v="33178.93"/>
    <n v="7017.84"/>
    <n v="23590219.23"/>
    <s v="Lagos"/>
    <s v="Sea"/>
    <x v="0"/>
    <n v="4989684.24"/>
  </r>
  <r>
    <s v="Cassava"/>
    <s v="Nigeria Agro Export Company"/>
    <x v="6"/>
    <s v="9/5/2020"/>
    <n v="242"/>
    <n v="31257.41"/>
    <n v="4475.9799999999996"/>
    <n v="7564293.2199999997"/>
    <s v="Lagos"/>
    <s v="Sea"/>
    <x v="0"/>
    <n v="1083187.1599999999"/>
  </r>
  <r>
    <s v="Cassava"/>
    <s v="Nigerian Export Promotion Council (NEPC)"/>
    <x v="7"/>
    <s v="10/7/2020"/>
    <n v="144"/>
    <n v="19564.37"/>
    <n v="9750.77"/>
    <n v="2817269.28"/>
    <s v="Lagos"/>
    <s v="Sea"/>
    <x v="0"/>
    <n v="1404110.8800000001"/>
  </r>
  <r>
    <s v="Cassava"/>
    <s v="Solid Agro Nigeria Limited"/>
    <x v="7"/>
    <s v="11/30/2020"/>
    <n v="165"/>
    <n v="30565.62"/>
    <n v="6590.04"/>
    <n v="5043327.3"/>
    <s v="Lagos"/>
    <s v="Sea"/>
    <x v="0"/>
    <n v="1087356.6000000001"/>
  </r>
  <r>
    <s v="Cassava"/>
    <s v="Nigeria Agro Export Company"/>
    <x v="7"/>
    <s v="2/5/2020"/>
    <n v="385"/>
    <n v="49366.58"/>
    <n v="9252.64"/>
    <n v="19006133.300000001"/>
    <s v="Calabar"/>
    <s v="Sea"/>
    <x v="0"/>
    <n v="3562266.4"/>
  </r>
  <r>
    <s v="Cassava"/>
    <s v="Nigerian Export Promotion Council (NEPC)"/>
    <x v="7"/>
    <s v="6/21/2020"/>
    <n v="467"/>
    <n v="13294.58"/>
    <n v="4013.08"/>
    <n v="6208568.8600000003"/>
    <s v="Lagos"/>
    <s v="Sea"/>
    <x v="0"/>
    <n v="1874108.3599999999"/>
  </r>
  <r>
    <s v="Cassava"/>
    <s v="Agro Export Nigeria Ltd"/>
    <x v="7"/>
    <s v="8/10/2020"/>
    <n v="736"/>
    <n v="19997.900000000001"/>
    <n v="8920.82"/>
    <n v="14718454.4"/>
    <s v="Lagos"/>
    <s v="Sea"/>
    <x v="0"/>
    <n v="6565723.5199999996"/>
  </r>
  <r>
    <s v="Cassava"/>
    <s v="Nigeria Agro Export Company"/>
    <x v="8"/>
    <s v="3/20/2020"/>
    <n v="137"/>
    <n v="22503.47"/>
    <n v="4193.51"/>
    <n v="3082975.39"/>
    <s v="Lagos"/>
    <s v="Sea"/>
    <x v="0"/>
    <n v="574510.87"/>
  </r>
  <r>
    <s v="Cassava"/>
    <s v="Prime Agro Exports Nigeria Limited"/>
    <x v="8"/>
    <s v="5/2/2020"/>
    <n v="662"/>
    <n v="31310.98"/>
    <n v="6516.4"/>
    <n v="20727868.760000002"/>
    <s v="Lagos"/>
    <s v="Sea"/>
    <x v="0"/>
    <n v="4313856.8"/>
  </r>
  <r>
    <s v="Cassava"/>
    <s v="Farmgate Nigeria Limited"/>
    <x v="9"/>
    <s v="4/17/2020"/>
    <n v="192"/>
    <n v="38775.730000000003"/>
    <n v="5076.82"/>
    <n v="7444940.1600000001"/>
    <s v="Lagos"/>
    <s v="Sea"/>
    <x v="0"/>
    <n v="974749.44"/>
  </r>
  <r>
    <s v="Cassava"/>
    <s v="Nigerian Export Promotion Council (NEPC)"/>
    <x v="9"/>
    <s v="4/7/2020"/>
    <n v="825"/>
    <n v="44058.73"/>
    <n v="4559.3900000000003"/>
    <n v="36348452.25"/>
    <s v="Warri"/>
    <s v="Sea"/>
    <x v="0"/>
    <n v="3761496.7500000005"/>
  </r>
  <r>
    <s v="Cassava"/>
    <s v="Solid Agro Nigeria Limited"/>
    <x v="9"/>
    <s v="6/4/2020"/>
    <n v="748"/>
    <n v="25682.21"/>
    <n v="9748.1200000000008"/>
    <n v="19210293.079999998"/>
    <s v="Lagos"/>
    <s v="Sea"/>
    <x v="0"/>
    <n v="7291593.7600000007"/>
  </r>
  <r>
    <s v="Cassava"/>
    <s v="Prime Agro Exports Nigeria Limited"/>
    <x v="0"/>
    <s v="12/25/2021"/>
    <n v="584"/>
    <n v="44793.37"/>
    <n v="7045.51"/>
    <n v="26159328.079999998"/>
    <s v="Lagos"/>
    <s v="Sea"/>
    <x v="1"/>
    <n v="4114577.8400000003"/>
  </r>
  <r>
    <s v="Cassava"/>
    <s v="Nigerian Export Promotion Council (NEPC)"/>
    <x v="0"/>
    <s v="3/16/2021"/>
    <n v="634"/>
    <n v="20602.990000000002"/>
    <n v="5428.66"/>
    <n v="13062295.66"/>
    <s v="Calabar"/>
    <s v="Sea"/>
    <x v="1"/>
    <n v="3441770.44"/>
  </r>
  <r>
    <s v="Cassava"/>
    <s v="Agriplus Nigeria Limited"/>
    <x v="3"/>
    <s v="3/16/2021"/>
    <n v="275"/>
    <n v="21247.69"/>
    <n v="5273.59"/>
    <n v="5843114.75"/>
    <s v="Lagos"/>
    <s v="Sea"/>
    <x v="1"/>
    <n v="1450237.25"/>
  </r>
  <r>
    <s v="Cassava"/>
    <s v="Agro Export Nigeria Ltd"/>
    <x v="0"/>
    <s v="6/23/2021"/>
    <n v="601"/>
    <n v="45644.07"/>
    <n v="4474.6400000000003"/>
    <n v="27432086.07"/>
    <s v="Warri"/>
    <s v="Sea"/>
    <x v="1"/>
    <n v="2689258.64"/>
  </r>
  <r>
    <s v="Cassava"/>
    <s v="Golden Farms Nigeria Limited"/>
    <x v="0"/>
    <s v="6/9/2021"/>
    <n v="862"/>
    <n v="10713.54"/>
    <n v="4852.22"/>
    <n v="9235071.4800000004"/>
    <s v="Lagos"/>
    <s v="Sea"/>
    <x v="1"/>
    <n v="4182613.64"/>
  </r>
  <r>
    <s v="Cassava"/>
    <s v="Golden Farms Nigeria Limited"/>
    <x v="1"/>
    <s v="12/27/2021"/>
    <n v="881"/>
    <n v="47757.87"/>
    <n v="6806.86"/>
    <n v="42074683.469999999"/>
    <s v="Port Harcourt"/>
    <s v="Sea"/>
    <x v="1"/>
    <n v="5996843.6600000001"/>
  </r>
  <r>
    <s v="Cassava"/>
    <s v="Greenfield Agro Exporters Nigeria Limited"/>
    <x v="1"/>
    <s v="12/6/2021"/>
    <n v="364"/>
    <n v="20676.03"/>
    <n v="6076.57"/>
    <n v="7526074.9199999999"/>
    <s v="Lagos"/>
    <s v="Sea"/>
    <x v="1"/>
    <n v="2211871.48"/>
  </r>
  <r>
    <s v="Cassava"/>
    <s v="Agro Export Nigeria Ltd"/>
    <x v="3"/>
    <s v="3/14/2021"/>
    <n v="641"/>
    <n v="22151.23"/>
    <n v="9884.51"/>
    <n v="14198938.43"/>
    <s v="Port Harcourt"/>
    <s v="Sea"/>
    <x v="1"/>
    <n v="6335970.9100000001"/>
  </r>
  <r>
    <s v="Cassava"/>
    <s v="Golden Farms Nigeria Limited"/>
    <x v="3"/>
    <s v="4/19/2021"/>
    <n v="155"/>
    <n v="19830.810000000001"/>
    <n v="9336.83"/>
    <n v="3073775.55"/>
    <s v="Lagos"/>
    <s v="Sea"/>
    <x v="1"/>
    <n v="1447208.65"/>
  </r>
  <r>
    <s v="Cassava"/>
    <s v="Greenfield Agro Exporters Nigeria Limited"/>
    <x v="3"/>
    <s v="4/2/2021"/>
    <n v="541"/>
    <n v="49593.68"/>
    <n v="5788.97"/>
    <n v="26830180.879999999"/>
    <s v="Lagos"/>
    <s v="Sea"/>
    <x v="1"/>
    <n v="3131832.77"/>
  </r>
  <r>
    <s v="Cassava"/>
    <s v="Golden Farms Nigeria Limited"/>
    <x v="5"/>
    <s v="4/2/2021"/>
    <n v="960"/>
    <n v="42119.76"/>
    <n v="7291.26"/>
    <n v="40434969.600000001"/>
    <s v="Lagos"/>
    <s v="Sea"/>
    <x v="1"/>
    <n v="6999609.6000000006"/>
  </r>
  <r>
    <s v="Cassava"/>
    <s v="Solid Agro Nigeria Limited"/>
    <x v="3"/>
    <s v="6/1/2021"/>
    <n v="501"/>
    <n v="39715.39"/>
    <n v="6170.93"/>
    <n v="19897410.390000001"/>
    <s v="Calabar"/>
    <s v="Sea"/>
    <x v="1"/>
    <n v="3091635.93"/>
  </r>
  <r>
    <s v="Cassava"/>
    <s v="Golden Farms Nigeria Limited"/>
    <x v="4"/>
    <s v="8/6/2021"/>
    <n v="184"/>
    <n v="11548.45"/>
    <n v="4562.51"/>
    <n v="2124914.7999999998"/>
    <s v="Port Harcourt"/>
    <s v="Sea"/>
    <x v="1"/>
    <n v="839501.84000000008"/>
  </r>
  <r>
    <s v="Cassava"/>
    <s v="Golden Farms Nigeria Limited"/>
    <x v="5"/>
    <s v="1/20/2021"/>
    <n v="766"/>
    <n v="13513.38"/>
    <n v="4155"/>
    <n v="10351249.08"/>
    <s v="Lagos"/>
    <s v="Sea"/>
    <x v="1"/>
    <n v="3182730"/>
  </r>
  <r>
    <s v="Cassava"/>
    <s v="Prime Agro Exports Nigeria Limited"/>
    <x v="5"/>
    <s v="8/29/2021"/>
    <n v="493"/>
    <n v="26013.72"/>
    <n v="5430.98"/>
    <n v="12824763.960000001"/>
    <s v="Port Harcourt"/>
    <s v="Sea"/>
    <x v="1"/>
    <n v="2677473.1399999997"/>
  </r>
  <r>
    <s v="Cassava"/>
    <s v="Farmgate Nigeria Limited"/>
    <x v="2"/>
    <s v="10/15/2021"/>
    <n v="987"/>
    <n v="42840.93"/>
    <n v="7044.67"/>
    <n v="42283997.909999996"/>
    <s v="Lagos"/>
    <s v="Sea"/>
    <x v="1"/>
    <n v="6953089.29"/>
  </r>
  <r>
    <s v="Cassava"/>
    <s v="Prime Agro Exports Nigeria Limited"/>
    <x v="2"/>
    <s v="12/21/2021"/>
    <n v="243"/>
    <n v="29602.28"/>
    <n v="9786.18"/>
    <n v="7193354.04"/>
    <s v="Warri"/>
    <s v="Sea"/>
    <x v="1"/>
    <n v="2378041.7400000002"/>
  </r>
  <r>
    <s v="Cassava"/>
    <s v="Solid Agro Nigeria Limited"/>
    <x v="6"/>
    <s v="3/26/2021"/>
    <n v="304"/>
    <n v="40982.46"/>
    <n v="9884.64"/>
    <n v="12458667.84"/>
    <s v="Lagos"/>
    <s v="Sea"/>
    <x v="1"/>
    <n v="3004930.5599999996"/>
  </r>
  <r>
    <s v="Cassava"/>
    <s v="Nigeria Agro Export Company"/>
    <x v="6"/>
    <s v="5/18/2021"/>
    <n v="347"/>
    <n v="42921.85"/>
    <n v="8708.69"/>
    <n v="14893881.949999999"/>
    <s v="Warri"/>
    <s v="Sea"/>
    <x v="1"/>
    <n v="3021915.43"/>
  </r>
  <r>
    <s v="Cassava"/>
    <s v="Golden Farms Nigeria Limited"/>
    <x v="6"/>
    <s v="6/8/2021"/>
    <n v="506"/>
    <n v="37983.199999999997"/>
    <n v="5305.54"/>
    <n v="19219499.199999999"/>
    <s v="Calabar"/>
    <s v="Sea"/>
    <x v="1"/>
    <n v="2684603.2399999998"/>
  </r>
  <r>
    <s v="Cassava"/>
    <s v="Agro Export Nigeria Ltd"/>
    <x v="6"/>
    <s v="7/16/2021"/>
    <n v="182"/>
    <n v="11360.04"/>
    <n v="3424.28"/>
    <n v="2067527.28"/>
    <s v="Calabar"/>
    <s v="Sea"/>
    <x v="1"/>
    <n v="623218.96000000008"/>
  </r>
  <r>
    <s v="Cassava"/>
    <s v="Prime Agro Exports Nigeria Limited"/>
    <x v="7"/>
    <s v="3/13/2021"/>
    <n v="928"/>
    <n v="38172.49"/>
    <n v="7185.46"/>
    <n v="35424070.719999999"/>
    <s v="Lagos"/>
    <s v="Sea"/>
    <x v="1"/>
    <n v="6668106.8799999999"/>
  </r>
  <r>
    <s v="Cassava"/>
    <s v="Nigeria Agro Export Company"/>
    <x v="7"/>
    <s v="4/30/2021"/>
    <n v="377"/>
    <n v="38436.410000000003"/>
    <n v="7116.02"/>
    <n v="14490526.57"/>
    <s v="Lagos"/>
    <s v="Sea"/>
    <x v="1"/>
    <n v="2682739.54"/>
  </r>
  <r>
    <s v="Cassava"/>
    <s v="Solid Agro Nigeria Limited"/>
    <x v="8"/>
    <s v="9/20/2021"/>
    <n v="194"/>
    <n v="13561.52"/>
    <n v="9366.61"/>
    <n v="2630934.88"/>
    <s v="Calabar"/>
    <s v="Sea"/>
    <x v="1"/>
    <n v="1817122.34"/>
  </r>
  <r>
    <s v="Cassava"/>
    <s v="Solid Agro Nigeria Limited"/>
    <x v="9"/>
    <s v="12/20/2021"/>
    <n v="375"/>
    <n v="14459.63"/>
    <n v="7873.61"/>
    <n v="5422361.25"/>
    <s v="Lagos"/>
    <s v="Sea"/>
    <x v="1"/>
    <n v="2952603.75"/>
  </r>
  <r>
    <s v="Cassava"/>
    <s v="Golden Farms Nigeria Limited"/>
    <x v="9"/>
    <s v="2/12/2021"/>
    <n v="793"/>
    <n v="45126.35"/>
    <n v="5472.16"/>
    <n v="35785195.549999997"/>
    <s v="Lagos"/>
    <s v="Sea"/>
    <x v="1"/>
    <n v="4339422.88"/>
  </r>
  <r>
    <s v="Cassava"/>
    <s v="Golden Farms Nigeria Limited"/>
    <x v="9"/>
    <s v="2/6/2021"/>
    <n v="884"/>
    <n v="34327.58"/>
    <n v="7035.55"/>
    <n v="30345580.719999999"/>
    <s v="Lagos"/>
    <s v="Sea"/>
    <x v="1"/>
    <n v="6219426.2000000002"/>
  </r>
  <r>
    <s v="Cassava"/>
    <s v="Agriplus Nigeria Limited"/>
    <x v="9"/>
    <s v="7/22/2021"/>
    <n v="394"/>
    <n v="10137.629999999999"/>
    <n v="9407.81"/>
    <n v="3994226.22"/>
    <s v="Lagos"/>
    <s v="Sea"/>
    <x v="1"/>
    <n v="3706677.1399999997"/>
  </r>
  <r>
    <s v="Cassava"/>
    <s v="Golden Farms Nigeria Limited"/>
    <x v="9"/>
    <s v="7/5/2021"/>
    <n v="805"/>
    <n v="40476.83"/>
    <n v="9454.84"/>
    <n v="32583848.149999999"/>
    <s v="Port Harcourt"/>
    <s v="Sea"/>
    <x v="1"/>
    <n v="7611146.2000000002"/>
  </r>
  <r>
    <s v="Cassava"/>
    <s v="Golden Farms Nigeria Limited"/>
    <x v="0"/>
    <s v="11/30/2022"/>
    <n v="276"/>
    <n v="11216.66"/>
    <n v="4708.95"/>
    <n v="3095798.16"/>
    <s v="Calabar"/>
    <s v="Sea"/>
    <x v="2"/>
    <n v="1299670.2"/>
  </r>
  <r>
    <s v="Cassava"/>
    <s v="Solid Agro Nigeria Limited"/>
    <x v="0"/>
    <s v="12/18/2022"/>
    <n v="409"/>
    <n v="34153.61"/>
    <n v="9814.7199999999993"/>
    <n v="13968826.49"/>
    <s v="Lagos"/>
    <s v="Sea"/>
    <x v="2"/>
    <n v="4014220.4799999995"/>
  </r>
  <r>
    <s v="Cassava"/>
    <s v="Agriplus Nigeria Limited"/>
    <x v="0"/>
    <s v="2/13/2022"/>
    <n v="965"/>
    <n v="36870"/>
    <n v="4666.84"/>
    <n v="35579550"/>
    <s v="Warri"/>
    <s v="Sea"/>
    <x v="2"/>
    <n v="4503500.6000000006"/>
  </r>
  <r>
    <s v="Cassava"/>
    <s v="Greenfield Agro Exporters Nigeria Limited"/>
    <x v="0"/>
    <s v="3/16/2022"/>
    <n v="967"/>
    <n v="17287.05"/>
    <n v="9822.65"/>
    <n v="16716577.35"/>
    <s v="Lagos"/>
    <s v="Sea"/>
    <x v="2"/>
    <n v="9498502.5499999989"/>
  </r>
  <r>
    <s v="Cassava"/>
    <s v="Agro Export Nigeria Ltd"/>
    <x v="0"/>
    <s v="3/29/2022"/>
    <n v="337"/>
    <n v="15499.43"/>
    <n v="3381.24"/>
    <n v="5223307.91"/>
    <s v="Lagos"/>
    <s v="Sea"/>
    <x v="2"/>
    <n v="1139477.8799999999"/>
  </r>
  <r>
    <s v="Cassava"/>
    <s v="Farmgate Nigeria Limited"/>
    <x v="0"/>
    <s v="3/9/2022"/>
    <n v="907"/>
    <n v="17899.88"/>
    <n v="6976.49"/>
    <n v="16235191.16"/>
    <s v="Lagos"/>
    <s v="Sea"/>
    <x v="2"/>
    <n v="6327676.4299999997"/>
  </r>
  <r>
    <s v="Cassava"/>
    <s v="Golden Farms Nigeria Limited"/>
    <x v="0"/>
    <s v="5/2/2022"/>
    <n v="928"/>
    <n v="22893.46"/>
    <n v="4425.03"/>
    <n v="21245130.879999999"/>
    <s v="Lagos"/>
    <s v="Sea"/>
    <x v="2"/>
    <n v="4106427.84"/>
  </r>
  <r>
    <s v="Cassava"/>
    <s v="Agro Allied Exporters Nigeria Limited"/>
    <x v="0"/>
    <s v="7/27/2022"/>
    <n v="142"/>
    <n v="28251.37"/>
    <n v="7796.85"/>
    <n v="4011694.54"/>
    <s v="Lagos"/>
    <s v="Sea"/>
    <x v="2"/>
    <n v="1107152.7"/>
  </r>
  <r>
    <s v="Cassava"/>
    <s v="Nigeria Agro Export Company"/>
    <x v="0"/>
    <s v="8/25/2022"/>
    <n v="204"/>
    <n v="17510.169999999998"/>
    <n v="9636.0400000000009"/>
    <n v="3572074.68"/>
    <s v="Port Harcourt"/>
    <s v="Sea"/>
    <x v="2"/>
    <n v="1965752.1600000001"/>
  </r>
  <r>
    <s v="Cassava"/>
    <s v="Nigeria Agro Export Company"/>
    <x v="1"/>
    <s v="8/5/2022"/>
    <n v="261"/>
    <n v="18757.63"/>
    <n v="2017.08"/>
    <n v="4895741.43"/>
    <s v="Lagos"/>
    <s v="Sea"/>
    <x v="2"/>
    <n v="526457.88"/>
  </r>
  <r>
    <s v="Cassava"/>
    <s v="Nigeria Agro Export Company"/>
    <x v="3"/>
    <s v="11/8/2022"/>
    <n v="323"/>
    <n v="41562.660000000003"/>
    <n v="7492.8"/>
    <n v="13424739.18"/>
    <s v="Lagos"/>
    <s v="Sea"/>
    <x v="2"/>
    <n v="2420174.4"/>
  </r>
  <r>
    <s v="Cassava"/>
    <s v="Agriplus Nigeria Limited"/>
    <x v="3"/>
    <s v="2/1/2022"/>
    <n v="516"/>
    <n v="35244.870000000003"/>
    <n v="6455.99"/>
    <n v="18186352.920000002"/>
    <s v="Lagos"/>
    <s v="Sea"/>
    <x v="2"/>
    <n v="3331290.84"/>
  </r>
  <r>
    <s v="Cassava"/>
    <s v="Golden Farms Nigeria Limited"/>
    <x v="3"/>
    <s v="4/26/2022"/>
    <n v="185"/>
    <n v="14847.32"/>
    <n v="3544.82"/>
    <n v="2746754.2"/>
    <s v="Port Harcourt"/>
    <s v="Sea"/>
    <x v="2"/>
    <n v="655791.70000000007"/>
  </r>
  <r>
    <s v="Cassava"/>
    <s v="Solid Agro Nigeria Limited"/>
    <x v="3"/>
    <s v="7/26/2022"/>
    <n v="205"/>
    <n v="19635.919999999998"/>
    <n v="4458.43"/>
    <n v="4025363.6"/>
    <s v="Port Harcourt"/>
    <s v="Sea"/>
    <x v="2"/>
    <n v="913978.15"/>
  </r>
  <r>
    <s v="Cassava"/>
    <s v="Farmgate Nigeria Limited"/>
    <x v="6"/>
    <s v="7/26/2022"/>
    <n v="370"/>
    <n v="11067.38"/>
    <n v="3708.85"/>
    <n v="4094930.6"/>
    <s v="Port Harcourt"/>
    <s v="Sea"/>
    <x v="2"/>
    <n v="1372274.5"/>
  </r>
  <r>
    <s v="Cassava"/>
    <s v="Prime Agro Exports Nigeria Limited"/>
    <x v="3"/>
    <s v="9/29/2022"/>
    <n v="438"/>
    <n v="22625.33"/>
    <n v="6130.91"/>
    <n v="9909894.5399999991"/>
    <s v="Warri"/>
    <s v="Sea"/>
    <x v="2"/>
    <n v="2685338.58"/>
  </r>
  <r>
    <s v="Cassava"/>
    <s v="Solid Agro Nigeria Limited"/>
    <x v="4"/>
    <s v="3/4/2022"/>
    <n v="500"/>
    <n v="48937.95"/>
    <n v="2835.78"/>
    <n v="24468975"/>
    <s v="Lagos"/>
    <s v="Sea"/>
    <x v="2"/>
    <n v="1417890"/>
  </r>
  <r>
    <s v="Cassava"/>
    <s v="Prime Agro Exports Nigeria Limited"/>
    <x v="4"/>
    <s v="9/22/2022"/>
    <n v="326"/>
    <n v="36801.15"/>
    <n v="6544.27"/>
    <n v="11997174.9"/>
    <s v="Lagos"/>
    <s v="Sea"/>
    <x v="2"/>
    <n v="2133432.02"/>
  </r>
  <r>
    <s v="Cassava"/>
    <s v="Nigeria Agro Export Company"/>
    <x v="5"/>
    <s v="3/15/2022"/>
    <n v="163"/>
    <n v="16244.54"/>
    <n v="9874.64"/>
    <n v="2647860.02"/>
    <s v="Lagos"/>
    <s v="Sea"/>
    <x v="2"/>
    <n v="1609566.3199999998"/>
  </r>
  <r>
    <s v="Cassava"/>
    <s v="Agro Export Nigeria Ltd"/>
    <x v="2"/>
    <s v="9/10/2022"/>
    <n v="778"/>
    <n v="49985.86"/>
    <n v="8415.43"/>
    <n v="38888999.079999998"/>
    <s v="Warri"/>
    <s v="Sea"/>
    <x v="2"/>
    <n v="6547204.54"/>
  </r>
  <r>
    <s v="Cassava"/>
    <s v="Farmgate Nigeria Limited"/>
    <x v="6"/>
    <s v="10/11/2022"/>
    <n v="150"/>
    <n v="23193.26"/>
    <n v="4943.25"/>
    <n v="3478989"/>
    <s v="Warri"/>
    <s v="Sea"/>
    <x v="2"/>
    <n v="741487.5"/>
  </r>
  <r>
    <s v="Cassava"/>
    <s v="Nigerian Export Promotion Council (NEPC)"/>
    <x v="6"/>
    <s v="12/23/2022"/>
    <n v="795"/>
    <n v="11706.54"/>
    <n v="3838.45"/>
    <n v="9306699.3000000007"/>
    <s v="Lagos"/>
    <s v="Sea"/>
    <x v="2"/>
    <n v="3051567.75"/>
  </r>
  <r>
    <s v="Cassava"/>
    <s v="Prime Agro Exports Nigeria Limited"/>
    <x v="7"/>
    <s v="10/1/2022"/>
    <n v="259"/>
    <n v="12895.17"/>
    <n v="8669.42"/>
    <n v="3339849.03"/>
    <s v="Port Harcourt"/>
    <s v="Sea"/>
    <x v="2"/>
    <n v="2245379.7799999998"/>
  </r>
  <r>
    <s v="Cassava"/>
    <s v="Solid Agro Nigeria Limited"/>
    <x v="7"/>
    <s v="10/4/2022"/>
    <n v="269"/>
    <n v="28501.42"/>
    <n v="4486.79"/>
    <n v="7666881.9800000004"/>
    <s v="Lagos"/>
    <s v="Sea"/>
    <x v="2"/>
    <n v="1206946.51"/>
  </r>
  <r>
    <s v="Cassava"/>
    <s v="Agro Allied Exporters Nigeria Limited"/>
    <x v="7"/>
    <s v="10/9/2022"/>
    <n v="738"/>
    <n v="39223.54"/>
    <n v="9221.4500000000007"/>
    <n v="28946972.52"/>
    <s v="Warri"/>
    <s v="Sea"/>
    <x v="2"/>
    <n v="6805430.1000000006"/>
  </r>
  <r>
    <s v="Cassava"/>
    <s v="Nigerian Export Promotion Council (NEPC)"/>
    <x v="7"/>
    <s v="12/16/2022"/>
    <n v="786"/>
    <n v="16810.37"/>
    <n v="2778.06"/>
    <n v="13212950.82"/>
    <s v="Calabar"/>
    <s v="Sea"/>
    <x v="2"/>
    <n v="2183555.16"/>
  </r>
  <r>
    <s v="Cassava"/>
    <s v="Golden Farms Nigeria Limited"/>
    <x v="8"/>
    <s v="5/9/2022"/>
    <n v="301"/>
    <n v="49306.9"/>
    <n v="7022.61"/>
    <n v="14841376.9"/>
    <s v="Lagos"/>
    <s v="Sea"/>
    <x v="2"/>
    <n v="2113805.61"/>
  </r>
  <r>
    <s v="Cassava"/>
    <s v="Agro Allied Exporters Nigeria Limited"/>
    <x v="8"/>
    <s v="6/3/2022"/>
    <n v="926"/>
    <n v="41066.230000000003"/>
    <n v="7386.88"/>
    <n v="38027328.979999997"/>
    <s v="Calabar"/>
    <s v="Sea"/>
    <x v="2"/>
    <n v="6840250.8799999999"/>
  </r>
  <r>
    <s v="Cassava"/>
    <s v="Nigeria Agro Export Company"/>
    <x v="9"/>
    <s v="3/23/2022"/>
    <n v="554"/>
    <n v="12910.73"/>
    <n v="6115.26"/>
    <n v="7152544.4199999999"/>
    <s v="Lagos"/>
    <s v="Sea"/>
    <x v="2"/>
    <n v="3387854.04"/>
  </r>
  <r>
    <s v="Cassava"/>
    <s v="Agriplus Nigeria Limited"/>
    <x v="9"/>
    <s v="5/17/2022"/>
    <n v="780"/>
    <n v="22739.59"/>
    <n v="2869.67"/>
    <n v="17736880.199999999"/>
    <s v="Lagos"/>
    <s v="Sea"/>
    <x v="2"/>
    <n v="2238342.6"/>
  </r>
  <r>
    <s v="Cassava"/>
    <s v="Nigeria Agro Export Company"/>
    <x v="9"/>
    <s v="9/12/2022"/>
    <n v="512"/>
    <n v="27999.61"/>
    <n v="8423.7999999999993"/>
    <n v="14335800.32"/>
    <s v="Lagos"/>
    <s v="Sea"/>
    <x v="2"/>
    <n v="4312985.5999999996"/>
  </r>
  <r>
    <s v="Cassava"/>
    <s v="Greenfield Agro Exporters Nigeria Limited"/>
    <x v="0"/>
    <s v="12/30/2023"/>
    <n v="769"/>
    <n v="32821.57"/>
    <n v="8150.57"/>
    <n v="25239787.329999998"/>
    <s v="Lagos"/>
    <s v="Sea"/>
    <x v="3"/>
    <n v="6267788.3300000001"/>
  </r>
  <r>
    <s v="Cassava"/>
    <s v="Agro Export Nigeria Ltd"/>
    <x v="0"/>
    <s v="3/9/2023"/>
    <n v="553"/>
    <n v="25956.06"/>
    <n v="4281.7700000000004"/>
    <n v="14353701.18"/>
    <s v="Lagos"/>
    <s v="Sea"/>
    <x v="3"/>
    <n v="2367818.81"/>
  </r>
  <r>
    <s v="Cassava"/>
    <s v="Farmgate Nigeria Limited"/>
    <x v="2"/>
    <s v="3/9/2023"/>
    <n v="115"/>
    <n v="45869.9"/>
    <n v="7995.95"/>
    <n v="5275038.5"/>
    <s v="Lagos"/>
    <s v="Sea"/>
    <x v="3"/>
    <n v="919534.25"/>
  </r>
  <r>
    <s v="Cassava"/>
    <s v="Solid Agro Nigeria Limited"/>
    <x v="0"/>
    <s v="8/21/2023"/>
    <n v="672"/>
    <n v="10006.540000000001"/>
    <n v="8641.69"/>
    <n v="6724394.8799999999"/>
    <s v="Port Harcourt"/>
    <s v="Sea"/>
    <x v="3"/>
    <n v="5807215.6800000006"/>
  </r>
  <r>
    <s v="Cassava"/>
    <s v="Nigerian Export Promotion Council (NEPC)"/>
    <x v="1"/>
    <s v="11/28/2023"/>
    <n v="991"/>
    <n v="31527.16"/>
    <n v="3766.01"/>
    <n v="31243415.559999999"/>
    <s v="Calabar"/>
    <s v="Sea"/>
    <x v="3"/>
    <n v="3732115.91"/>
  </r>
  <r>
    <s v="Cassava"/>
    <s v="Farmgate Nigeria Limited"/>
    <x v="1"/>
    <s v="11/28/2023"/>
    <n v="949"/>
    <n v="20213.71"/>
    <n v="6290.74"/>
    <n v="19182810.789999999"/>
    <s v="Lagos"/>
    <s v="Sea"/>
    <x v="3"/>
    <n v="5969912.2599999998"/>
  </r>
  <r>
    <s v="Cassava"/>
    <s v="Golden Farms Nigeria Limited"/>
    <x v="1"/>
    <s v="12/3/2023"/>
    <n v="634"/>
    <n v="24679.19"/>
    <n v="3215.36"/>
    <n v="15646606.460000001"/>
    <s v="Lagos"/>
    <s v="Sea"/>
    <x v="3"/>
    <n v="2038538.24"/>
  </r>
  <r>
    <s v="Cassava"/>
    <s v="Prime Agro Exports Nigeria Limited"/>
    <x v="1"/>
    <s v="4/15/2023"/>
    <n v="627"/>
    <n v="49380.09"/>
    <n v="3564.84"/>
    <n v="30961316.43"/>
    <s v="Lagos"/>
    <s v="Sea"/>
    <x v="3"/>
    <n v="2235154.6800000002"/>
  </r>
  <r>
    <s v="Cassava"/>
    <s v="Agriplus Nigeria Limited"/>
    <x v="3"/>
    <s v="10/14/2023"/>
    <n v="823"/>
    <n v="14356.92"/>
    <n v="7452.1"/>
    <n v="11815745.16"/>
    <s v="Lagos"/>
    <s v="Sea"/>
    <x v="3"/>
    <n v="6133078.3000000007"/>
  </r>
  <r>
    <s v="Cassava"/>
    <s v="Agro Allied Exporters Nigeria Limited"/>
    <x v="3"/>
    <s v="10/24/2023"/>
    <n v="920"/>
    <n v="44165.77"/>
    <n v="4422.3500000000004"/>
    <n v="40632508.399999999"/>
    <s v="Lagos"/>
    <s v="Sea"/>
    <x v="3"/>
    <n v="4068562.0000000005"/>
  </r>
  <r>
    <s v="Cassava"/>
    <s v="Agriplus Nigeria Limited"/>
    <x v="3"/>
    <s v="4/11/2023"/>
    <n v="398"/>
    <n v="14862.53"/>
    <n v="2323.59"/>
    <n v="5915286.9400000004"/>
    <s v="Lagos"/>
    <s v="Sea"/>
    <x v="3"/>
    <n v="924788.82000000007"/>
  </r>
  <r>
    <s v="Cassava"/>
    <s v="Greenfield Agro Exporters Nigeria Limited"/>
    <x v="3"/>
    <s v="7/24/2023"/>
    <n v="841"/>
    <n v="43215.55"/>
    <n v="9448.5499999999993"/>
    <n v="36344277.549999997"/>
    <s v="Lagos"/>
    <s v="Sea"/>
    <x v="3"/>
    <n v="7946230.5499999998"/>
  </r>
  <r>
    <s v="Cassava"/>
    <s v="Prime Agro Exports Nigeria Limited"/>
    <x v="3"/>
    <s v="9/8/2023"/>
    <n v="205"/>
    <n v="26036.36"/>
    <n v="8100.15"/>
    <n v="5337453.8"/>
    <s v="Calabar"/>
    <s v="Sea"/>
    <x v="3"/>
    <n v="1660530.75"/>
  </r>
  <r>
    <s v="Cassava"/>
    <s v="Agro Export Nigeria Ltd"/>
    <x v="4"/>
    <s v="5/15/2023"/>
    <n v="684"/>
    <n v="19040.759999999998"/>
    <n v="4601.97"/>
    <n v="13023879.84"/>
    <s v="Warri"/>
    <s v="Sea"/>
    <x v="3"/>
    <n v="3147747.48"/>
  </r>
  <r>
    <s v="Cassava"/>
    <s v="Nigeria Agro Export Company"/>
    <x v="4"/>
    <s v="6/4/2023"/>
    <n v="314"/>
    <n v="33005.79"/>
    <n v="7392.48"/>
    <n v="10363818.060000001"/>
    <s v="Warri"/>
    <s v="Sea"/>
    <x v="3"/>
    <n v="2321238.7199999997"/>
  </r>
  <r>
    <s v="Cassava"/>
    <s v="Greenfield Agro Exporters Nigeria Limited"/>
    <x v="4"/>
    <s v="9/10/2023"/>
    <n v="415"/>
    <n v="43916.15"/>
    <n v="2860.69"/>
    <n v="18225202.25"/>
    <s v="Lagos"/>
    <s v="Sea"/>
    <x v="3"/>
    <n v="1187186.3500000001"/>
  </r>
  <r>
    <s v="Cassava"/>
    <s v="Farmgate Nigeria Limited"/>
    <x v="5"/>
    <s v="12/1/2023"/>
    <n v="540"/>
    <n v="40199.839999999997"/>
    <n v="9026.4"/>
    <n v="21707913.600000001"/>
    <s v="Lagos"/>
    <s v="Sea"/>
    <x v="3"/>
    <n v="4874256"/>
  </r>
  <r>
    <s v="Cassava"/>
    <s v="Solid Agro Nigeria Limited"/>
    <x v="2"/>
    <s v="11/22/2023"/>
    <n v="118"/>
    <n v="48123.38"/>
    <n v="4260.18"/>
    <n v="5678558.8399999999"/>
    <s v="Lagos"/>
    <s v="Sea"/>
    <x v="3"/>
    <n v="502701.24000000005"/>
  </r>
  <r>
    <s v="Cassava"/>
    <s v="Nigeria Agro Export Company"/>
    <x v="2"/>
    <s v="11/4/2023"/>
    <n v="635"/>
    <n v="46224.92"/>
    <n v="4473.09"/>
    <n v="29352824.199999999"/>
    <s v="Lagos"/>
    <s v="Sea"/>
    <x v="3"/>
    <n v="2840412.15"/>
  </r>
  <r>
    <s v="Cassava"/>
    <s v="Agro Allied Exporters Nigeria Limited"/>
    <x v="2"/>
    <s v="4/14/2023"/>
    <n v="401"/>
    <n v="29722.65"/>
    <n v="9701.73"/>
    <n v="11918782.65"/>
    <s v="Lagos"/>
    <s v="Sea"/>
    <x v="3"/>
    <n v="3890393.73"/>
  </r>
  <r>
    <s v="Cassava"/>
    <s v="Solid Agro Nigeria Limited"/>
    <x v="6"/>
    <s v="11/26/2023"/>
    <n v="939"/>
    <n v="47201.02"/>
    <n v="6623.62"/>
    <n v="44321757.780000001"/>
    <s v="Lagos"/>
    <s v="Sea"/>
    <x v="3"/>
    <n v="6219579.1799999997"/>
  </r>
  <r>
    <s v="Cassava"/>
    <s v="Solid Agro Nigeria Limited"/>
    <x v="6"/>
    <s v="8/27/2023"/>
    <n v="341"/>
    <n v="49196.09"/>
    <n v="2640.45"/>
    <n v="16775866.689999999"/>
    <s v="Lagos"/>
    <s v="Sea"/>
    <x v="3"/>
    <n v="900393.45"/>
  </r>
  <r>
    <s v="Cassava"/>
    <s v="Greenfield Agro Exporters Nigeria Limited"/>
    <x v="6"/>
    <s v="9/20/2023"/>
    <n v="681"/>
    <n v="26580.76"/>
    <n v="8722.94"/>
    <n v="18101497.559999999"/>
    <s v="Warri"/>
    <s v="Sea"/>
    <x v="3"/>
    <n v="5940322.1400000006"/>
  </r>
  <r>
    <s v="Cassava"/>
    <s v="Agriplus Nigeria Limited"/>
    <x v="7"/>
    <s v="6/28/2023"/>
    <n v="778"/>
    <n v="15017.53"/>
    <n v="9283.59"/>
    <n v="11683638.34"/>
    <s v="Port Harcourt"/>
    <s v="Sea"/>
    <x v="3"/>
    <n v="7222633.0200000005"/>
  </r>
  <r>
    <s v="Cassava"/>
    <s v="Prime Agro Exports Nigeria Limited"/>
    <x v="7"/>
    <s v="6/30/2023"/>
    <n v="206"/>
    <n v="23127.65"/>
    <n v="6971.83"/>
    <n v="4764295.9000000004"/>
    <s v="Calabar"/>
    <s v="Sea"/>
    <x v="3"/>
    <n v="1436196.98"/>
  </r>
  <r>
    <s v="Cassava"/>
    <s v="Nigeria Agro Export Company"/>
    <x v="8"/>
    <s v="1/13/2023"/>
    <n v="787"/>
    <n v="28262.15"/>
    <n v="4658.3"/>
    <n v="22242312.050000001"/>
    <s v="Lagos"/>
    <s v="Sea"/>
    <x v="3"/>
    <n v="3666082.1"/>
  </r>
  <r>
    <s v="Cassava"/>
    <s v="Agro Export Nigeria Ltd"/>
    <x v="8"/>
    <s v="11/12/2023"/>
    <n v="748"/>
    <n v="25065.32"/>
    <n v="7742.48"/>
    <n v="18748859.359999999"/>
    <s v="Lagos"/>
    <s v="Sea"/>
    <x v="3"/>
    <n v="5791375.04"/>
  </r>
  <r>
    <s v="Cassava"/>
    <s v="Prime Agro Exports Nigeria Limited"/>
    <x v="9"/>
    <s v="2/17/2023"/>
    <n v="611"/>
    <n v="21839.94"/>
    <n v="7020.58"/>
    <n v="13344203.34"/>
    <s v="Calabar"/>
    <s v="Sea"/>
    <x v="3"/>
    <n v="4289574.38"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6">
  <r>
    <m/>
    <s v="Cocoa"/>
    <s v="Nigeria Agro Export Company"/>
    <x v="0"/>
    <s v="12/7/2020"/>
    <n v="464"/>
    <n v="17947.18"/>
    <n v="4171.95"/>
    <x v="0"/>
    <s v="Lagos"/>
    <s v="Sea"/>
    <x v="0"/>
    <n v="1935784.7999999998"/>
  </r>
  <r>
    <m/>
    <s v="Cocoa"/>
    <s v="Agro Export Nigeria Ltd"/>
    <x v="0"/>
    <s v="2/3/2020"/>
    <n v="990"/>
    <n v="36777.32"/>
    <n v="8027.19"/>
    <x v="1"/>
    <s v="Lagos"/>
    <s v="Sea"/>
    <x v="0"/>
    <n v="7946918.0999999996"/>
  </r>
  <r>
    <m/>
    <s v="Cocoa"/>
    <s v="Nigerian Export Promotion Council (NEPC)"/>
    <x v="0"/>
    <s v="3/30/2020"/>
    <n v="941"/>
    <n v="27078.720000000001"/>
    <n v="4676.04"/>
    <x v="2"/>
    <s v="Lagos"/>
    <s v="Sea"/>
    <x v="0"/>
    <n v="4400153.6399999997"/>
  </r>
  <r>
    <m/>
    <s v="Cocoa"/>
    <s v="Agro Allied Exporters Nigeria Limited"/>
    <x v="0"/>
    <s v="6/14/2020"/>
    <n v="166"/>
    <n v="33789.42"/>
    <n v="7069.44"/>
    <x v="3"/>
    <s v="Lagos"/>
    <s v="Sea"/>
    <x v="0"/>
    <n v="1173527.04"/>
  </r>
  <r>
    <m/>
    <s v="Cocoa"/>
    <s v="Nigeria Agro Export Company"/>
    <x v="0"/>
    <s v="8/18/2020"/>
    <n v="442"/>
    <n v="39909.449999999997"/>
    <n v="6492.45"/>
    <x v="4"/>
    <s v="Lagos"/>
    <s v="Sea"/>
    <x v="0"/>
    <n v="2869662.9"/>
  </r>
  <r>
    <m/>
    <s v="Cocoa"/>
    <s v="Nigerian Export Promotion Council (NEPC)"/>
    <x v="1"/>
    <s v="12/24/2020"/>
    <n v="989"/>
    <n v="24274.45"/>
    <n v="7019.72"/>
    <x v="5"/>
    <s v="Lagos"/>
    <s v="Sea"/>
    <x v="0"/>
    <n v="6942503.0800000001"/>
  </r>
  <r>
    <m/>
    <s v="Cocoa"/>
    <s v="Prime Agro Exports Nigeria Limited"/>
    <x v="1"/>
    <s v="7/19/2020"/>
    <n v="258"/>
    <n v="43253.51"/>
    <n v="3922.14"/>
    <x v="6"/>
    <s v="Warri"/>
    <s v="Sea"/>
    <x v="0"/>
    <n v="1011912.12"/>
  </r>
  <r>
    <m/>
    <s v="Cocoa"/>
    <s v="Solid Agro Nigeria Limited"/>
    <x v="2"/>
    <s v="10/7/2020"/>
    <n v="449"/>
    <n v="22573.52"/>
    <n v="5849.58"/>
    <x v="7"/>
    <s v="Lagos"/>
    <s v="Sea"/>
    <x v="0"/>
    <n v="2626461.42"/>
  </r>
  <r>
    <m/>
    <s v="Cocoa"/>
    <s v="Agriplus Nigeria Limited"/>
    <x v="2"/>
    <s v="3/13/2020"/>
    <n v="644"/>
    <n v="11922.17"/>
    <n v="2972.84"/>
    <x v="8"/>
    <s v="Lagos"/>
    <s v="Sea"/>
    <x v="0"/>
    <n v="1914508.9600000002"/>
  </r>
  <r>
    <m/>
    <s v="Cocoa"/>
    <s v="Agriplus Nigeria Limited"/>
    <x v="3"/>
    <s v="4/5/2020"/>
    <n v="121"/>
    <n v="39676.69"/>
    <n v="4143.1899999999996"/>
    <x v="9"/>
    <s v="Lagos"/>
    <s v="Sea"/>
    <x v="0"/>
    <n v="501325.98999999993"/>
  </r>
  <r>
    <m/>
    <s v="Cocoa"/>
    <s v="Agro Allied Exporters Nigeria Limited"/>
    <x v="4"/>
    <s v="4/24/2020"/>
    <n v="482"/>
    <n v="34497.660000000003"/>
    <n v="2071.13"/>
    <x v="10"/>
    <s v="Port Harcourt"/>
    <s v="Sea"/>
    <x v="0"/>
    <n v="998284.66"/>
  </r>
  <r>
    <m/>
    <s v="Cocoa"/>
    <s v="Agro Export Nigeria Ltd"/>
    <x v="4"/>
    <s v="5/26/2020"/>
    <n v="798"/>
    <n v="43030.42"/>
    <n v="5718.02"/>
    <x v="11"/>
    <s v="Port Harcourt"/>
    <s v="Sea"/>
    <x v="0"/>
    <n v="4562979.96"/>
  </r>
  <r>
    <m/>
    <s v="Cocoa"/>
    <s v="Agro Allied Exporters Nigeria Limited"/>
    <x v="4"/>
    <s v="5/31/2020"/>
    <n v="216"/>
    <n v="25895.71"/>
    <n v="5588.44"/>
    <x v="12"/>
    <s v="Lagos"/>
    <s v="Sea"/>
    <x v="0"/>
    <n v="1207103.0399999998"/>
  </r>
  <r>
    <m/>
    <s v="Cocoa"/>
    <s v="Greenfield Agro Exporters Nigeria Limited"/>
    <x v="4"/>
    <s v="6/30/2020"/>
    <n v="689"/>
    <n v="29393.13"/>
    <n v="3650.64"/>
    <x v="13"/>
    <s v="Lagos"/>
    <s v="Sea"/>
    <x v="0"/>
    <n v="2515290.96"/>
  </r>
  <r>
    <m/>
    <s v="Cocoa"/>
    <s v="Solid Agro Nigeria Limited"/>
    <x v="4"/>
    <s v="7/29/2020"/>
    <n v="723"/>
    <n v="24896.53"/>
    <n v="4266.1000000000004"/>
    <x v="14"/>
    <s v="Calabar"/>
    <s v="Sea"/>
    <x v="0"/>
    <n v="3084390.3000000003"/>
  </r>
  <r>
    <m/>
    <s v="Cocoa"/>
    <s v="Agriplus Nigeria Limited"/>
    <x v="5"/>
    <s v="7/29/2020"/>
    <n v="355"/>
    <n v="19246.61"/>
    <n v="2599.13"/>
    <x v="15"/>
    <s v="Lagos"/>
    <s v="Sea"/>
    <x v="0"/>
    <n v="922691.15"/>
  </r>
  <r>
    <m/>
    <s v="Cocoa"/>
    <s v="Golden Farms Nigeria Limited"/>
    <x v="4"/>
    <s v="9/2/2020"/>
    <n v="997"/>
    <n v="23337.7"/>
    <n v="5441.12"/>
    <x v="16"/>
    <s v="Lagos"/>
    <s v="Sea"/>
    <x v="0"/>
    <n v="5424796.6399999997"/>
  </r>
  <r>
    <m/>
    <s v="Cocoa"/>
    <s v="Farmgate Nigeria Limited"/>
    <x v="6"/>
    <s v="10/29/2020"/>
    <n v="181"/>
    <n v="42649.85"/>
    <n v="4580.5200000000004"/>
    <x v="17"/>
    <s v="Lagos"/>
    <s v="Sea"/>
    <x v="0"/>
    <n v="829074.12000000011"/>
  </r>
  <r>
    <m/>
    <s v="Cocoa"/>
    <s v="Prime Agro Exports Nigeria Limited"/>
    <x v="7"/>
    <s v="10/29/2020"/>
    <n v="953"/>
    <n v="30715.74"/>
    <n v="7323.65"/>
    <x v="18"/>
    <s v="Warri"/>
    <s v="Sea"/>
    <x v="0"/>
    <n v="6979438.4499999993"/>
  </r>
  <r>
    <m/>
    <s v="Cocoa"/>
    <s v="Farmgate Nigeria Limited"/>
    <x v="8"/>
    <s v="11/11/2020"/>
    <n v="839"/>
    <n v="20194.91"/>
    <n v="4050.93"/>
    <x v="19"/>
    <s v="Port Harcourt"/>
    <s v="Sea"/>
    <x v="0"/>
    <n v="3398730.27"/>
  </r>
  <r>
    <m/>
    <s v="Cocoa"/>
    <s v="Nigerian Export Promotion Council (NEPC)"/>
    <x v="8"/>
    <s v="3/27/2020"/>
    <n v="435"/>
    <n v="15057.51"/>
    <n v="5455.6"/>
    <x v="20"/>
    <s v="Calabar"/>
    <s v="Sea"/>
    <x v="0"/>
    <n v="2373186"/>
  </r>
  <r>
    <m/>
    <s v="Cocoa"/>
    <s v="Golden Farms Nigeria Limited"/>
    <x v="8"/>
    <s v="8/17/2020"/>
    <n v="167"/>
    <n v="24405.81"/>
    <n v="5557.46"/>
    <x v="21"/>
    <s v="Lagos"/>
    <s v="Sea"/>
    <x v="0"/>
    <n v="928095.82"/>
  </r>
  <r>
    <m/>
    <s v="Cocoa"/>
    <s v="Prime Agro Exports Nigeria Limited"/>
    <x v="8"/>
    <s v="8/31/2020"/>
    <n v="118"/>
    <n v="22796.67"/>
    <n v="4784.42"/>
    <x v="22"/>
    <s v="Lagos"/>
    <s v="Sea"/>
    <x v="0"/>
    <n v="564561.56000000006"/>
  </r>
  <r>
    <m/>
    <s v="Cocoa"/>
    <s v="Greenfield Agro Exporters Nigeria Limited"/>
    <x v="9"/>
    <s v="1/16/2020"/>
    <n v="207"/>
    <n v="14501.74"/>
    <n v="4713.01"/>
    <x v="23"/>
    <s v="Lagos"/>
    <s v="Sea"/>
    <x v="0"/>
    <n v="975593.07000000007"/>
  </r>
  <r>
    <m/>
    <s v="Cocoa"/>
    <s v="Agriplus Nigeria Limited"/>
    <x v="9"/>
    <s v="12/14/2020"/>
    <n v="332"/>
    <n v="42678.9"/>
    <n v="2935.51"/>
    <x v="24"/>
    <s v="Lagos"/>
    <s v="Sea"/>
    <x v="0"/>
    <n v="974589.32000000007"/>
  </r>
  <r>
    <m/>
    <s v="Cocoa"/>
    <s v="Greenfield Agro Exporters Nigeria Limited"/>
    <x v="9"/>
    <s v="4/10/2020"/>
    <n v="741"/>
    <n v="47745.33"/>
    <n v="7767.31"/>
    <x v="25"/>
    <s v="Lagos"/>
    <s v="Sea"/>
    <x v="0"/>
    <n v="5755576.71"/>
  </r>
  <r>
    <m/>
    <s v="Cocoa"/>
    <s v="Agro Export Nigeria Ltd"/>
    <x v="9"/>
    <s v="4/20/2020"/>
    <n v="276"/>
    <n v="35183.879999999997"/>
    <n v="7272.88"/>
    <x v="26"/>
    <s v="Port Harcourt"/>
    <s v="Sea"/>
    <x v="0"/>
    <n v="2007314.8800000001"/>
  </r>
  <r>
    <m/>
    <s v="Cocoa"/>
    <s v="Golden Farms Nigeria Limited"/>
    <x v="9"/>
    <s v="7/14/2020"/>
    <n v="360"/>
    <n v="26607.040000000001"/>
    <n v="3144.34"/>
    <x v="27"/>
    <s v="Warri"/>
    <s v="Sea"/>
    <x v="0"/>
    <n v="1131962.4000000001"/>
  </r>
  <r>
    <m/>
    <s v="Cocoa"/>
    <s v="Agriplus Nigeria Limited"/>
    <x v="9"/>
    <s v="7/31/2020"/>
    <n v="410"/>
    <n v="42063.46"/>
    <n v="8620.2000000000007"/>
    <x v="28"/>
    <s v="Port Harcourt"/>
    <s v="Sea"/>
    <x v="0"/>
    <n v="3534282.0000000005"/>
  </r>
  <r>
    <m/>
    <s v="Cocoa"/>
    <s v="Golden Farms Nigeria Limited"/>
    <x v="7"/>
    <s v="1/24/2020"/>
    <n v="847"/>
    <n v="19595.099999999999"/>
    <n v="8836.6200000000008"/>
    <x v="29"/>
    <s v="Calabar"/>
    <s v="Sea"/>
    <x v="0"/>
    <n v="7484617.1400000006"/>
  </r>
  <r>
    <m/>
    <s v="Cocoa"/>
    <s v="Golden Farms Nigeria Limited"/>
    <x v="7"/>
    <s v="1/6/2020"/>
    <n v="492"/>
    <n v="33982.230000000003"/>
    <n v="3031.16"/>
    <x v="30"/>
    <s v="Lagos"/>
    <s v="Sea"/>
    <x v="0"/>
    <n v="1491330.72"/>
  </r>
  <r>
    <m/>
    <s v="Cocoa"/>
    <s v="Greenfield Agro Exporters Nigeria Limited"/>
    <x v="7"/>
    <s v="12/16/2020"/>
    <n v="579"/>
    <n v="40723.75"/>
    <n v="7020.3"/>
    <x v="31"/>
    <s v="Calabar"/>
    <s v="Sea"/>
    <x v="0"/>
    <n v="4064753.7"/>
  </r>
  <r>
    <m/>
    <s v="Cocoa"/>
    <s v="Farmgate Nigeria Limited"/>
    <x v="0"/>
    <s v="3/23/2021"/>
    <n v="864"/>
    <n v="40976.449999999997"/>
    <n v="3472.61"/>
    <x v="32"/>
    <s v="Lagos"/>
    <s v="Sea"/>
    <x v="1"/>
    <n v="3000335.04"/>
  </r>
  <r>
    <m/>
    <s v="Cocoa"/>
    <s v="Greenfield Agro Exporters Nigeria Limited"/>
    <x v="0"/>
    <s v="5/19/2021"/>
    <n v="743"/>
    <n v="20825.009999999998"/>
    <n v="2879.25"/>
    <x v="33"/>
    <s v="Calabar"/>
    <s v="Sea"/>
    <x v="1"/>
    <n v="2139282.75"/>
  </r>
  <r>
    <m/>
    <s v="Cocoa"/>
    <s v="Prime Agro Exports Nigeria Limited"/>
    <x v="0"/>
    <s v="6/3/2021"/>
    <n v="157"/>
    <n v="11352.41"/>
    <n v="6556.99"/>
    <x v="34"/>
    <s v="Lagos"/>
    <s v="Sea"/>
    <x v="1"/>
    <n v="1029447.4299999999"/>
  </r>
  <r>
    <m/>
    <s v="Cocoa"/>
    <s v="Nigeria Agro Export Company"/>
    <x v="1"/>
    <s v="10/25/2021"/>
    <n v="978"/>
    <n v="42445.04"/>
    <n v="4024.2"/>
    <x v="35"/>
    <s v="Lagos"/>
    <s v="Sea"/>
    <x v="1"/>
    <n v="3935667.5999999996"/>
  </r>
  <r>
    <m/>
    <s v="Cocoa"/>
    <s v="Agriplus Nigeria Limited"/>
    <x v="1"/>
    <s v="4/15/2021"/>
    <n v="262"/>
    <n v="27644.22"/>
    <n v="2134.1799999999998"/>
    <x v="36"/>
    <s v="Lagos"/>
    <s v="Sea"/>
    <x v="1"/>
    <n v="559155.15999999992"/>
  </r>
  <r>
    <m/>
    <s v="Cocoa"/>
    <s v="Greenfield Agro Exporters Nigeria Limited"/>
    <x v="1"/>
    <s v="8/7/2021"/>
    <n v="232"/>
    <n v="40443.449999999997"/>
    <n v="8390.75"/>
    <x v="37"/>
    <s v="Port Harcourt"/>
    <s v="Sea"/>
    <x v="1"/>
    <n v="1946654"/>
  </r>
  <r>
    <m/>
    <s v="Cocoa"/>
    <s v="Agro Allied Exporters Nigeria Limited"/>
    <x v="1"/>
    <s v="8/7/2021"/>
    <n v="231"/>
    <n v="37383.65"/>
    <n v="6025.9"/>
    <x v="38"/>
    <s v="Lagos"/>
    <s v="Sea"/>
    <x v="1"/>
    <n v="1391982.9"/>
  </r>
  <r>
    <m/>
    <s v="Cocoa"/>
    <s v="Agro Allied Exporters Nigeria Limited"/>
    <x v="2"/>
    <s v="3/24/2021"/>
    <n v="564"/>
    <n v="23783.54"/>
    <n v="5997.33"/>
    <x v="39"/>
    <s v="Warri"/>
    <s v="Sea"/>
    <x v="1"/>
    <n v="3382494.12"/>
  </r>
  <r>
    <m/>
    <s v="Cocoa"/>
    <s v="Nigerian Export Promotion Council (NEPC)"/>
    <x v="2"/>
    <s v="6/30/2021"/>
    <n v="741"/>
    <n v="29609.45"/>
    <n v="7089.59"/>
    <x v="40"/>
    <s v="Port Harcourt"/>
    <s v="Sea"/>
    <x v="1"/>
    <n v="5253386.1900000004"/>
  </r>
  <r>
    <m/>
    <s v="Cocoa"/>
    <s v="Farmgate Nigeria Limited"/>
    <x v="3"/>
    <s v="10/2/2021"/>
    <n v="310"/>
    <n v="27530.43"/>
    <n v="2895.68"/>
    <x v="41"/>
    <s v="Lagos"/>
    <s v="Sea"/>
    <x v="1"/>
    <n v="897660.79999999993"/>
  </r>
  <r>
    <m/>
    <s v="Cocoa"/>
    <s v="Golden Farms Nigeria Limited"/>
    <x v="3"/>
    <s v="2/26/2021"/>
    <n v="999"/>
    <n v="35396.620000000003"/>
    <n v="6036.55"/>
    <x v="42"/>
    <s v="Warri"/>
    <s v="Sea"/>
    <x v="1"/>
    <n v="6030513.4500000002"/>
  </r>
  <r>
    <m/>
    <s v="Cocoa"/>
    <s v="Agro Allied Exporters Nigeria Limited"/>
    <x v="4"/>
    <s v="10/1/2021"/>
    <n v="815"/>
    <n v="12663.48"/>
    <n v="6749.3"/>
    <x v="43"/>
    <s v="Port Harcourt"/>
    <s v="Sea"/>
    <x v="1"/>
    <n v="5500679.5"/>
  </r>
  <r>
    <m/>
    <s v="Cocoa"/>
    <s v="Greenfield Agro Exporters Nigeria Limited"/>
    <x v="4"/>
    <s v="8/17/2021"/>
    <n v="573"/>
    <n v="47666.720000000001"/>
    <n v="9323.9"/>
    <x v="44"/>
    <s v="Lagos"/>
    <s v="Sea"/>
    <x v="1"/>
    <n v="5342594.7"/>
  </r>
  <r>
    <m/>
    <s v="Cocoa"/>
    <s v="Prime Agro Exports Nigeria Limited"/>
    <x v="6"/>
    <s v="11/4/2021"/>
    <n v="871"/>
    <n v="44322.34"/>
    <n v="4441.17"/>
    <x v="45"/>
    <s v="Lagos"/>
    <s v="Sea"/>
    <x v="1"/>
    <n v="3868259.07"/>
  </r>
  <r>
    <m/>
    <s v="Cocoa"/>
    <s v="Golden Farms Nigeria Limited"/>
    <x v="6"/>
    <s v="11/8/2021"/>
    <n v="385"/>
    <n v="42207.48"/>
    <n v="2035.1"/>
    <x v="46"/>
    <s v="Lagos"/>
    <s v="Sea"/>
    <x v="1"/>
    <n v="783513.5"/>
  </r>
  <r>
    <m/>
    <s v="Cocoa"/>
    <s v="Nigerian Export Promotion Council (NEPC)"/>
    <x v="6"/>
    <s v="3/18/2021"/>
    <n v="619"/>
    <n v="35120.03"/>
    <n v="4158.59"/>
    <x v="47"/>
    <s v="Calabar"/>
    <s v="Sea"/>
    <x v="1"/>
    <n v="2574167.21"/>
  </r>
  <r>
    <m/>
    <s v="Cocoa"/>
    <s v="Greenfield Agro Exporters Nigeria Limited"/>
    <x v="6"/>
    <s v="3/19/2021"/>
    <n v="673"/>
    <n v="49924.06"/>
    <n v="9726.7900000000009"/>
    <x v="48"/>
    <s v="Lagos"/>
    <s v="Sea"/>
    <x v="1"/>
    <n v="6546129.6700000009"/>
  </r>
  <r>
    <m/>
    <s v="Cocoa"/>
    <s v="Nigerian Export Promotion Council (NEPC)"/>
    <x v="6"/>
    <s v="3/31/2021"/>
    <n v="673"/>
    <n v="45974"/>
    <n v="7313.46"/>
    <x v="49"/>
    <s v="Lagos"/>
    <s v="Sea"/>
    <x v="1"/>
    <n v="4921958.58"/>
  </r>
  <r>
    <m/>
    <s v="Cocoa"/>
    <s v="Golden Farms Nigeria Limited"/>
    <x v="6"/>
    <s v="5/27/2021"/>
    <n v="480"/>
    <n v="12519.37"/>
    <n v="8790.94"/>
    <x v="50"/>
    <s v="Lagos"/>
    <s v="Sea"/>
    <x v="1"/>
    <n v="4219651.2"/>
  </r>
  <r>
    <m/>
    <s v="Cocoa"/>
    <s v="Farmgate Nigeria Limited"/>
    <x v="6"/>
    <s v="8/31/2021"/>
    <n v="296"/>
    <n v="15129.48"/>
    <n v="8612.34"/>
    <x v="51"/>
    <s v="Lagos"/>
    <s v="Sea"/>
    <x v="1"/>
    <n v="2549252.64"/>
  </r>
  <r>
    <m/>
    <s v="Cocoa"/>
    <s v="Nigerian Export Promotion Council (NEPC)"/>
    <x v="8"/>
    <s v="7/2/2021"/>
    <n v="648"/>
    <n v="32276.01"/>
    <n v="3180.07"/>
    <x v="52"/>
    <s v="Lagos"/>
    <s v="Sea"/>
    <x v="1"/>
    <n v="2060685.36"/>
  </r>
  <r>
    <m/>
    <s v="Cocoa"/>
    <s v="Nigeria Agro Export Company"/>
    <x v="8"/>
    <s v="7/7/2021"/>
    <n v="571"/>
    <n v="27712.14"/>
    <n v="6221.24"/>
    <x v="53"/>
    <s v="Lagos"/>
    <s v="Sea"/>
    <x v="1"/>
    <n v="3552328.04"/>
  </r>
  <r>
    <m/>
    <s v="Cocoa"/>
    <s v="Agro Export Nigeria Ltd"/>
    <x v="9"/>
    <s v="10/6/2021"/>
    <n v="660"/>
    <n v="29898.29"/>
    <n v="3852.77"/>
    <x v="54"/>
    <s v="Lagos"/>
    <s v="Sea"/>
    <x v="1"/>
    <n v="2542828.2000000002"/>
  </r>
  <r>
    <m/>
    <s v="Cocoa"/>
    <s v="Agriplus Nigeria Limited"/>
    <x v="9"/>
    <s v="12/13/2021"/>
    <n v="564"/>
    <n v="18024.78"/>
    <n v="9857.8700000000008"/>
    <x v="55"/>
    <s v="Lagos"/>
    <s v="Sea"/>
    <x v="1"/>
    <n v="5559838.6800000006"/>
  </r>
  <r>
    <m/>
    <s v="Cocoa"/>
    <s v="Nigerian Export Promotion Council (NEPC)"/>
    <x v="9"/>
    <s v="12/31/2021"/>
    <n v="544"/>
    <n v="31992.21"/>
    <n v="6314.66"/>
    <x v="56"/>
    <s v="Warri"/>
    <s v="Sea"/>
    <x v="1"/>
    <n v="3435175.04"/>
  </r>
  <r>
    <m/>
    <s v="Cocoa"/>
    <s v="Nigerian Export Promotion Council (NEPC)"/>
    <x v="7"/>
    <s v="12/14/2021"/>
    <n v="605"/>
    <n v="32275.27"/>
    <n v="4331.41"/>
    <x v="57"/>
    <s v="Lagos"/>
    <s v="Sea"/>
    <x v="1"/>
    <n v="2620503.0499999998"/>
  </r>
  <r>
    <m/>
    <s v="Cocoa"/>
    <s v="Agriplus Nigeria Limited"/>
    <x v="7"/>
    <s v="2/15/2021"/>
    <n v="520"/>
    <n v="25128.16"/>
    <n v="3894.72"/>
    <x v="58"/>
    <s v="Lagos"/>
    <s v="Sea"/>
    <x v="1"/>
    <n v="2025254.4"/>
  </r>
  <r>
    <m/>
    <s v="Cocoa"/>
    <s v="Agro Export Nigeria Ltd"/>
    <x v="5"/>
    <s v="3/7/2021"/>
    <n v="820"/>
    <n v="15596.18"/>
    <n v="8725.66"/>
    <x v="59"/>
    <s v="Lagos"/>
    <s v="Sea"/>
    <x v="1"/>
    <n v="7155041.2000000002"/>
  </r>
  <r>
    <m/>
    <s v="Cocoa"/>
    <s v="Greenfield Agro Exporters Nigeria Limited"/>
    <x v="0"/>
    <s v="10/1/2022"/>
    <n v="199"/>
    <n v="46862.07"/>
    <n v="7340.8"/>
    <x v="60"/>
    <s v="Calabar"/>
    <s v="Sea"/>
    <x v="2"/>
    <n v="1460819.2"/>
  </r>
  <r>
    <m/>
    <s v="Cocoa"/>
    <s v="Greenfield Agro Exporters Nigeria Limited"/>
    <x v="0"/>
    <s v="10/14/2022"/>
    <n v="604"/>
    <n v="37692.51"/>
    <n v="5514.53"/>
    <x v="61"/>
    <s v="Port Harcourt"/>
    <s v="Sea"/>
    <x v="2"/>
    <n v="3330776.1199999996"/>
  </r>
  <r>
    <m/>
    <s v="Cocoa"/>
    <s v="Agro Allied Exporters Nigeria Limited"/>
    <x v="0"/>
    <s v="12/10/2022"/>
    <n v="270"/>
    <n v="14740.11"/>
    <n v="4400.0600000000004"/>
    <x v="62"/>
    <s v="Lagos"/>
    <s v="Sea"/>
    <x v="2"/>
    <n v="1188016.2000000002"/>
  </r>
  <r>
    <m/>
    <s v="Cocoa"/>
    <s v="Agriplus Nigeria Limited"/>
    <x v="0"/>
    <s v="6/2/2022"/>
    <n v="438"/>
    <n v="43305.68"/>
    <n v="9195.7199999999993"/>
    <x v="63"/>
    <s v="Lagos"/>
    <s v="Sea"/>
    <x v="2"/>
    <n v="4027725.36"/>
  </r>
  <r>
    <m/>
    <s v="Cocoa"/>
    <s v="Solid Agro Nigeria Limited"/>
    <x v="0"/>
    <s v="6/9/2022"/>
    <n v="930"/>
    <n v="40089.03"/>
    <n v="8651.1200000000008"/>
    <x v="64"/>
    <s v="Port Harcourt"/>
    <s v="Sea"/>
    <x v="2"/>
    <n v="8045541.6000000006"/>
  </r>
  <r>
    <m/>
    <s v="Cocoa"/>
    <s v="Golden Farms Nigeria Limited"/>
    <x v="0"/>
    <s v="7/16/2022"/>
    <n v="930"/>
    <n v="10155.64"/>
    <n v="7680.1"/>
    <x v="65"/>
    <s v="Lagos"/>
    <s v="Sea"/>
    <x v="2"/>
    <n v="7142493"/>
  </r>
  <r>
    <m/>
    <s v="Cocoa"/>
    <s v="Solid Agro Nigeria Limited"/>
    <x v="0"/>
    <s v="9/6/2022"/>
    <n v="752"/>
    <n v="33682.199999999997"/>
    <n v="2116.71"/>
    <x v="66"/>
    <s v="Lagos"/>
    <s v="Sea"/>
    <x v="2"/>
    <n v="1591765.92"/>
  </r>
  <r>
    <m/>
    <s v="Cocoa"/>
    <s v="Prime Agro Exports Nigeria Limited"/>
    <x v="1"/>
    <s v="12/15/2022"/>
    <n v="285"/>
    <n v="31583.71"/>
    <n v="7018.27"/>
    <x v="67"/>
    <s v="Lagos"/>
    <s v="Sea"/>
    <x v="2"/>
    <n v="2000206.9500000002"/>
  </r>
  <r>
    <m/>
    <s v="Cocoa"/>
    <s v="Agro Allied Exporters Nigeria Limited"/>
    <x v="1"/>
    <s v="2/6/2022"/>
    <n v="881"/>
    <n v="26436.880000000001"/>
    <n v="3810.84"/>
    <x v="68"/>
    <s v="Port Harcourt"/>
    <s v="Sea"/>
    <x v="2"/>
    <n v="3357350.04"/>
  </r>
  <r>
    <m/>
    <s v="Cocoa"/>
    <s v="Farmgate Nigeria Limited"/>
    <x v="1"/>
    <s v="3/23/2022"/>
    <n v="340"/>
    <n v="26117.99"/>
    <n v="2018.73"/>
    <x v="69"/>
    <s v="Lagos"/>
    <s v="Sea"/>
    <x v="2"/>
    <n v="686368.2"/>
  </r>
  <r>
    <m/>
    <s v="Cocoa"/>
    <s v="Prime Agro Exports Nigeria Limited"/>
    <x v="1"/>
    <s v="6/13/2022"/>
    <n v="980"/>
    <n v="36784.33"/>
    <n v="3862.81"/>
    <x v="70"/>
    <s v="Lagos"/>
    <s v="Sea"/>
    <x v="2"/>
    <n v="3785553.8"/>
  </r>
  <r>
    <m/>
    <s v="Cocoa"/>
    <s v="Agriplus Nigeria Limited"/>
    <x v="1"/>
    <s v="7/2/2022"/>
    <n v="640"/>
    <n v="37592.199999999997"/>
    <n v="7882.03"/>
    <x v="71"/>
    <s v="Lagos"/>
    <s v="Sea"/>
    <x v="2"/>
    <n v="5044499.2"/>
  </r>
  <r>
    <m/>
    <s v="Cocoa"/>
    <s v="Agro Allied Exporters Nigeria Limited"/>
    <x v="8"/>
    <s v="7/2/2022"/>
    <n v="331"/>
    <n v="40975.54"/>
    <n v="5778.24"/>
    <x v="72"/>
    <s v="Calabar"/>
    <s v="Sea"/>
    <x v="2"/>
    <n v="1912597.44"/>
  </r>
  <r>
    <m/>
    <s v="Cocoa"/>
    <s v="Nigeria Agro Export Company"/>
    <x v="1"/>
    <s v="8/21/2022"/>
    <n v="337"/>
    <n v="12898.06"/>
    <n v="2443.4"/>
    <x v="73"/>
    <s v="Lagos"/>
    <s v="Sea"/>
    <x v="2"/>
    <n v="823425.8"/>
  </r>
  <r>
    <m/>
    <s v="Cocoa"/>
    <s v="Agro Allied Exporters Nigeria Limited"/>
    <x v="2"/>
    <s v="11/25/2022"/>
    <n v="273"/>
    <n v="29358.38"/>
    <n v="5452.34"/>
    <x v="74"/>
    <s v="Warri"/>
    <s v="Sea"/>
    <x v="2"/>
    <n v="1488488.82"/>
  </r>
  <r>
    <m/>
    <s v="Cocoa"/>
    <s v="Agro Allied Exporters Nigeria Limited"/>
    <x v="2"/>
    <s v="2/12/2022"/>
    <n v="778"/>
    <n v="24299.4"/>
    <n v="7503.95"/>
    <x v="75"/>
    <s v="Lagos"/>
    <s v="Sea"/>
    <x v="2"/>
    <n v="5838073.0999999996"/>
  </r>
  <r>
    <m/>
    <s v="Cocoa"/>
    <s v="Farmgate Nigeria Limited"/>
    <x v="2"/>
    <s v="2/16/2022"/>
    <n v="972"/>
    <n v="12391.17"/>
    <n v="4739.75"/>
    <x v="76"/>
    <s v="Lagos"/>
    <s v="Sea"/>
    <x v="2"/>
    <n v="4607037"/>
  </r>
  <r>
    <m/>
    <s v="Cocoa"/>
    <s v="Golden Farms Nigeria Limited"/>
    <x v="2"/>
    <s v="6/7/2022"/>
    <n v="775"/>
    <n v="13645.3"/>
    <n v="6202.53"/>
    <x v="77"/>
    <s v="Warri"/>
    <s v="Sea"/>
    <x v="2"/>
    <n v="4806960.75"/>
  </r>
  <r>
    <m/>
    <s v="Cocoa"/>
    <s v="Golden Farms Nigeria Limited"/>
    <x v="3"/>
    <s v="6/7/2022"/>
    <n v="181"/>
    <n v="46007.28"/>
    <n v="9692.49"/>
    <x v="78"/>
    <s v="Lagos"/>
    <s v="Sea"/>
    <x v="2"/>
    <n v="1754340.69"/>
  </r>
  <r>
    <m/>
    <s v="Cocoa"/>
    <s v="Farmgate Nigeria Limited"/>
    <x v="2"/>
    <s v="8/18/2022"/>
    <n v="583"/>
    <n v="31350.91"/>
    <n v="7272.46"/>
    <x v="79"/>
    <s v="Lagos"/>
    <s v="Sea"/>
    <x v="2"/>
    <n v="4239844.18"/>
  </r>
  <r>
    <m/>
    <s v="Cocoa"/>
    <s v="Agriplus Nigeria Limited"/>
    <x v="3"/>
    <s v="2/7/2022"/>
    <n v="113"/>
    <n v="47220.35"/>
    <n v="6292.5"/>
    <x v="80"/>
    <s v="Lagos"/>
    <s v="Sea"/>
    <x v="2"/>
    <n v="711052.5"/>
  </r>
  <r>
    <m/>
    <s v="Cocoa"/>
    <s v="Farmgate Nigeria Limited"/>
    <x v="3"/>
    <s v="4/29/2022"/>
    <n v="339"/>
    <n v="45625.14"/>
    <n v="4973.87"/>
    <x v="81"/>
    <s v="Lagos"/>
    <s v="Sea"/>
    <x v="2"/>
    <n v="1686141.93"/>
  </r>
  <r>
    <m/>
    <s v="Cocoa"/>
    <s v="Farmgate Nigeria Limited"/>
    <x v="3"/>
    <s v="5/26/2022"/>
    <n v="651"/>
    <n v="23667.26"/>
    <n v="6606.14"/>
    <x v="82"/>
    <s v="Lagos"/>
    <s v="Sea"/>
    <x v="2"/>
    <n v="4300597.1400000006"/>
  </r>
  <r>
    <m/>
    <s v="Cocoa"/>
    <s v="Agriplus Nigeria Limited"/>
    <x v="3"/>
    <s v="9/18/2022"/>
    <n v="512"/>
    <n v="40616.94"/>
    <n v="8997.44"/>
    <x v="83"/>
    <s v="Lagos"/>
    <s v="Sea"/>
    <x v="2"/>
    <n v="4606689.2800000003"/>
  </r>
  <r>
    <m/>
    <s v="Cocoa"/>
    <s v="Golden Farms Nigeria Limited"/>
    <x v="6"/>
    <s v="1/12/2022"/>
    <n v="994"/>
    <n v="38992.61"/>
    <n v="8142.85"/>
    <x v="84"/>
    <s v="Lagos"/>
    <s v="Sea"/>
    <x v="2"/>
    <n v="8093992.9000000004"/>
  </r>
  <r>
    <m/>
    <s v="Cocoa"/>
    <s v="Nigeria Agro Export Company"/>
    <x v="6"/>
    <s v="3/17/2022"/>
    <n v="746"/>
    <n v="11537.24"/>
    <n v="4261.71"/>
    <x v="85"/>
    <s v="Calabar"/>
    <s v="Sea"/>
    <x v="2"/>
    <n v="3179235.66"/>
  </r>
  <r>
    <m/>
    <s v="Cocoa"/>
    <s v="Nigerian Export Promotion Council (NEPC)"/>
    <x v="6"/>
    <s v="3/5/2022"/>
    <n v="371"/>
    <n v="36210.54"/>
    <n v="3101.99"/>
    <x v="86"/>
    <s v="Calabar"/>
    <s v="Sea"/>
    <x v="2"/>
    <n v="1150838.2899999998"/>
  </r>
  <r>
    <m/>
    <s v="Cocoa"/>
    <s v="Greenfield Agro Exporters Nigeria Limited"/>
    <x v="6"/>
    <s v="7/18/2022"/>
    <n v="945"/>
    <n v="32510.05"/>
    <n v="5669.22"/>
    <x v="87"/>
    <s v="Warri"/>
    <s v="Sea"/>
    <x v="2"/>
    <n v="5357412.9000000004"/>
  </r>
  <r>
    <m/>
    <s v="Cocoa"/>
    <s v="Solid Agro Nigeria Limited"/>
    <x v="7"/>
    <s v="7/18/2022"/>
    <n v="357"/>
    <n v="46900.29"/>
    <n v="2786.12"/>
    <x v="88"/>
    <s v="Port Harcourt"/>
    <s v="Sea"/>
    <x v="2"/>
    <n v="994644.84"/>
  </r>
  <r>
    <m/>
    <s v="Cocoa"/>
    <s v="Agro Allied Exporters Nigeria Limited"/>
    <x v="6"/>
    <s v="7/7/2022"/>
    <n v="954"/>
    <n v="32313.86"/>
    <n v="6873.64"/>
    <x v="89"/>
    <s v="Port Harcourt"/>
    <s v="Sea"/>
    <x v="2"/>
    <n v="6557452.5600000005"/>
  </r>
  <r>
    <m/>
    <s v="Cocoa"/>
    <s v="Solid Agro Nigeria Limited"/>
    <x v="6"/>
    <s v="8/10/2022"/>
    <n v="248"/>
    <n v="47005.31"/>
    <n v="9451.99"/>
    <x v="90"/>
    <s v="Lagos"/>
    <s v="Sea"/>
    <x v="2"/>
    <n v="2344093.52"/>
  </r>
  <r>
    <m/>
    <s v="Cocoa"/>
    <s v="Solid Agro Nigeria Limited"/>
    <x v="8"/>
    <s v="1/9/2022"/>
    <n v="394"/>
    <n v="32556.2"/>
    <n v="8455.9699999999993"/>
    <x v="91"/>
    <s v="Warri"/>
    <s v="Sea"/>
    <x v="2"/>
    <n v="3331652.1799999997"/>
  </r>
  <r>
    <m/>
    <s v="Cocoa"/>
    <s v="Nigerian Export Promotion Council (NEPC)"/>
    <x v="8"/>
    <s v="4/24/2022"/>
    <n v="951"/>
    <n v="49548.71"/>
    <n v="5274.5"/>
    <x v="92"/>
    <s v="Lagos"/>
    <s v="Sea"/>
    <x v="2"/>
    <n v="5016049.5"/>
  </r>
  <r>
    <m/>
    <s v="Cocoa"/>
    <s v="Golden Farms Nigeria Limited"/>
    <x v="7"/>
    <s v="12/6/2022"/>
    <n v="285"/>
    <n v="15478.05"/>
    <n v="4402.63"/>
    <x v="93"/>
    <s v="Calabar"/>
    <s v="Sea"/>
    <x v="2"/>
    <n v="1254749.55"/>
  </r>
  <r>
    <m/>
    <s v="Cocoa"/>
    <s v="Nigeria Agro Export Company"/>
    <x v="7"/>
    <s v="3/7/2022"/>
    <n v="305"/>
    <n v="21673.21"/>
    <n v="7611.27"/>
    <x v="94"/>
    <s v="Lagos"/>
    <s v="Sea"/>
    <x v="2"/>
    <n v="2321437.35"/>
  </r>
  <r>
    <m/>
    <s v="Cocoa"/>
    <s v="Agro Allied Exporters Nigeria Limited"/>
    <x v="7"/>
    <s v="8/23/2022"/>
    <n v="639"/>
    <n v="35392.97"/>
    <n v="6671.2"/>
    <x v="95"/>
    <s v="Warri"/>
    <s v="Sea"/>
    <x v="2"/>
    <n v="4262896.8"/>
  </r>
  <r>
    <m/>
    <s v="Cocoa"/>
    <s v="Agro Allied Exporters Nigeria Limited"/>
    <x v="0"/>
    <s v="2/18/2023"/>
    <n v="172"/>
    <n v="19594.66"/>
    <n v="9712"/>
    <x v="96"/>
    <s v="Warri"/>
    <s v="Sea"/>
    <x v="3"/>
    <n v="1670464"/>
  </r>
  <r>
    <m/>
    <s v="Cocoa"/>
    <s v="Nigeria Agro Export Company"/>
    <x v="0"/>
    <s v="2/21/2023"/>
    <n v="938"/>
    <n v="29055.81"/>
    <n v="3557.94"/>
    <x v="97"/>
    <s v="Calabar"/>
    <s v="Sea"/>
    <x v="3"/>
    <n v="3337347.72"/>
  </r>
  <r>
    <m/>
    <s v="Cocoa"/>
    <s v="Agriplus Nigeria Limited"/>
    <x v="0"/>
    <s v="6/7/2023"/>
    <n v="540"/>
    <n v="45317.85"/>
    <n v="7712.76"/>
    <x v="98"/>
    <s v="Warri"/>
    <s v="Sea"/>
    <x v="3"/>
    <n v="4164890.4"/>
  </r>
  <r>
    <m/>
    <s v="Cocoa"/>
    <s v="Solid Agro Nigeria Limited"/>
    <x v="0"/>
    <s v="7/18/2023"/>
    <n v="238"/>
    <n v="26925.18"/>
    <n v="2901.45"/>
    <x v="99"/>
    <s v="Lagos"/>
    <s v="Sea"/>
    <x v="3"/>
    <n v="690545.1"/>
  </r>
  <r>
    <m/>
    <s v="Cocoa"/>
    <s v="Golden Farms Nigeria Limited"/>
    <x v="2"/>
    <s v="7/18/2023"/>
    <n v="948"/>
    <n v="14062.61"/>
    <n v="7842.17"/>
    <x v="100"/>
    <s v="Warri"/>
    <s v="Sea"/>
    <x v="3"/>
    <n v="7434377.1600000001"/>
  </r>
  <r>
    <m/>
    <s v="Cocoa"/>
    <s v="Solid Agro Nigeria Limited"/>
    <x v="0"/>
    <s v="9/15/2023"/>
    <n v="222"/>
    <n v="28231.62"/>
    <n v="7367.68"/>
    <x v="101"/>
    <s v="Lagos"/>
    <s v="Sea"/>
    <x v="3"/>
    <n v="1635624.96"/>
  </r>
  <r>
    <m/>
    <s v="Cocoa"/>
    <s v="Nigeria Agro Export Company"/>
    <x v="0"/>
    <s v="9/20/2023"/>
    <n v="264"/>
    <n v="49192.22"/>
    <n v="4003.23"/>
    <x v="102"/>
    <s v="Port Harcourt"/>
    <s v="Sea"/>
    <x v="3"/>
    <n v="1056852.72"/>
  </r>
  <r>
    <m/>
    <s v="Cocoa"/>
    <s v="Farmgate Nigeria Limited"/>
    <x v="0"/>
    <s v="9/26/2023"/>
    <n v="250"/>
    <n v="39171.51"/>
    <n v="5314.78"/>
    <x v="103"/>
    <s v="Port Harcourt"/>
    <s v="Sea"/>
    <x v="3"/>
    <n v="1328695"/>
  </r>
  <r>
    <m/>
    <s v="Cocoa"/>
    <s v="Golden Farms Nigeria Limited"/>
    <x v="1"/>
    <s v="10/23/2023"/>
    <n v="657"/>
    <n v="42148.94"/>
    <n v="5773.97"/>
    <x v="104"/>
    <s v="Calabar"/>
    <s v="Sea"/>
    <x v="3"/>
    <n v="3793498.29"/>
  </r>
  <r>
    <m/>
    <s v="Cocoa"/>
    <s v="Nigerian Export Promotion Council (NEPC)"/>
    <x v="1"/>
    <s v="12/23/2023"/>
    <n v="354"/>
    <n v="16810.169999999998"/>
    <n v="7303.36"/>
    <x v="105"/>
    <s v="Port Harcourt"/>
    <s v="Sea"/>
    <x v="3"/>
    <n v="2585389.44"/>
  </r>
  <r>
    <m/>
    <s v="Cocoa"/>
    <s v="Agro Allied Exporters Nigeria Limited"/>
    <x v="1"/>
    <s v="2/23/2023"/>
    <n v="981"/>
    <n v="39948.71"/>
    <n v="5611.36"/>
    <x v="106"/>
    <s v="Warri"/>
    <s v="Sea"/>
    <x v="3"/>
    <n v="5504744.1599999992"/>
  </r>
  <r>
    <m/>
    <s v="Cocoa"/>
    <s v="Solid Agro Nigeria Limited"/>
    <x v="1"/>
    <s v="5/23/2023"/>
    <n v="708"/>
    <n v="34554.94"/>
    <n v="4062.57"/>
    <x v="107"/>
    <s v="Lagos"/>
    <s v="Sea"/>
    <x v="3"/>
    <n v="2876299.56"/>
  </r>
  <r>
    <m/>
    <s v="Cocoa"/>
    <s v="Agriplus Nigeria Limited"/>
    <x v="2"/>
    <s v="4/1/2023"/>
    <n v="366"/>
    <n v="37718.550000000003"/>
    <n v="3056.13"/>
    <x v="108"/>
    <s v="Lagos"/>
    <s v="Sea"/>
    <x v="3"/>
    <n v="1118543.58"/>
  </r>
  <r>
    <m/>
    <s v="Cocoa"/>
    <s v="Nigerian Export Promotion Council (NEPC)"/>
    <x v="5"/>
    <s v="4/1/2023"/>
    <n v="902"/>
    <n v="26139.97"/>
    <n v="4595.3900000000003"/>
    <x v="109"/>
    <s v="Warri"/>
    <s v="Sea"/>
    <x v="3"/>
    <n v="4145041.7800000003"/>
  </r>
  <r>
    <m/>
    <s v="Cocoa"/>
    <s v="Farmgate Nigeria Limited"/>
    <x v="2"/>
    <s v="4/14/2023"/>
    <n v="166"/>
    <n v="21132.81"/>
    <n v="7252.84"/>
    <x v="110"/>
    <s v="Lagos"/>
    <s v="Sea"/>
    <x v="3"/>
    <n v="1203971.44"/>
  </r>
  <r>
    <m/>
    <s v="Cocoa"/>
    <s v="Greenfield Agro Exporters Nigeria Limited"/>
    <x v="2"/>
    <s v="8/17/2023"/>
    <n v="164"/>
    <n v="44326.559999999998"/>
    <n v="5980.31"/>
    <x v="111"/>
    <s v="Calabar"/>
    <s v="Sea"/>
    <x v="3"/>
    <n v="980770.84000000008"/>
  </r>
  <r>
    <m/>
    <s v="Cocoa"/>
    <s v="Agro Allied Exporters Nigeria Limited"/>
    <x v="3"/>
    <s v="1/18/2023"/>
    <n v="179"/>
    <n v="13561.99"/>
    <n v="7189.28"/>
    <x v="112"/>
    <s v="Lagos"/>
    <s v="Sea"/>
    <x v="3"/>
    <n v="1286881.1199999999"/>
  </r>
  <r>
    <m/>
    <s v="Cocoa"/>
    <s v="Agriplus Nigeria Limited"/>
    <x v="6"/>
    <s v="1/18/2023"/>
    <n v="507"/>
    <n v="25077"/>
    <n v="4342.1899999999996"/>
    <x v="113"/>
    <s v="Calabar"/>
    <s v="Sea"/>
    <x v="3"/>
    <n v="2201490.3299999996"/>
  </r>
  <r>
    <m/>
    <s v="Cocoa"/>
    <s v="Greenfield Agro Exporters Nigeria Limited"/>
    <x v="3"/>
    <s v="10/12/2023"/>
    <n v="997"/>
    <n v="32753.279999999999"/>
    <n v="8951.58"/>
    <x v="114"/>
    <s v="Calabar"/>
    <s v="Sea"/>
    <x v="3"/>
    <n v="8924725.2599999998"/>
  </r>
  <r>
    <m/>
    <s v="Cocoa"/>
    <s v="Solid Agro Nigeria Limited"/>
    <x v="3"/>
    <s v="2/5/2023"/>
    <n v="813"/>
    <n v="17261.98"/>
    <n v="4878.03"/>
    <x v="115"/>
    <s v="Lagos"/>
    <s v="Sea"/>
    <x v="3"/>
    <n v="3965838.3899999997"/>
  </r>
  <r>
    <m/>
    <s v="Cocoa"/>
    <s v="Prime Agro Exports Nigeria Limited"/>
    <x v="3"/>
    <s v="3/20/2023"/>
    <n v="383"/>
    <n v="10974.92"/>
    <n v="2308.7800000000002"/>
    <x v="116"/>
    <s v="Warri"/>
    <s v="Sea"/>
    <x v="3"/>
    <n v="884262.74000000011"/>
  </r>
  <r>
    <m/>
    <s v="Cocoa"/>
    <s v="Prime Agro Exports Nigeria Limited"/>
    <x v="3"/>
    <s v="6/21/2023"/>
    <n v="212"/>
    <n v="18804.84"/>
    <n v="4332.0200000000004"/>
    <x v="117"/>
    <s v="Lagos"/>
    <s v="Sea"/>
    <x v="3"/>
    <n v="918388.24000000011"/>
  </r>
  <r>
    <m/>
    <s v="Cocoa"/>
    <s v="Nigeria Agro Export Company"/>
    <x v="4"/>
    <s v="1/12/2023"/>
    <n v="295"/>
    <n v="15255.06"/>
    <n v="5692.82"/>
    <x v="118"/>
    <s v="Warri"/>
    <s v="Sea"/>
    <x v="3"/>
    <n v="1679381.9"/>
  </r>
  <r>
    <m/>
    <s v="Cocoa"/>
    <s v="Nigerian Export Promotion Council (NEPC)"/>
    <x v="4"/>
    <s v="1/20/2023"/>
    <n v="839"/>
    <n v="42307.64"/>
    <n v="2725.48"/>
    <x v="119"/>
    <s v="Lagos"/>
    <s v="Sea"/>
    <x v="3"/>
    <n v="2286677.7200000002"/>
  </r>
  <r>
    <m/>
    <s v="Cocoa"/>
    <s v="Agro Export Nigeria Ltd"/>
    <x v="4"/>
    <s v="1/5/2023"/>
    <n v="639"/>
    <n v="46793.26"/>
    <n v="2626.29"/>
    <x v="120"/>
    <s v="Calabar"/>
    <s v="Sea"/>
    <x v="3"/>
    <n v="1678199.31"/>
  </r>
  <r>
    <m/>
    <s v="Cocoa"/>
    <s v="Golden Farms Nigeria Limited"/>
    <x v="4"/>
    <s v="12/17/2023"/>
    <n v="856"/>
    <n v="25955.18"/>
    <n v="8075.39"/>
    <x v="121"/>
    <s v="Warri"/>
    <s v="Sea"/>
    <x v="3"/>
    <n v="6912533.8399999999"/>
  </r>
  <r>
    <m/>
    <s v="Cocoa"/>
    <s v="Prime Agro Exports Nigeria Limited"/>
    <x v="4"/>
    <s v="2/24/2023"/>
    <n v="696"/>
    <n v="29398.99"/>
    <n v="4816.3"/>
    <x v="122"/>
    <s v="Lagos"/>
    <s v="Sea"/>
    <x v="3"/>
    <n v="3352144.8000000003"/>
  </r>
  <r>
    <m/>
    <s v="Cocoa"/>
    <s v="Solid Agro Nigeria Limited"/>
    <x v="6"/>
    <s v="11/30/2023"/>
    <n v="896"/>
    <n v="37856.44"/>
    <n v="8880.76"/>
    <x v="123"/>
    <s v="Lagos"/>
    <s v="Sea"/>
    <x v="3"/>
    <n v="7957160.96"/>
  </r>
  <r>
    <m/>
    <s v="Cocoa"/>
    <s v="Prime Agro Exports Nigeria Limited"/>
    <x v="6"/>
    <s v="12/9/2023"/>
    <n v="800"/>
    <n v="44815.63"/>
    <n v="8719.48"/>
    <x v="124"/>
    <s v="Warri"/>
    <s v="Sea"/>
    <x v="3"/>
    <n v="6975584"/>
  </r>
  <r>
    <m/>
    <s v="Cocoa"/>
    <s v="Agro Export Nigeria Ltd"/>
    <x v="6"/>
    <s v="8/11/2023"/>
    <n v="581"/>
    <n v="36715.879999999997"/>
    <n v="9369.14"/>
    <x v="125"/>
    <s v="Lagos"/>
    <s v="Sea"/>
    <x v="3"/>
    <n v="5443470.3399999999"/>
  </r>
  <r>
    <m/>
    <s v="Cocoa"/>
    <s v="Agro Export Nigeria Ltd"/>
    <x v="8"/>
    <s v="3/4/2023"/>
    <n v="513"/>
    <n v="40829.589999999997"/>
    <n v="5780.88"/>
    <x v="126"/>
    <s v="Calabar"/>
    <s v="Sea"/>
    <x v="3"/>
    <n v="2965591.44"/>
  </r>
  <r>
    <m/>
    <s v="Cocoa"/>
    <s v="Agro Export Nigeria Ltd"/>
    <x v="8"/>
    <s v="7/29/2023"/>
    <n v="283"/>
    <n v="24034.1"/>
    <n v="8798.82"/>
    <x v="127"/>
    <s v="Lagos"/>
    <s v="Sea"/>
    <x v="3"/>
    <n v="2490066.06"/>
  </r>
  <r>
    <m/>
    <s v="Cocoa"/>
    <s v="Prime Agro Exports Nigeria Limited"/>
    <x v="8"/>
    <s v="9/21/2023"/>
    <n v="499"/>
    <n v="39950.239999999998"/>
    <n v="6053.8"/>
    <x v="128"/>
    <s v="Lagos"/>
    <s v="Sea"/>
    <x v="3"/>
    <n v="3020846.2"/>
  </r>
  <r>
    <m/>
    <s v="Cocoa"/>
    <s v="Farmgate Nigeria Limited"/>
    <x v="9"/>
    <s v="6/16/2023"/>
    <n v="513"/>
    <n v="39875.46"/>
    <n v="4915.93"/>
    <x v="129"/>
    <s v="Port Harcourt"/>
    <s v="Sea"/>
    <x v="3"/>
    <n v="2521872.0900000003"/>
  </r>
  <r>
    <m/>
    <s v="Cocoa"/>
    <s v="Greenfield Agro Exporters Nigeria Limited"/>
    <x v="9"/>
    <s v="8/23/2023"/>
    <n v="858"/>
    <n v="41834.28"/>
    <n v="2100.66"/>
    <x v="130"/>
    <s v="Lagos"/>
    <s v="Sea"/>
    <x v="3"/>
    <n v="1802366.2799999998"/>
  </r>
  <r>
    <m/>
    <s v="Cocoa"/>
    <s v="Prime Agro Exports Nigeria Limited"/>
    <x v="7"/>
    <s v="1/21/2023"/>
    <n v="906"/>
    <n v="32575.54"/>
    <n v="9617.59"/>
    <x v="131"/>
    <s v="Lagos"/>
    <s v="Sea"/>
    <x v="3"/>
    <n v="8713536.540000001"/>
  </r>
  <r>
    <m/>
    <s v="Cocoa"/>
    <s v="Golden Farms Nigeria Limited"/>
    <x v="7"/>
    <s v="11/25/2023"/>
    <n v="881"/>
    <n v="41023.599999999999"/>
    <n v="9427.2999999999993"/>
    <x v="132"/>
    <s v="Port Harcourt"/>
    <s v="Sea"/>
    <x v="3"/>
    <n v="8305451.2999999998"/>
  </r>
  <r>
    <m/>
    <s v="Cocoa"/>
    <s v="Farmgate Nigeria Limited"/>
    <x v="7"/>
    <s v="9/16/2023"/>
    <n v="989"/>
    <n v="31752.95"/>
    <n v="7600.6"/>
    <x v="133"/>
    <s v="Warri"/>
    <s v="Sea"/>
    <x v="3"/>
    <n v="7516993.4000000004"/>
  </r>
  <r>
    <m/>
    <s v="Cocoa"/>
    <s v="Agro Allied Exporters Nigeria Limited"/>
    <x v="5"/>
    <s v="11/16/2023"/>
    <n v="410"/>
    <n v="33864.480000000003"/>
    <n v="7060.48"/>
    <x v="134"/>
    <s v="Lagos"/>
    <s v="Sea"/>
    <x v="3"/>
    <n v="2894796.7999999998"/>
  </r>
  <r>
    <m/>
    <s v="Cocoa"/>
    <s v="Prime Agro Exports Nigeria Limited"/>
    <x v="5"/>
    <s v="11/20/2023"/>
    <n v="372"/>
    <n v="43946.38"/>
    <n v="6638.27"/>
    <x v="135"/>
    <s v="Lagos"/>
    <s v="Sea"/>
    <x v="3"/>
    <n v="2469436.44"/>
  </r>
</pivotCacheRecords>
</file>

<file path=xl/pivotCache/pivotCacheRecords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2">
  <r>
    <s v="Plantain"/>
    <s v="Nigeria Agro Export Company"/>
    <x v="0"/>
    <s v="3/2/2020"/>
    <n v="121"/>
    <x v="0"/>
    <n v="2772.91"/>
    <n v="5986170.0800000001"/>
    <s v="Calabar"/>
    <s v="Sea"/>
    <x v="0"/>
    <n v="335522.11"/>
  </r>
  <r>
    <s v="Plantain"/>
    <s v="Agro Allied Exporters Nigeria Limited"/>
    <x v="0"/>
    <s v="3/6/2020"/>
    <n v="368"/>
    <x v="1"/>
    <n v="2336.56"/>
    <n v="11057998.880000001"/>
    <s v="Lagos"/>
    <s v="Sea"/>
    <x v="0"/>
    <n v="859854.08"/>
  </r>
  <r>
    <s v="Plantain"/>
    <s v="Greenfield Agro Exporters Nigeria Limited"/>
    <x v="0"/>
    <s v="6/25/2020"/>
    <n v="430"/>
    <x v="2"/>
    <n v="5916.22"/>
    <n v="8128204"/>
    <s v="Port Harcourt"/>
    <s v="Sea"/>
    <x v="0"/>
    <n v="2543974.6"/>
  </r>
  <r>
    <s v="Plantain"/>
    <s v="Golden Farms Nigeria Limited"/>
    <x v="0"/>
    <s v="8/16/2020"/>
    <n v="617"/>
    <x v="3"/>
    <n v="6752.01"/>
    <n v="7062650.9199999999"/>
    <s v="Calabar"/>
    <s v="Sea"/>
    <x v="0"/>
    <n v="4165990.17"/>
  </r>
  <r>
    <s v="Plantain"/>
    <s v="Prime Agro Exports Nigeria Limited"/>
    <x v="1"/>
    <s v="3/13/2020"/>
    <n v="910"/>
    <x v="4"/>
    <n v="3347.95"/>
    <n v="31548471.5"/>
    <s v="Calabar"/>
    <s v="Sea"/>
    <x v="0"/>
    <n v="3046634.5"/>
  </r>
  <r>
    <s v="Plantain"/>
    <s v="Agriplus Nigeria Limited"/>
    <x v="1"/>
    <s v="7/24/2020"/>
    <n v="498"/>
    <x v="5"/>
    <n v="2367.6"/>
    <n v="7491692.8799999999"/>
    <s v="Lagos"/>
    <s v="Sea"/>
    <x v="0"/>
    <n v="1179064.8"/>
  </r>
  <r>
    <s v="Plantain"/>
    <s v="Prime Agro Exports Nigeria Limited"/>
    <x v="1"/>
    <s v="8/29/2020"/>
    <n v="631"/>
    <x v="6"/>
    <n v="9796.94"/>
    <n v="19247620.16"/>
    <s v="Lagos"/>
    <s v="Sea"/>
    <x v="0"/>
    <n v="6181869.1400000006"/>
  </r>
  <r>
    <s v="Plantain"/>
    <s v="Greenfield Agro Exporters Nigeria Limited"/>
    <x v="2"/>
    <s v="1/30/2020"/>
    <n v="458"/>
    <x v="7"/>
    <n v="3177.15"/>
    <n v="6326143.3200000003"/>
    <s v="Lagos"/>
    <s v="Sea"/>
    <x v="0"/>
    <n v="1455134.7"/>
  </r>
  <r>
    <s v="Plantain"/>
    <s v="Nigerian Export Promotion Council (NEPC)"/>
    <x v="2"/>
    <s v="10/1/2020"/>
    <n v="223"/>
    <x v="8"/>
    <n v="8780.61"/>
    <n v="7213073.2599999998"/>
    <s v="Lagos"/>
    <s v="Sea"/>
    <x v="0"/>
    <n v="1958076.03"/>
  </r>
  <r>
    <s v="Plantain"/>
    <s v="Solid Agro Nigeria Limited"/>
    <x v="2"/>
    <s v="12/30/2020"/>
    <n v="574"/>
    <x v="9"/>
    <n v="8175.79"/>
    <n v="7573522.46"/>
    <s v="Warri"/>
    <s v="Sea"/>
    <x v="0"/>
    <n v="4692903.46"/>
  </r>
  <r>
    <s v="Plantain"/>
    <s v="Nigeria Agro Export Company"/>
    <x v="3"/>
    <s v="12/25/2020"/>
    <n v="363"/>
    <x v="10"/>
    <n v="4413.29"/>
    <n v="7716189.3600000003"/>
    <s v="Lagos"/>
    <s v="Sea"/>
    <x v="0"/>
    <n v="1602024.27"/>
  </r>
  <r>
    <s v="Plantain"/>
    <s v="Nigeria Agro Export Company"/>
    <x v="3"/>
    <s v="4/24/2020"/>
    <n v="298"/>
    <x v="11"/>
    <n v="8683.01"/>
    <n v="14516053.82"/>
    <s v="Warri"/>
    <s v="Sea"/>
    <x v="0"/>
    <n v="2587536.98"/>
  </r>
  <r>
    <s v="Plantain"/>
    <s v="Agro Export Nigeria Ltd"/>
    <x v="3"/>
    <s v="5/18/2020"/>
    <n v="347"/>
    <x v="12"/>
    <n v="4710.34"/>
    <n v="8155082.96"/>
    <s v="Lagos"/>
    <s v="Sea"/>
    <x v="0"/>
    <n v="1634487.98"/>
  </r>
  <r>
    <s v="Plantain"/>
    <s v="Nigeria Agro Export Company"/>
    <x v="3"/>
    <s v="8/13/2020"/>
    <n v="743"/>
    <x v="13"/>
    <n v="3800.89"/>
    <n v="19355863.280000001"/>
    <s v="Lagos"/>
    <s v="Sea"/>
    <x v="0"/>
    <n v="2824061.27"/>
  </r>
  <r>
    <s v="Plantain"/>
    <s v="Nigerian Export Promotion Council (NEPC)"/>
    <x v="4"/>
    <s v="1/23/2020"/>
    <n v="870"/>
    <x v="14"/>
    <n v="7385.82"/>
    <n v="24727662"/>
    <s v="Port Harcourt"/>
    <s v="Sea"/>
    <x v="0"/>
    <n v="6425663.3999999994"/>
  </r>
  <r>
    <s v="Plantain"/>
    <s v="Prime Agro Exports Nigeria Limited"/>
    <x v="4"/>
    <s v="8/25/2020"/>
    <n v="141"/>
    <x v="15"/>
    <n v="5976.25"/>
    <n v="6541164.8399999999"/>
    <s v="Port Harcourt"/>
    <s v="Sea"/>
    <x v="0"/>
    <n v="842651.25"/>
  </r>
  <r>
    <s v="Plantain"/>
    <s v="Agro Allied Exporters Nigeria Limited"/>
    <x v="5"/>
    <s v="8/25/2020"/>
    <n v="844"/>
    <x v="16"/>
    <n v="2564.4299999999998"/>
    <n v="29402242.32"/>
    <s v="Lagos"/>
    <s v="Sea"/>
    <x v="0"/>
    <n v="2164378.92"/>
  </r>
  <r>
    <s v="Plantain"/>
    <s v="Solid Agro Nigeria Limited"/>
    <x v="4"/>
    <s v="8/8/2020"/>
    <n v="463"/>
    <x v="17"/>
    <n v="5651.94"/>
    <n v="9873099.9700000007"/>
    <s v="Lagos"/>
    <s v="Sea"/>
    <x v="0"/>
    <n v="2616848.2199999997"/>
  </r>
  <r>
    <s v="Plantain"/>
    <s v="Greenfield Agro Exporters Nigeria Limited"/>
    <x v="6"/>
    <s v="8/28/2020"/>
    <n v="230"/>
    <x v="18"/>
    <n v="7570.06"/>
    <n v="7605108.7000000002"/>
    <s v="Lagos"/>
    <s v="Sea"/>
    <x v="0"/>
    <n v="1741113.8"/>
  </r>
  <r>
    <s v="Plantain"/>
    <s v="Greenfield Agro Exporters Nigeria Limited"/>
    <x v="7"/>
    <s v="1/8/2020"/>
    <n v="619"/>
    <x v="19"/>
    <n v="2337.4299999999998"/>
    <n v="8096278.5899999999"/>
    <s v="Lagos"/>
    <s v="Sea"/>
    <x v="0"/>
    <n v="1446869.17"/>
  </r>
  <r>
    <s v="Plantain"/>
    <s v="Agro Allied Exporters Nigeria Limited"/>
    <x v="7"/>
    <s v="11/8/2020"/>
    <n v="161"/>
    <x v="20"/>
    <n v="7018.74"/>
    <n v="3700467.47"/>
    <s v="Lagos"/>
    <s v="Sea"/>
    <x v="0"/>
    <n v="1130017.1399999999"/>
  </r>
  <r>
    <s v="Plantain"/>
    <s v="Nigeria Agro Export Company"/>
    <x v="5"/>
    <s v="11/15/2020"/>
    <n v="909"/>
    <x v="21"/>
    <n v="5159.22"/>
    <n v="17427138.93"/>
    <s v="Warri"/>
    <s v="Sea"/>
    <x v="0"/>
    <n v="4689730.9800000004"/>
  </r>
  <r>
    <s v="Plantain"/>
    <s v="Agro Allied Exporters Nigeria Limited"/>
    <x v="5"/>
    <s v="12/20/2020"/>
    <n v="222"/>
    <x v="22"/>
    <n v="9701.85"/>
    <n v="3796544.1"/>
    <s v="Calabar"/>
    <s v="Sea"/>
    <x v="0"/>
    <n v="2153810.7000000002"/>
  </r>
  <r>
    <s v="Plantain"/>
    <s v="Agro Allied Exporters Nigeria Limited"/>
    <x v="8"/>
    <s v="2/7/2020"/>
    <n v="292"/>
    <x v="23"/>
    <n v="9990.57"/>
    <n v="11586960.039999999"/>
    <s v="Lagos"/>
    <s v="Sea"/>
    <x v="0"/>
    <n v="2917246.44"/>
  </r>
  <r>
    <s v="Plantain"/>
    <s v="Agro Export Nigeria Ltd"/>
    <x v="8"/>
    <s v="3/1/2020"/>
    <n v="462"/>
    <x v="24"/>
    <n v="8516.9699999999993"/>
    <n v="15016755.6"/>
    <s v="Lagos"/>
    <s v="Sea"/>
    <x v="0"/>
    <n v="3934840.1399999997"/>
  </r>
  <r>
    <s v="Plantain"/>
    <s v="Agro Allied Exporters Nigeria Limited"/>
    <x v="8"/>
    <s v="4/13/2020"/>
    <n v="883"/>
    <x v="25"/>
    <n v="8581.08"/>
    <n v="28022808.530000001"/>
    <s v="Warri"/>
    <s v="Sea"/>
    <x v="0"/>
    <n v="7577093.6399999997"/>
  </r>
  <r>
    <s v="Plantain"/>
    <s v="Nigerian Export Promotion Council (NEPC)"/>
    <x v="8"/>
    <s v="7/15/2020"/>
    <n v="250"/>
    <x v="26"/>
    <n v="8307.68"/>
    <n v="4751740"/>
    <s v="Port Harcourt"/>
    <s v="Sea"/>
    <x v="0"/>
    <n v="2076920"/>
  </r>
  <r>
    <s v="Plantain"/>
    <s v="Prime Agro Exports Nigeria Limited"/>
    <x v="9"/>
    <s v="12/19/2020"/>
    <n v="274"/>
    <x v="27"/>
    <n v="5147.67"/>
    <n v="12626117.279999999"/>
    <s v="Warri"/>
    <s v="Sea"/>
    <x v="0"/>
    <n v="1410461.58"/>
  </r>
  <r>
    <s v="Plantain"/>
    <s v="Prime Agro Exports Nigeria Limited"/>
    <x v="9"/>
    <s v="7/19/2020"/>
    <n v="492"/>
    <x v="28"/>
    <n v="3262.88"/>
    <n v="11520529.32"/>
    <s v="Port Harcourt"/>
    <s v="Sea"/>
    <x v="0"/>
    <n v="1605336.96"/>
  </r>
  <r>
    <s v="Plantain"/>
    <s v="Nigerian Export Promotion Council (NEPC)"/>
    <x v="9"/>
    <s v="8/11/2020"/>
    <n v="578"/>
    <x v="29"/>
    <n v="6835.16"/>
    <n v="28201290.48"/>
    <s v="Lagos"/>
    <s v="Sea"/>
    <x v="0"/>
    <n v="3950722.48"/>
  </r>
  <r>
    <s v="Plantain"/>
    <s v="Farmgate Nigeria Limited"/>
    <x v="9"/>
    <s v="9/3/2020"/>
    <n v="646"/>
    <x v="30"/>
    <n v="8152.32"/>
    <n v="6678406.1399999997"/>
    <s v="Lagos"/>
    <s v="Sea"/>
    <x v="0"/>
    <n v="5266398.72"/>
  </r>
  <r>
    <s v="Plantain"/>
    <s v="Agro Export Nigeria Ltd"/>
    <x v="0"/>
    <s v="10/31/2021"/>
    <n v="171"/>
    <x v="31"/>
    <n v="2088.86"/>
    <n v="5789314.4400000004"/>
    <s v="Lagos"/>
    <s v="Sea"/>
    <x v="1"/>
    <n v="357195.06"/>
  </r>
  <r>
    <s v="Plantain"/>
    <s v="Prime Agro Exports Nigeria Limited"/>
    <x v="0"/>
    <s v="12/12/2021"/>
    <n v="360"/>
    <x v="32"/>
    <n v="6592.49"/>
    <n v="9268293.5999999996"/>
    <s v="Lagos"/>
    <s v="Sea"/>
    <x v="1"/>
    <n v="2373296.4"/>
  </r>
  <r>
    <s v="Plantain"/>
    <s v="Agriplus Nigeria Limited"/>
    <x v="0"/>
    <s v="2/20/2021"/>
    <n v="662"/>
    <x v="33"/>
    <n v="3116.32"/>
    <n v="32263033.399999999"/>
    <s v="Warri"/>
    <s v="Sea"/>
    <x v="1"/>
    <n v="2063003.84"/>
  </r>
  <r>
    <s v="Plantain"/>
    <s v="Nigeria Agro Export Company"/>
    <x v="0"/>
    <s v="2/26/2021"/>
    <n v="376"/>
    <x v="34"/>
    <n v="7571.43"/>
    <n v="13528829.68"/>
    <s v="Lagos"/>
    <s v="Sea"/>
    <x v="1"/>
    <n v="2846857.68"/>
  </r>
  <r>
    <s v="Plantain"/>
    <s v="Farmgate Nigeria Limited"/>
    <x v="0"/>
    <s v="4/16/2021"/>
    <n v="337"/>
    <x v="35"/>
    <n v="3985.16"/>
    <n v="15770386.800000001"/>
    <s v="Port Harcourt"/>
    <s v="Sea"/>
    <x v="1"/>
    <n v="1342998.92"/>
  </r>
  <r>
    <s v="Plantain"/>
    <s v="Agro Export Nigeria Ltd"/>
    <x v="1"/>
    <s v="5/26/2021"/>
    <n v="359"/>
    <x v="36"/>
    <n v="6945.16"/>
    <n v="13870076.289999999"/>
    <s v="Lagos"/>
    <s v="Sea"/>
    <x v="1"/>
    <n v="2493312.44"/>
  </r>
  <r>
    <s v="Plantain"/>
    <s v="Golden Farms Nigeria Limited"/>
    <x v="1"/>
    <s v="6/19/2021"/>
    <n v="341"/>
    <x v="37"/>
    <n v="5442.89"/>
    <n v="6863235.3899999997"/>
    <s v="Calabar"/>
    <s v="Sea"/>
    <x v="1"/>
    <n v="1856025.4900000002"/>
  </r>
  <r>
    <s v="Plantain"/>
    <s v="Golden Farms Nigeria Limited"/>
    <x v="2"/>
    <s v="10/3/2021"/>
    <n v="630"/>
    <x v="38"/>
    <n v="4141.3100000000004"/>
    <n v="21102234.300000001"/>
    <s v="Lagos"/>
    <s v="Sea"/>
    <x v="1"/>
    <n v="2609025.3000000003"/>
  </r>
  <r>
    <s v="Plantain"/>
    <s v="Agro Export Nigeria Ltd"/>
    <x v="2"/>
    <s v="3/30/2021"/>
    <n v="522"/>
    <x v="39"/>
    <n v="3932.05"/>
    <n v="11558818.26"/>
    <s v="Warri"/>
    <s v="Sea"/>
    <x v="1"/>
    <n v="2052530.1"/>
  </r>
  <r>
    <s v="Plantain"/>
    <s v="Solid Agro Nigeria Limited"/>
    <x v="2"/>
    <s v="5/27/2021"/>
    <n v="794"/>
    <x v="40"/>
    <n v="6427.82"/>
    <n v="30537009.739999998"/>
    <s v="Lagos"/>
    <s v="Sea"/>
    <x v="1"/>
    <n v="5103689.08"/>
  </r>
  <r>
    <s v="Plantain"/>
    <s v="Agriplus Nigeria Limited"/>
    <x v="3"/>
    <s v="2/5/2021"/>
    <n v="617"/>
    <x v="41"/>
    <n v="3859.98"/>
    <n v="7745065.2599999998"/>
    <s v="Port Harcourt"/>
    <s v="Sea"/>
    <x v="1"/>
    <n v="2381607.66"/>
  </r>
  <r>
    <s v="Plantain"/>
    <s v="Agro Allied Exporters Nigeria Limited"/>
    <x v="3"/>
    <s v="6/4/2021"/>
    <n v="474"/>
    <x v="42"/>
    <n v="3362.61"/>
    <n v="5124617.82"/>
    <s v="Lagos"/>
    <s v="Sea"/>
    <x v="1"/>
    <n v="1593877.1400000001"/>
  </r>
  <r>
    <s v="Plantain"/>
    <s v="Nigerian Export Promotion Council (NEPC)"/>
    <x v="4"/>
    <s v="10/8/2021"/>
    <n v="999"/>
    <x v="43"/>
    <n v="8990.8700000000008"/>
    <n v="20473266.239999998"/>
    <s v="Warri"/>
    <s v="Sea"/>
    <x v="1"/>
    <n v="8981879.1300000008"/>
  </r>
  <r>
    <s v="Plantain"/>
    <s v="Agriplus Nigeria Limited"/>
    <x v="4"/>
    <s v="11/17/2021"/>
    <n v="914"/>
    <x v="44"/>
    <n v="3227.13"/>
    <n v="31696496.32"/>
    <s v="Lagos"/>
    <s v="Sea"/>
    <x v="1"/>
    <n v="2949596.8200000003"/>
  </r>
  <r>
    <s v="Plantain"/>
    <s v="Nigeria Agro Export Company"/>
    <x v="4"/>
    <s v="12/18/2021"/>
    <n v="673"/>
    <x v="45"/>
    <n v="2563.04"/>
    <n v="29543818.370000001"/>
    <s v="Lagos"/>
    <s v="Sea"/>
    <x v="1"/>
    <n v="1724925.92"/>
  </r>
  <r>
    <s v="Plantain"/>
    <s v="Golden Farms Nigeria Limited"/>
    <x v="6"/>
    <s v="10/25/2021"/>
    <n v="957"/>
    <x v="46"/>
    <n v="8532.3799999999992"/>
    <n v="35734485.270000003"/>
    <s v="Lagos"/>
    <s v="Sea"/>
    <x v="1"/>
    <n v="8165487.6599999992"/>
  </r>
  <r>
    <s v="Plantain"/>
    <s v="Greenfield Agro Exporters Nigeria Limited"/>
    <x v="5"/>
    <s v="10/25/2021"/>
    <n v="575"/>
    <x v="47"/>
    <n v="4159.79"/>
    <n v="5926318"/>
    <s v="Lagos"/>
    <s v="Sea"/>
    <x v="1"/>
    <n v="2391879.25"/>
  </r>
  <r>
    <s v="Plantain"/>
    <s v="Golden Farms Nigeria Limited"/>
    <x v="6"/>
    <s v="11/29/2021"/>
    <n v="522"/>
    <x v="48"/>
    <n v="3240.13"/>
    <n v="10079209.26"/>
    <s v="Warri"/>
    <s v="Sea"/>
    <x v="1"/>
    <n v="1691347.86"/>
  </r>
  <r>
    <s v="Plantain"/>
    <s v="Farmgate Nigeria Limited"/>
    <x v="6"/>
    <s v="3/8/2021"/>
    <n v="797"/>
    <x v="49"/>
    <n v="6541.42"/>
    <n v="38237246.590000004"/>
    <s v="Lagos"/>
    <s v="Sea"/>
    <x v="1"/>
    <n v="5213511.74"/>
  </r>
  <r>
    <s v="Plantain"/>
    <s v="Farmgate Nigeria Limited"/>
    <x v="6"/>
    <s v="7/7/2021"/>
    <n v="626"/>
    <x v="50"/>
    <n v="7839.31"/>
    <n v="26717072.780000001"/>
    <s v="Calabar"/>
    <s v="Sea"/>
    <x v="1"/>
    <n v="4907408.0600000005"/>
  </r>
  <r>
    <s v="Plantain"/>
    <s v="Prime Agro Exports Nigeria Limited"/>
    <x v="6"/>
    <s v="9/27/2021"/>
    <n v="743"/>
    <x v="51"/>
    <n v="9317.83"/>
    <n v="17873771.460000001"/>
    <s v="Calabar"/>
    <s v="Sea"/>
    <x v="1"/>
    <n v="6923147.6900000004"/>
  </r>
  <r>
    <s v="Plantain"/>
    <s v="Agriplus Nigeria Limited"/>
    <x v="7"/>
    <s v="8/5/2021"/>
    <n v="455"/>
    <x v="52"/>
    <n v="6985.57"/>
    <n v="19464772.600000001"/>
    <s v="Lagos"/>
    <s v="Sea"/>
    <x v="1"/>
    <n v="3178434.35"/>
  </r>
  <r>
    <s v="Plantain"/>
    <s v="Greenfield Agro Exporters Nigeria Limited"/>
    <x v="5"/>
    <s v="10/27/2021"/>
    <n v="425"/>
    <x v="53"/>
    <n v="8443.98"/>
    <n v="19142242.25"/>
    <s v="Lagos"/>
    <s v="Sea"/>
    <x v="1"/>
    <n v="3588691.5"/>
  </r>
  <r>
    <s v="Plantain"/>
    <s v="Agro Allied Exporters Nigeria Limited"/>
    <x v="5"/>
    <s v="8/1/2021"/>
    <n v="473"/>
    <x v="54"/>
    <n v="7740.41"/>
    <n v="14507827.619999999"/>
    <s v="Lagos"/>
    <s v="Sea"/>
    <x v="1"/>
    <n v="3661213.9299999997"/>
  </r>
  <r>
    <s v="Plantain"/>
    <s v="Greenfield Agro Exporters Nigeria Limited"/>
    <x v="8"/>
    <s v="11/22/2021"/>
    <n v="340"/>
    <x v="55"/>
    <n v="4656.6099999999997"/>
    <n v="10893440.199999999"/>
    <s v="Port Harcourt"/>
    <s v="Sea"/>
    <x v="1"/>
    <n v="1583247.4"/>
  </r>
  <r>
    <s v="Plantain"/>
    <s v="Nigeria Agro Export Company"/>
    <x v="8"/>
    <s v="2/14/2021"/>
    <n v="415"/>
    <x v="56"/>
    <n v="7271.19"/>
    <n v="19050691.199999999"/>
    <s v="Lagos"/>
    <s v="Sea"/>
    <x v="1"/>
    <n v="3017543.8499999996"/>
  </r>
  <r>
    <s v="Plantain"/>
    <s v="Nigeria Agro Export Company"/>
    <x v="8"/>
    <s v="3/19/2021"/>
    <n v="516"/>
    <x v="57"/>
    <n v="7508.61"/>
    <n v="24993915.120000001"/>
    <s v="Warri"/>
    <s v="Sea"/>
    <x v="1"/>
    <n v="3874442.76"/>
  </r>
  <r>
    <s v="Plantain"/>
    <s v="Golden Farms Nigeria Limited"/>
    <x v="9"/>
    <s v="10/17/2021"/>
    <n v="874"/>
    <x v="58"/>
    <n v="2679.84"/>
    <n v="27716244.300000001"/>
    <s v="Port Harcourt"/>
    <s v="Sea"/>
    <x v="1"/>
    <n v="2342180.16"/>
  </r>
  <r>
    <s v="Plantain"/>
    <s v="Nigerian Export Promotion Council (NEPC)"/>
    <x v="9"/>
    <s v="2/4/2021"/>
    <n v="760"/>
    <x v="59"/>
    <n v="8712.1299999999992"/>
    <n v="16140956"/>
    <s v="Lagos"/>
    <s v="Sea"/>
    <x v="1"/>
    <n v="6621218.7999999998"/>
  </r>
  <r>
    <s v="Plantain"/>
    <s v="Nigerian Export Promotion Council (NEPC)"/>
    <x v="9"/>
    <s v="2/9/2021"/>
    <n v="564"/>
    <x v="60"/>
    <n v="8576.44"/>
    <n v="23500599.719999999"/>
    <s v="Lagos"/>
    <s v="Sea"/>
    <x v="1"/>
    <n v="4837112.16"/>
  </r>
  <r>
    <s v="Plantain"/>
    <s v="Agriplus Nigeria Limited"/>
    <x v="9"/>
    <s v="5/14/2021"/>
    <n v="407"/>
    <x v="61"/>
    <n v="5093.8500000000004"/>
    <n v="10036937.460000001"/>
    <s v="Lagos"/>
    <s v="Sea"/>
    <x v="1"/>
    <n v="2073196.9500000002"/>
  </r>
  <r>
    <s v="Plantain"/>
    <s v="Greenfield Agro Exporters Nigeria Limited"/>
    <x v="0"/>
    <s v="4/11/2022"/>
    <n v="316"/>
    <x v="62"/>
    <n v="8153.51"/>
    <n v="10620355.52"/>
    <s v="Port Harcourt"/>
    <s v="Sea"/>
    <x v="2"/>
    <n v="2576509.16"/>
  </r>
  <r>
    <s v="Plantain"/>
    <s v="Golden Farms Nigeria Limited"/>
    <x v="0"/>
    <s v="5/15/2022"/>
    <n v="895"/>
    <x v="63"/>
    <n v="6556.12"/>
    <n v="39797338.5"/>
    <s v="Lagos"/>
    <s v="Sea"/>
    <x v="2"/>
    <n v="5867727.3999999994"/>
  </r>
  <r>
    <s v="Plantain"/>
    <s v="Agro Allied Exporters Nigeria Limited"/>
    <x v="0"/>
    <s v="9/12/2022"/>
    <n v="249"/>
    <x v="64"/>
    <n v="5844.67"/>
    <n v="7078781.1600000001"/>
    <s v="Lagos"/>
    <s v="Sea"/>
    <x v="2"/>
    <n v="1455322.83"/>
  </r>
  <r>
    <s v="Plantain"/>
    <s v="Agro Allied Exporters Nigeria Limited"/>
    <x v="1"/>
    <s v="10/29/2022"/>
    <n v="151"/>
    <x v="65"/>
    <n v="7761.71"/>
    <n v="1718363.39"/>
    <s v="Lagos"/>
    <s v="Sea"/>
    <x v="2"/>
    <n v="1172018.21"/>
  </r>
  <r>
    <s v="Plantain"/>
    <s v="Greenfield Agro Exporters Nigeria Limited"/>
    <x v="1"/>
    <s v="4/15/2022"/>
    <n v="926"/>
    <x v="66"/>
    <n v="4426.1400000000003"/>
    <n v="22266049.66"/>
    <s v="Calabar"/>
    <s v="Sea"/>
    <x v="2"/>
    <n v="4098605.64"/>
  </r>
  <r>
    <s v="Plantain"/>
    <s v="Farmgate Nigeria Limited"/>
    <x v="1"/>
    <s v="6/26/2022"/>
    <n v="486"/>
    <x v="67"/>
    <n v="9878.35"/>
    <n v="18542401.739999998"/>
    <s v="Warri"/>
    <s v="Sea"/>
    <x v="2"/>
    <n v="4800878.1000000006"/>
  </r>
  <r>
    <s v="Plantain"/>
    <s v="Nigeria Agro Export Company"/>
    <x v="2"/>
    <s v="11/14/2022"/>
    <n v="167"/>
    <x v="68"/>
    <n v="2572.19"/>
    <n v="3685711.71"/>
    <s v="Calabar"/>
    <s v="Sea"/>
    <x v="2"/>
    <n v="429555.73"/>
  </r>
  <r>
    <s v="Plantain"/>
    <s v="Greenfield Agro Exporters Nigeria Limited"/>
    <x v="2"/>
    <s v="7/18/2022"/>
    <n v="779"/>
    <x v="69"/>
    <n v="2626.87"/>
    <n v="20584140.199999999"/>
    <s v="Lagos"/>
    <s v="Sea"/>
    <x v="2"/>
    <n v="2046331.73"/>
  </r>
  <r>
    <s v="Plantain"/>
    <s v="Solid Agro Nigeria Limited"/>
    <x v="2"/>
    <s v="7/25/2022"/>
    <n v="933"/>
    <x v="70"/>
    <n v="6247.48"/>
    <n v="17573792.07"/>
    <s v="Warri"/>
    <s v="Sea"/>
    <x v="2"/>
    <n v="5828898.8399999999"/>
  </r>
  <r>
    <s v="Plantain"/>
    <s v="Farmgate Nigeria Limited"/>
    <x v="2"/>
    <s v="8/26/2022"/>
    <n v="103"/>
    <x v="71"/>
    <n v="8992.5"/>
    <n v="1323776.6000000001"/>
    <s v="Lagos"/>
    <s v="Sea"/>
    <x v="2"/>
    <n v="926227.5"/>
  </r>
  <r>
    <s v="Plantain"/>
    <s v="Greenfield Agro Exporters Nigeria Limited"/>
    <x v="4"/>
    <s v="4/9/2022"/>
    <n v="608"/>
    <x v="72"/>
    <n v="6615.26"/>
    <n v="17215155.199999999"/>
    <s v="Lagos"/>
    <s v="Sea"/>
    <x v="2"/>
    <n v="4022078.08"/>
  </r>
  <r>
    <s v="Plantain"/>
    <s v="Greenfield Agro Exporters Nigeria Limited"/>
    <x v="4"/>
    <s v="6/12/2022"/>
    <n v="384"/>
    <x v="73"/>
    <n v="4490.5600000000004"/>
    <n v="8149409.2800000003"/>
    <s v="Calabar"/>
    <s v="Sea"/>
    <x v="2"/>
    <n v="1724375.04"/>
  </r>
  <r>
    <s v="Plantain"/>
    <s v="Solid Agro Nigeria Limited"/>
    <x v="4"/>
    <s v="6/15/2022"/>
    <n v="825"/>
    <x v="74"/>
    <n v="7496.94"/>
    <n v="36727069.5"/>
    <s v="Lagos"/>
    <s v="Sea"/>
    <x v="2"/>
    <n v="6184975.5"/>
  </r>
  <r>
    <s v="Plantain"/>
    <s v="Farmgate Nigeria Limited"/>
    <x v="6"/>
    <s v="6/23/2022"/>
    <n v="883"/>
    <x v="75"/>
    <n v="8368.84"/>
    <n v="25110480.27"/>
    <s v="Lagos"/>
    <s v="Sea"/>
    <x v="2"/>
    <n v="7389685.7199999997"/>
  </r>
  <r>
    <s v="Plantain"/>
    <s v="Golden Farms Nigeria Limited"/>
    <x v="6"/>
    <s v="8/9/2022"/>
    <n v="386"/>
    <x v="76"/>
    <n v="4796.95"/>
    <n v="8177772.8399999999"/>
    <s v="Lagos"/>
    <s v="Sea"/>
    <x v="2"/>
    <n v="1851622.7"/>
  </r>
  <r>
    <s v="Plantain"/>
    <s v="Nigeria Agro Export Company"/>
    <x v="7"/>
    <s v="1/10/2022"/>
    <n v="609"/>
    <x v="77"/>
    <n v="2186.16"/>
    <n v="15982133.16"/>
    <s v="Port Harcourt"/>
    <s v="Sea"/>
    <x v="2"/>
    <n v="1331371.44"/>
  </r>
  <r>
    <s v="Plantain"/>
    <s v="Agriplus Nigeria Limited"/>
    <x v="9"/>
    <s v="1/10/2022"/>
    <n v="643"/>
    <x v="78"/>
    <n v="9700.9500000000007"/>
    <n v="31634699.800000001"/>
    <s v="Calabar"/>
    <s v="Sea"/>
    <x v="2"/>
    <n v="6237710.8500000006"/>
  </r>
  <r>
    <s v="Plantain"/>
    <s v="Nigeria Agro Export Company"/>
    <x v="7"/>
    <s v="12/23/2022"/>
    <n v="354"/>
    <x v="79"/>
    <n v="8893.66"/>
    <n v="10550439"/>
    <s v="Warri"/>
    <s v="Sea"/>
    <x v="2"/>
    <n v="3148355.64"/>
  </r>
  <r>
    <s v="Plantain"/>
    <s v="Nigeria Agro Export Company"/>
    <x v="7"/>
    <s v="2/7/2022"/>
    <n v="394"/>
    <x v="80"/>
    <n v="4748.54"/>
    <n v="18209395.559999999"/>
    <s v="Lagos"/>
    <s v="Sea"/>
    <x v="2"/>
    <n v="1870924.76"/>
  </r>
  <r>
    <s v="Plantain"/>
    <s v="Agro Export Nigeria Ltd"/>
    <x v="7"/>
    <s v="5/31/2022"/>
    <n v="539"/>
    <x v="81"/>
    <n v="4742.1000000000004"/>
    <n v="12515682.41"/>
    <s v="Lagos"/>
    <s v="Sea"/>
    <x v="2"/>
    <n v="2555991.9000000004"/>
  </r>
  <r>
    <s v="Plantain"/>
    <s v="Nigeria Agro Export Company"/>
    <x v="5"/>
    <s v="6/24/2022"/>
    <n v="708"/>
    <x v="82"/>
    <n v="9607.32"/>
    <n v="21619084.440000001"/>
    <s v="Port Harcourt"/>
    <s v="Sea"/>
    <x v="2"/>
    <n v="6801982.5599999996"/>
  </r>
  <r>
    <s v="Plantain"/>
    <s v="Golden Farms Nigeria Limited"/>
    <x v="5"/>
    <s v="8/11/2022"/>
    <n v="780"/>
    <x v="83"/>
    <n v="7099.21"/>
    <n v="12669727.199999999"/>
    <s v="Port Harcourt"/>
    <s v="Sea"/>
    <x v="2"/>
    <n v="5537383.7999999998"/>
  </r>
  <r>
    <s v="Plantain"/>
    <s v="Nigeria Agro Export Company"/>
    <x v="8"/>
    <s v="1/11/2022"/>
    <n v="538"/>
    <x v="84"/>
    <n v="9497.2900000000009"/>
    <n v="8663532.3599999994"/>
    <s v="Lagos"/>
    <s v="Sea"/>
    <x v="2"/>
    <n v="5109542.0200000005"/>
  </r>
  <r>
    <s v="Plantain"/>
    <s v="Nigerian Export Promotion Council (NEPC)"/>
    <x v="8"/>
    <s v="3/5/2022"/>
    <n v="426"/>
    <x v="85"/>
    <n v="8439.65"/>
    <n v="11613905.939999999"/>
    <s v="Lagos"/>
    <s v="Sea"/>
    <x v="2"/>
    <n v="3595290.9"/>
  </r>
  <r>
    <s v="Plantain"/>
    <s v="Agro Allied Exporters Nigeria Limited"/>
    <x v="8"/>
    <s v="8/19/2022"/>
    <n v="346"/>
    <x v="86"/>
    <n v="9731.66"/>
    <n v="14906410.060000001"/>
    <s v="Lagos"/>
    <s v="Sea"/>
    <x v="2"/>
    <n v="3367154.36"/>
  </r>
  <r>
    <s v="Plantain"/>
    <s v="Nigeria Agro Export Company"/>
    <x v="9"/>
    <s v="2/4/2022"/>
    <n v="253"/>
    <x v="87"/>
    <n v="2641.17"/>
    <n v="3524778.29"/>
    <s v="Warri"/>
    <s v="Sea"/>
    <x v="2"/>
    <n v="668216.01"/>
  </r>
  <r>
    <s v="Plantain"/>
    <s v="Golden Farms Nigeria Limited"/>
    <x v="0"/>
    <s v="10/13/2023"/>
    <n v="872"/>
    <x v="88"/>
    <n v="4780.03"/>
    <n v="10873962.08"/>
    <s v="Warri"/>
    <s v="Sea"/>
    <x v="3"/>
    <n v="4168186.1599999997"/>
  </r>
  <r>
    <s v="Plantain"/>
    <s v="Nigerian Export Promotion Council (NEPC)"/>
    <x v="9"/>
    <s v="10/13/2023"/>
    <n v="104"/>
    <x v="89"/>
    <n v="5633.91"/>
    <n v="4169916.4"/>
    <s v="Lagos"/>
    <s v="Sea"/>
    <x v="3"/>
    <n v="585926.64"/>
  </r>
  <r>
    <s v="Plantain"/>
    <s v="Agro Export Nigeria Ltd"/>
    <x v="0"/>
    <s v="2/22/2023"/>
    <n v="828"/>
    <x v="90"/>
    <n v="4963.47"/>
    <n v="28003738.32"/>
    <s v="Lagos"/>
    <s v="Sea"/>
    <x v="3"/>
    <n v="4109753.16"/>
  </r>
  <r>
    <s v="Plantain"/>
    <s v="Nigerian Export Promotion Council (NEPC)"/>
    <x v="0"/>
    <s v="5/18/2023"/>
    <n v="893"/>
    <x v="91"/>
    <n v="6398.44"/>
    <n v="29032617.690000001"/>
    <s v="Lagos"/>
    <s v="Sea"/>
    <x v="3"/>
    <n v="5713806.9199999999"/>
  </r>
  <r>
    <s v="Plantain"/>
    <s v="Nigerian Export Promotion Council (NEPC)"/>
    <x v="0"/>
    <s v="6/19/2023"/>
    <n v="878"/>
    <x v="92"/>
    <n v="5032.49"/>
    <n v="33525218.359999999"/>
    <s v="Lagos"/>
    <s v="Sea"/>
    <x v="3"/>
    <n v="4418526.22"/>
  </r>
  <r>
    <s v="Plantain"/>
    <s v="Greenfield Agro Exporters Nigeria Limited"/>
    <x v="0"/>
    <s v="7/10/2023"/>
    <n v="700"/>
    <x v="93"/>
    <n v="3922.05"/>
    <n v="16828945"/>
    <s v="Lagos"/>
    <s v="Sea"/>
    <x v="3"/>
    <n v="2745435"/>
  </r>
  <r>
    <s v="Plantain"/>
    <s v="Agriplus Nigeria Limited"/>
    <x v="1"/>
    <s v="10/26/2023"/>
    <n v="127"/>
    <x v="94"/>
    <n v="9712.9699999999993"/>
    <n v="4529468.97"/>
    <s v="Lagos"/>
    <s v="Sea"/>
    <x v="3"/>
    <n v="1233547.19"/>
  </r>
  <r>
    <s v="Plantain"/>
    <s v="Nigeria Agro Export Company"/>
    <x v="2"/>
    <s v="12/23/2023"/>
    <n v="592"/>
    <x v="95"/>
    <n v="7497.09"/>
    <n v="19325324.960000001"/>
    <s v="Lagos"/>
    <s v="Sea"/>
    <x v="3"/>
    <n v="4438277.28"/>
  </r>
  <r>
    <s v="Plantain"/>
    <s v="Prime Agro Exports Nigeria Limited"/>
    <x v="2"/>
    <s v="2/2/2023"/>
    <n v="589"/>
    <x v="96"/>
    <n v="4814.2299999999996"/>
    <n v="28117363.940000001"/>
    <s v="Calabar"/>
    <s v="Sea"/>
    <x v="3"/>
    <n v="2835581.4699999997"/>
  </r>
  <r>
    <s v="Plantain"/>
    <s v="Farmgate Nigeria Limited"/>
    <x v="2"/>
    <s v="8/23/2023"/>
    <n v="199"/>
    <x v="97"/>
    <n v="4799.3999999999996"/>
    <n v="4678886.01"/>
    <s v="Lagos"/>
    <s v="Sea"/>
    <x v="3"/>
    <n v="955080.6"/>
  </r>
  <r>
    <s v="Plantain"/>
    <s v="Agriplus Nigeria Limited"/>
    <x v="3"/>
    <s v="2/10/2023"/>
    <n v="226"/>
    <x v="98"/>
    <n v="3962.41"/>
    <n v="2783110.9"/>
    <s v="Lagos"/>
    <s v="Sea"/>
    <x v="3"/>
    <n v="895504.65999999992"/>
  </r>
  <r>
    <s v="Plantain"/>
    <s v="Agro Export Nigeria Ltd"/>
    <x v="3"/>
    <s v="6/9/2023"/>
    <n v="744"/>
    <x v="99"/>
    <n v="7770.71"/>
    <n v="12772225.68"/>
    <s v="Warri"/>
    <s v="Sea"/>
    <x v="3"/>
    <n v="5781408.2400000002"/>
  </r>
  <r>
    <s v="Plantain"/>
    <s v="Golden Farms Nigeria Limited"/>
    <x v="3"/>
    <s v="7/13/2023"/>
    <n v="951"/>
    <x v="100"/>
    <n v="2982.69"/>
    <n v="29259940.050000001"/>
    <s v="Lagos"/>
    <s v="Sea"/>
    <x v="3"/>
    <n v="2836538.19"/>
  </r>
  <r>
    <s v="Plantain"/>
    <s v="Nigeria Agro Export Company"/>
    <x v="3"/>
    <s v="7/7/2023"/>
    <n v="649"/>
    <x v="101"/>
    <n v="2479.19"/>
    <n v="13528495.859999999"/>
    <s v="Port Harcourt"/>
    <s v="Sea"/>
    <x v="3"/>
    <n v="1608994.31"/>
  </r>
  <r>
    <s v="Plantain"/>
    <s v="Agro Allied Exporters Nigeria Limited"/>
    <x v="4"/>
    <s v="5/25/2023"/>
    <n v="132"/>
    <x v="102"/>
    <n v="8575.33"/>
    <n v="2133017.04"/>
    <s v="Lagos"/>
    <s v="Sea"/>
    <x v="3"/>
    <n v="1131943.56"/>
  </r>
  <r>
    <s v="Plantain"/>
    <s v="Greenfield Agro Exporters Nigeria Limited"/>
    <x v="9"/>
    <s v="5/25/2023"/>
    <n v="662"/>
    <x v="103"/>
    <n v="8576.5"/>
    <n v="18595109.98"/>
    <s v="Warri"/>
    <s v="Sea"/>
    <x v="3"/>
    <n v="5677643"/>
  </r>
  <r>
    <s v="Plantain"/>
    <s v="Solid Agro Nigeria Limited"/>
    <x v="4"/>
    <s v="9/13/2023"/>
    <n v="192"/>
    <x v="104"/>
    <n v="8717.5499999999993"/>
    <n v="6542394.2400000002"/>
    <s v="Lagos"/>
    <s v="Sea"/>
    <x v="3"/>
    <n v="1673769.5999999999"/>
  </r>
  <r>
    <s v="Plantain"/>
    <s v="Prime Agro Exports Nigeria Limited"/>
    <x v="6"/>
    <s v="6/15/2023"/>
    <n v="884"/>
    <x v="105"/>
    <n v="5297.56"/>
    <n v="31416034"/>
    <s v="Lagos"/>
    <s v="Sea"/>
    <x v="3"/>
    <n v="4683043.04"/>
  </r>
  <r>
    <s v="Plantain"/>
    <s v="Prime Agro Exports Nigeria Limited"/>
    <x v="6"/>
    <s v="9/2/2023"/>
    <n v="755"/>
    <x v="106"/>
    <n v="6920.42"/>
    <n v="19003591.600000001"/>
    <s v="Lagos"/>
    <s v="Sea"/>
    <x v="3"/>
    <n v="5224917.0999999996"/>
  </r>
  <r>
    <s v="Plantain"/>
    <s v="Solid Agro Nigeria Limited"/>
    <x v="7"/>
    <s v="12/19/2023"/>
    <n v="172"/>
    <x v="107"/>
    <n v="9892.2999999999993"/>
    <n v="7717529.9199999999"/>
    <s v="Port Harcourt"/>
    <s v="Sea"/>
    <x v="3"/>
    <n v="1701475.5999999999"/>
  </r>
  <r>
    <s v="Plantain"/>
    <s v="Greenfield Agro Exporters Nigeria Limited"/>
    <x v="7"/>
    <s v="3/23/2023"/>
    <n v="151"/>
    <x v="108"/>
    <n v="9423.51"/>
    <n v="4457800.8600000003"/>
    <s v="Lagos"/>
    <s v="Sea"/>
    <x v="3"/>
    <n v="1422950.01"/>
  </r>
  <r>
    <s v="Plantain"/>
    <s v="Solid Agro Nigeria Limited"/>
    <x v="7"/>
    <s v="3/7/2023"/>
    <n v="655"/>
    <x v="109"/>
    <n v="7623.92"/>
    <n v="9776215.5999999996"/>
    <s v="Lagos"/>
    <s v="Sea"/>
    <x v="3"/>
    <n v="4993667.5999999996"/>
  </r>
  <r>
    <s v="Plantain"/>
    <s v="Prime Agro Exports Nigeria Limited"/>
    <x v="7"/>
    <s v="4/18/2023"/>
    <n v="464"/>
    <x v="110"/>
    <n v="8782.0400000000009"/>
    <n v="21776628.960000001"/>
    <s v="Lagos"/>
    <s v="Sea"/>
    <x v="3"/>
    <n v="4074866.5600000005"/>
  </r>
  <r>
    <s v="Plantain"/>
    <s v="Agro Allied Exporters Nigeria Limited"/>
    <x v="5"/>
    <s v="1/28/2023"/>
    <n v="761"/>
    <x v="111"/>
    <n v="6557.5"/>
    <n v="28968872.850000001"/>
    <s v="Lagos"/>
    <s v="Sea"/>
    <x v="3"/>
    <n v="4990257.5"/>
  </r>
  <r>
    <s v="Plantain"/>
    <s v="Nigeria Agro Export Company"/>
    <x v="5"/>
    <s v="12/8/2023"/>
    <n v="893"/>
    <x v="112"/>
    <n v="3989.22"/>
    <n v="34890170.82"/>
    <s v="Lagos"/>
    <s v="Sea"/>
    <x v="3"/>
    <n v="3562373.46"/>
  </r>
  <r>
    <s v="Plantain"/>
    <s v="Agriplus Nigeria Limited"/>
    <x v="5"/>
    <s v="3/27/2023"/>
    <n v="684"/>
    <x v="113"/>
    <n v="4144.3999999999996"/>
    <n v="29176074.719999999"/>
    <s v="Lagos"/>
    <s v="Sea"/>
    <x v="3"/>
    <n v="2834769.5999999996"/>
  </r>
  <r>
    <s v="Plantain"/>
    <s v="Golden Farms Nigeria Limited"/>
    <x v="5"/>
    <s v="5/27/2023"/>
    <n v="837"/>
    <x v="114"/>
    <n v="8183.76"/>
    <n v="13458583.35"/>
    <s v="Lagos"/>
    <s v="Sea"/>
    <x v="3"/>
    <n v="6849807.1200000001"/>
  </r>
  <r>
    <s v="Plantain"/>
    <s v="Golden Farms Nigeria Limited"/>
    <x v="8"/>
    <s v="12/3/2023"/>
    <n v="685"/>
    <x v="115"/>
    <n v="2197.46"/>
    <n v="33103248.350000001"/>
    <s v="Port Harcourt"/>
    <s v="Sea"/>
    <x v="3"/>
    <n v="1505260.1"/>
  </r>
  <r>
    <s v="Plantain"/>
    <s v="Agro Allied Exporters Nigeria Limited"/>
    <x v="8"/>
    <s v="5/15/2023"/>
    <n v="282"/>
    <x v="116"/>
    <n v="3544.77"/>
    <n v="12989813.939999999"/>
    <s v="Warri"/>
    <s v="Sea"/>
    <x v="3"/>
    <n v="999625.14"/>
  </r>
  <r>
    <s v="Plantain"/>
    <s v="Golden Farms Nigeria Limited"/>
    <x v="8"/>
    <s v="5/6/2023"/>
    <n v="460"/>
    <x v="117"/>
    <n v="2762.91"/>
    <n v="19401309.600000001"/>
    <s v="Lagos"/>
    <s v="Sea"/>
    <x v="3"/>
    <n v="1270938.5999999999"/>
  </r>
  <r>
    <s v="Plantain"/>
    <s v="Agro Allied Exporters Nigeria Limited"/>
    <x v="8"/>
    <s v="7/15/2023"/>
    <n v="562"/>
    <x v="118"/>
    <n v="4424.41"/>
    <n v="8608536.1600000001"/>
    <s v="Port Harcourt"/>
    <s v="Sea"/>
    <x v="3"/>
    <n v="2486518.42"/>
  </r>
  <r>
    <s v="Plantain"/>
    <s v="Golden Farms Nigeria Limited"/>
    <x v="8"/>
    <s v="9/16/2023"/>
    <n v="309"/>
    <x v="119"/>
    <n v="3213.71"/>
    <n v="13536962.460000001"/>
    <s v="Lagos"/>
    <s v="Sea"/>
    <x v="3"/>
    <n v="993036.39"/>
  </r>
  <r>
    <s v="Plantain"/>
    <s v="Greenfield Agro Exporters Nigeria Limited"/>
    <x v="9"/>
    <s v="11/22/2023"/>
    <n v="188"/>
    <x v="120"/>
    <n v="9861.73"/>
    <n v="7886992.9199999999"/>
    <s v="Lagos"/>
    <s v="Sea"/>
    <x v="3"/>
    <n v="1854005.24"/>
  </r>
  <r>
    <s v="Plantain"/>
    <s v="Nigeria Agro Export Company"/>
    <x v="9"/>
    <s v="11/22/2023"/>
    <n v="507"/>
    <x v="121"/>
    <n v="9986.2000000000007"/>
    <n v="19737996.719999999"/>
    <s v="Warri"/>
    <s v="Sea"/>
    <x v="3"/>
    <n v="5063003.4000000004"/>
  </r>
</pivotCacheRecords>
</file>

<file path=xl/pivotCache/pivotCacheRecords9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4">
  <r>
    <s v="Palm Oil"/>
    <s v="Agro Allied Exporters Nigeria Limited"/>
    <x v="0"/>
    <s v="5/25/2020"/>
    <n v="246"/>
    <n v="28229.09"/>
    <n v="2527.7600000000002"/>
    <n v="6944356.1399999997"/>
    <s v="Lagos"/>
    <s v="Sea"/>
    <x v="0"/>
    <n v="621828.96000000008"/>
  </r>
  <r>
    <s v="Palm Oil"/>
    <s v="Agro Allied Exporters Nigeria Limited"/>
    <x v="1"/>
    <s v="1/30/2020"/>
    <n v="595"/>
    <n v="30005.57"/>
    <n v="7039.46"/>
    <n v="17853314.149999999"/>
    <s v="Lagos"/>
    <s v="Sea"/>
    <x v="0"/>
    <n v="4188478.7"/>
  </r>
  <r>
    <s v="Palm Oil"/>
    <s v="Solid Agro Nigeria Limited"/>
    <x v="1"/>
    <s v="11/18/2020"/>
    <n v="617"/>
    <n v="10920.48"/>
    <n v="7123.67"/>
    <n v="6737936.1600000001"/>
    <s v="Port Harcourt"/>
    <s v="Sea"/>
    <x v="0"/>
    <n v="4395304.3899999997"/>
  </r>
  <r>
    <s v="Palm Oil"/>
    <s v="Agro Export Nigeria Ltd"/>
    <x v="1"/>
    <s v="2/18/2020"/>
    <n v="322"/>
    <n v="44206.36"/>
    <n v="2884.76"/>
    <n v="14234447.92"/>
    <s v="Lagos"/>
    <s v="Sea"/>
    <x v="0"/>
    <n v="928892.72000000009"/>
  </r>
  <r>
    <s v="Palm Oil"/>
    <s v="Agro Export Nigeria Ltd"/>
    <x v="1"/>
    <s v="5/20/2020"/>
    <n v="316"/>
    <n v="17819.75"/>
    <n v="9927.7999999999993"/>
    <n v="5631041"/>
    <s v="Lagos"/>
    <s v="Sea"/>
    <x v="0"/>
    <n v="3137184.8"/>
  </r>
  <r>
    <s v="Palm Oil"/>
    <s v="Agriplus Nigeria Limited"/>
    <x v="1"/>
    <s v="8/12/2020"/>
    <n v="988"/>
    <n v="41728.32"/>
    <n v="4505.7"/>
    <n v="41227580.159999996"/>
    <s v="Lagos"/>
    <s v="Sea"/>
    <x v="0"/>
    <n v="4451631.5999999996"/>
  </r>
  <r>
    <s v="Palm Oil"/>
    <s v="Solid Agro Nigeria Limited"/>
    <x v="1"/>
    <s v="8/4/2020"/>
    <n v="390"/>
    <n v="42865.760000000002"/>
    <n v="8235.34"/>
    <n v="16717646.4"/>
    <s v="Lagos"/>
    <s v="Sea"/>
    <x v="0"/>
    <n v="3211782.6"/>
  </r>
  <r>
    <s v="Palm Oil"/>
    <s v="Greenfield Agro Exporters Nigeria Limited"/>
    <x v="2"/>
    <s v="7/20/2020"/>
    <n v="698"/>
    <n v="36248.769999999997"/>
    <n v="3758.47"/>
    <n v="25301641.460000001"/>
    <s v="Lagos"/>
    <s v="Sea"/>
    <x v="0"/>
    <n v="2623412.06"/>
  </r>
  <r>
    <s v="Palm Oil"/>
    <s v="Agro Allied Exporters Nigeria Limited"/>
    <x v="2"/>
    <s v="7/6/2020"/>
    <n v="579"/>
    <n v="24022.55"/>
    <n v="4183.58"/>
    <n v="13909056.449999999"/>
    <s v="Port Harcourt"/>
    <s v="Sea"/>
    <x v="0"/>
    <n v="2422292.8199999998"/>
  </r>
  <r>
    <s v="Palm Oil"/>
    <s v="Farmgate Nigeria Limited"/>
    <x v="2"/>
    <s v="9/4/2020"/>
    <n v="851"/>
    <n v="33435.72"/>
    <n v="7910.73"/>
    <n v="28453797.719999999"/>
    <s v="Lagos"/>
    <s v="Sea"/>
    <x v="0"/>
    <n v="6732031.2299999995"/>
  </r>
  <r>
    <s v="Palm Oil"/>
    <s v="Greenfield Agro Exporters Nigeria Limited"/>
    <x v="3"/>
    <s v="9/4/2020"/>
    <n v="258"/>
    <n v="38709.410000000003"/>
    <n v="6434.73"/>
    <n v="9987027.7799999993"/>
    <s v="Lagos"/>
    <s v="Sea"/>
    <x v="0"/>
    <n v="1660160.3399999999"/>
  </r>
  <r>
    <s v="Palm Oil"/>
    <s v="Agro Allied Exporters Nigeria Limited"/>
    <x v="4"/>
    <s v="2/20/2020"/>
    <n v="298"/>
    <n v="29848.18"/>
    <n v="2491.8200000000002"/>
    <n v="8894757.6400000006"/>
    <s v="Calabar"/>
    <s v="Sea"/>
    <x v="0"/>
    <n v="742562.3600000001"/>
  </r>
  <r>
    <s v="Palm Oil"/>
    <s v="Agriplus Nigeria Limited"/>
    <x v="4"/>
    <s v="7/26/2020"/>
    <n v="396"/>
    <n v="29664"/>
    <n v="6786.45"/>
    <n v="11746944"/>
    <s v="Port Harcourt"/>
    <s v="Sea"/>
    <x v="0"/>
    <n v="2687434.1999999997"/>
  </r>
  <r>
    <s v="Palm Oil"/>
    <s v="Solid Agro Nigeria Limited"/>
    <x v="5"/>
    <s v="7/26/2020"/>
    <n v="663"/>
    <n v="11700.02"/>
    <n v="5979.08"/>
    <n v="7757113.2599999998"/>
    <s v="Port Harcourt"/>
    <s v="Sea"/>
    <x v="0"/>
    <n v="3964130.04"/>
  </r>
  <r>
    <s v="Palm Oil"/>
    <s v="Greenfield Agro Exporters Nigeria Limited"/>
    <x v="4"/>
    <s v="9/11/2020"/>
    <n v="187"/>
    <n v="26876.43"/>
    <n v="7122.88"/>
    <n v="5025892.41"/>
    <s v="Port Harcourt"/>
    <s v="Sea"/>
    <x v="0"/>
    <n v="1331978.56"/>
  </r>
  <r>
    <s v="Palm Oil"/>
    <s v="Greenfield Agro Exporters Nigeria Limited"/>
    <x v="6"/>
    <s v="7/18/2020"/>
    <n v="814"/>
    <n v="45418.18"/>
    <n v="2352.81"/>
    <n v="36970398.520000003"/>
    <s v="Lagos"/>
    <s v="Sea"/>
    <x v="0"/>
    <n v="1915187.3399999999"/>
  </r>
  <r>
    <s v="Palm Oil"/>
    <s v="Nigeria Agro Export Company"/>
    <x v="3"/>
    <s v="1/20/2020"/>
    <n v="489"/>
    <n v="28847.43"/>
    <n v="7921.57"/>
    <n v="14106393.27"/>
    <s v="Lagos"/>
    <s v="Sea"/>
    <x v="0"/>
    <n v="3873647.73"/>
  </r>
  <r>
    <s v="Palm Oil"/>
    <s v="Golden Farms Nigeria Limited"/>
    <x v="3"/>
    <s v="11/10/2020"/>
    <n v="596"/>
    <n v="30068.44"/>
    <n v="2819.55"/>
    <n v="17920790.239999998"/>
    <s v="Lagos"/>
    <s v="Sea"/>
    <x v="0"/>
    <n v="1680451.8"/>
  </r>
  <r>
    <s v="Palm Oil"/>
    <s v="Agriplus Nigeria Limited"/>
    <x v="3"/>
    <s v="11/27/2020"/>
    <n v="641"/>
    <n v="36577.96"/>
    <n v="7500.75"/>
    <n v="23446472.359999999"/>
    <s v="Warri"/>
    <s v="Sea"/>
    <x v="0"/>
    <n v="4807980.75"/>
  </r>
  <r>
    <s v="Palm Oil"/>
    <s v="Agriplus Nigeria Limited"/>
    <x v="3"/>
    <s v="2/15/2020"/>
    <n v="448"/>
    <n v="22088.53"/>
    <n v="2968.57"/>
    <n v="9895661.4399999995"/>
    <s v="Calabar"/>
    <s v="Sea"/>
    <x v="0"/>
    <n v="1329919.3600000001"/>
  </r>
  <r>
    <s v="Palm Oil"/>
    <s v="Agro Export Nigeria Ltd"/>
    <x v="3"/>
    <s v="4/3/2020"/>
    <n v="859"/>
    <n v="20798.68"/>
    <n v="9677.49"/>
    <n v="17866066.120000001"/>
    <s v="Port Harcourt"/>
    <s v="Sea"/>
    <x v="0"/>
    <n v="8312963.9100000001"/>
  </r>
  <r>
    <s v="Palm Oil"/>
    <s v="Farmgate Nigeria Limited"/>
    <x v="7"/>
    <s v="10/19/2020"/>
    <n v="395"/>
    <n v="16150.3"/>
    <n v="9981.99"/>
    <n v="6379368.5"/>
    <s v="Lagos"/>
    <s v="Sea"/>
    <x v="0"/>
    <n v="3942886.05"/>
  </r>
  <r>
    <s v="Palm Oil"/>
    <s v="Farmgate Nigeria Limited"/>
    <x v="7"/>
    <s v="3/17/2020"/>
    <n v="783"/>
    <n v="46845.94"/>
    <n v="7199.79"/>
    <n v="36680371.020000003"/>
    <s v="Lagos"/>
    <s v="Sea"/>
    <x v="0"/>
    <n v="5637435.5700000003"/>
  </r>
  <r>
    <s v="Palm Oil"/>
    <s v="Farmgate Nigeria Limited"/>
    <x v="8"/>
    <s v="1/11/2020"/>
    <n v="586"/>
    <n v="11765.54"/>
    <n v="6000.81"/>
    <n v="6894606.4400000004"/>
    <s v="Lagos"/>
    <s v="Sea"/>
    <x v="0"/>
    <n v="3516474.66"/>
  </r>
  <r>
    <s v="Palm Oil"/>
    <s v="Golden Farms Nigeria Limited"/>
    <x v="8"/>
    <s v="1/7/2020"/>
    <n v="656"/>
    <n v="15181.46"/>
    <n v="8490.1200000000008"/>
    <n v="9959037.7599999998"/>
    <s v="Port Harcourt"/>
    <s v="Sea"/>
    <x v="0"/>
    <n v="5569518.7200000007"/>
  </r>
  <r>
    <s v="Palm Oil"/>
    <s v="Prime Agro Exports Nigeria Limited"/>
    <x v="8"/>
    <s v="12/13/2020"/>
    <n v="906"/>
    <n v="42689.17"/>
    <n v="3042.07"/>
    <n v="38676388.020000003"/>
    <s v="Lagos"/>
    <s v="Sea"/>
    <x v="0"/>
    <n v="2756115.42"/>
  </r>
  <r>
    <s v="Palm Oil"/>
    <s v="Agro Allied Exporters Nigeria Limited"/>
    <x v="8"/>
    <s v="7/15/2020"/>
    <n v="797"/>
    <n v="44352.82"/>
    <n v="8523.69"/>
    <n v="35349197.539999999"/>
    <s v="Port Harcourt"/>
    <s v="Sea"/>
    <x v="0"/>
    <n v="6793380.9300000006"/>
  </r>
  <r>
    <s v="Palm Oil"/>
    <s v="Solid Agro Nigeria Limited"/>
    <x v="5"/>
    <s v="10/9/2020"/>
    <n v="170"/>
    <n v="20351.669999999998"/>
    <n v="3702.17"/>
    <n v="3459783.9"/>
    <s v="Port Harcourt"/>
    <s v="Sea"/>
    <x v="0"/>
    <n v="629368.9"/>
  </r>
  <r>
    <s v="Palm Oil"/>
    <s v="Nigeria Agro Export Company"/>
    <x v="5"/>
    <s v="11/2/2020"/>
    <n v="469"/>
    <n v="28403.99"/>
    <n v="4747.66"/>
    <n v="13321471.310000001"/>
    <s v="Port Harcourt"/>
    <s v="Sea"/>
    <x v="0"/>
    <n v="2226652.54"/>
  </r>
  <r>
    <s v="Palm Oil"/>
    <s v="Agro Allied Exporters Nigeria Limited"/>
    <x v="9"/>
    <s v="1/5/2020"/>
    <n v="289"/>
    <n v="42097.15"/>
    <n v="6008.62"/>
    <n v="12166076.35"/>
    <s v="Lagos"/>
    <s v="Sea"/>
    <x v="0"/>
    <n v="1736491.18"/>
  </r>
  <r>
    <s v="Palm Oil"/>
    <s v="Prime Agro Exports Nigeria Limited"/>
    <x v="9"/>
    <s v="5/4/2020"/>
    <n v="193"/>
    <n v="31525.279999999999"/>
    <n v="7795.99"/>
    <n v="6084379.04"/>
    <s v="Warri"/>
    <s v="Sea"/>
    <x v="0"/>
    <n v="1504626.07"/>
  </r>
  <r>
    <s v="Palm Oil"/>
    <s v="Prime Agro Exports Nigeria Limited"/>
    <x v="0"/>
    <s v="1/8/2021"/>
    <n v="881"/>
    <n v="23151.97"/>
    <n v="5868.73"/>
    <n v="20396885.57"/>
    <s v="Lagos"/>
    <s v="Sea"/>
    <x v="1"/>
    <n v="5170351.13"/>
  </r>
  <r>
    <s v="Palm Oil"/>
    <s v="Nigeria Agro Export Company"/>
    <x v="1"/>
    <s v="1/8/2021"/>
    <n v="283"/>
    <n v="18829.439999999999"/>
    <n v="3188.06"/>
    <n v="5328731.5199999996"/>
    <s v="Lagos"/>
    <s v="Sea"/>
    <x v="1"/>
    <n v="902220.98"/>
  </r>
  <r>
    <s v="Palm Oil"/>
    <s v="Solid Agro Nigeria Limited"/>
    <x v="0"/>
    <s v="11/24/2021"/>
    <n v="840"/>
    <n v="49351.45"/>
    <n v="4574.66"/>
    <n v="41455218"/>
    <s v="Lagos"/>
    <s v="Sea"/>
    <x v="1"/>
    <n v="3842714.4"/>
  </r>
  <r>
    <s v="Palm Oil"/>
    <s v="Nigeria Agro Export Company"/>
    <x v="0"/>
    <s v="12/5/2021"/>
    <n v="568"/>
    <n v="37168.160000000003"/>
    <n v="8052.61"/>
    <n v="21111514.879999999"/>
    <s v="Lagos"/>
    <s v="Sea"/>
    <x v="1"/>
    <n v="4573882.4799999995"/>
  </r>
  <r>
    <s v="Palm Oil"/>
    <s v="Greenfield Agro Exporters Nigeria Limited"/>
    <x v="0"/>
    <s v="7/24/2021"/>
    <n v="169"/>
    <n v="36340.15"/>
    <n v="4211.5"/>
    <n v="6141485.3499999996"/>
    <s v="Calabar"/>
    <s v="Sea"/>
    <x v="1"/>
    <n v="711743.5"/>
  </r>
  <r>
    <s v="Palm Oil"/>
    <s v="Nigeria Agro Export Company"/>
    <x v="1"/>
    <s v="10/27/2021"/>
    <n v="391"/>
    <n v="19901.91"/>
    <n v="2594.44"/>
    <n v="7781646.8099999996"/>
    <s v="Lagos"/>
    <s v="Sea"/>
    <x v="1"/>
    <n v="1014426.04"/>
  </r>
  <r>
    <s v="Palm Oil"/>
    <s v="Farmgate Nigeria Limited"/>
    <x v="1"/>
    <s v="10/9/2021"/>
    <n v="428"/>
    <n v="33222.480000000003"/>
    <n v="9269.51"/>
    <n v="14219221.439999999"/>
    <s v="Warri"/>
    <s v="Sea"/>
    <x v="1"/>
    <n v="3967350.2800000003"/>
  </r>
  <r>
    <s v="Palm Oil"/>
    <s v="Agriplus Nigeria Limited"/>
    <x v="1"/>
    <s v="5/28/2021"/>
    <n v="375"/>
    <n v="47026.19"/>
    <n v="3721.51"/>
    <n v="17634821.25"/>
    <s v="Warri"/>
    <s v="Sea"/>
    <x v="1"/>
    <n v="1395566.25"/>
  </r>
  <r>
    <s v="Palm Oil"/>
    <s v="Greenfield Agro Exporters Nigeria Limited"/>
    <x v="1"/>
    <s v="7/13/2021"/>
    <n v="593"/>
    <n v="44749.95"/>
    <n v="4498.4799999999996"/>
    <n v="26536720.350000001"/>
    <s v="Lagos"/>
    <s v="Sea"/>
    <x v="1"/>
    <n v="2667598.6399999997"/>
  </r>
  <r>
    <s v="Palm Oil"/>
    <s v="Prime Agro Exports Nigeria Limited"/>
    <x v="1"/>
    <s v="9/10/2021"/>
    <n v="248"/>
    <n v="49335.1"/>
    <n v="4909.96"/>
    <n v="12235104.800000001"/>
    <s v="Lagos"/>
    <s v="Sea"/>
    <x v="1"/>
    <n v="1217670.08"/>
  </r>
  <r>
    <s v="Palm Oil"/>
    <s v="Golden Farms Nigeria Limited"/>
    <x v="2"/>
    <s v="11/7/2021"/>
    <n v="873"/>
    <n v="35948.04"/>
    <n v="8000.9"/>
    <n v="31382638.920000002"/>
    <s v="Lagos"/>
    <s v="Sea"/>
    <x v="1"/>
    <n v="6984785.6999999993"/>
  </r>
  <r>
    <s v="Palm Oil"/>
    <s v="Solid Agro Nigeria Limited"/>
    <x v="4"/>
    <s v="2/13/2021"/>
    <n v="726"/>
    <n v="24759.94"/>
    <n v="3878.78"/>
    <n v="17975716.440000001"/>
    <s v="Lagos"/>
    <s v="Sea"/>
    <x v="1"/>
    <n v="2815994.2800000003"/>
  </r>
  <r>
    <s v="Palm Oil"/>
    <s v="Prime Agro Exports Nigeria Limited"/>
    <x v="4"/>
    <s v="3/21/2021"/>
    <n v="397"/>
    <n v="22969.040000000001"/>
    <n v="2260.4499999999998"/>
    <n v="9118708.8800000008"/>
    <s v="Lagos"/>
    <s v="Sea"/>
    <x v="1"/>
    <n v="897398.64999999991"/>
  </r>
  <r>
    <s v="Palm Oil"/>
    <s v="Prime Agro Exports Nigeria Limited"/>
    <x v="4"/>
    <s v="3/3/2021"/>
    <n v="676"/>
    <n v="22251.72"/>
    <n v="5992.39"/>
    <n v="15042162.720000001"/>
    <s v="Lagos"/>
    <s v="Sea"/>
    <x v="1"/>
    <n v="4050855.64"/>
  </r>
  <r>
    <s v="Palm Oil"/>
    <s v="Farmgate Nigeria Limited"/>
    <x v="6"/>
    <s v="10/10/2021"/>
    <n v="537"/>
    <n v="48105.59"/>
    <n v="5191.38"/>
    <n v="25832701.829999998"/>
    <s v="Lagos"/>
    <s v="Sea"/>
    <x v="1"/>
    <n v="2787771.06"/>
  </r>
  <r>
    <s v="Palm Oil"/>
    <s v="Solid Agro Nigeria Limited"/>
    <x v="6"/>
    <s v="11/20/2021"/>
    <n v="487"/>
    <n v="48839.39"/>
    <n v="6529.26"/>
    <n v="23784782.93"/>
    <s v="Calabar"/>
    <s v="Sea"/>
    <x v="1"/>
    <n v="3179749.62"/>
  </r>
  <r>
    <s v="Palm Oil"/>
    <s v="Nigeria Agro Export Company"/>
    <x v="6"/>
    <s v="4/13/2021"/>
    <n v="326"/>
    <n v="13973.69"/>
    <n v="7279.87"/>
    <n v="4555422.9400000004"/>
    <s v="Lagos"/>
    <s v="Sea"/>
    <x v="1"/>
    <n v="2373237.62"/>
  </r>
  <r>
    <s v="Palm Oil"/>
    <s v="Solid Agro Nigeria Limited"/>
    <x v="3"/>
    <s v="2/18/2021"/>
    <n v="292"/>
    <n v="27482.77"/>
    <n v="3727.66"/>
    <n v="8024968.8399999999"/>
    <s v="Lagos"/>
    <s v="Sea"/>
    <x v="1"/>
    <n v="1088476.72"/>
  </r>
  <r>
    <s v="Palm Oil"/>
    <s v="Greenfield Agro Exporters Nigeria Limited"/>
    <x v="3"/>
    <s v="3/29/2021"/>
    <n v="586"/>
    <n v="24919.56"/>
    <n v="9611.18"/>
    <n v="14602862.16"/>
    <s v="Warri"/>
    <s v="Sea"/>
    <x v="1"/>
    <n v="5632151.4800000004"/>
  </r>
  <r>
    <s v="Palm Oil"/>
    <s v="Nigerian Export Promotion Council (NEPC)"/>
    <x v="3"/>
    <s v="5/2/2021"/>
    <n v="655"/>
    <n v="45931.66"/>
    <n v="6251.45"/>
    <n v="30085237.300000001"/>
    <s v="Lagos"/>
    <s v="Sea"/>
    <x v="1"/>
    <n v="4094699.75"/>
  </r>
  <r>
    <s v="Palm Oil"/>
    <s v="Agro Export Nigeria Ltd"/>
    <x v="7"/>
    <s v="10/7/2021"/>
    <n v="795"/>
    <n v="39866.44"/>
    <n v="8970.09"/>
    <n v="31693819.800000001"/>
    <s v="Port Harcourt"/>
    <s v="Sea"/>
    <x v="1"/>
    <n v="7131221.5499999998"/>
  </r>
  <r>
    <s v="Palm Oil"/>
    <s v="Agriplus Nigeria Limited"/>
    <x v="7"/>
    <s v="4/25/2021"/>
    <n v="498"/>
    <n v="10454.43"/>
    <n v="7341.9"/>
    <n v="5206306.1399999997"/>
    <s v="Lagos"/>
    <s v="Sea"/>
    <x v="1"/>
    <n v="3656266.1999999997"/>
  </r>
  <r>
    <s v="Palm Oil"/>
    <s v="Farmgate Nigeria Limited"/>
    <x v="7"/>
    <s v="4/28/2021"/>
    <n v="437"/>
    <n v="34043.56"/>
    <n v="9211.58"/>
    <n v="14877035.720000001"/>
    <s v="Lagos"/>
    <s v="Sea"/>
    <x v="1"/>
    <n v="4025460.46"/>
  </r>
  <r>
    <s v="Palm Oil"/>
    <s v="Agro Allied Exporters Nigeria Limited"/>
    <x v="7"/>
    <s v="7/30/2021"/>
    <n v="367"/>
    <n v="41045.83"/>
    <n v="2057.84"/>
    <n v="15063819.609999999"/>
    <s v="Port Harcourt"/>
    <s v="Sea"/>
    <x v="1"/>
    <n v="755227.28"/>
  </r>
  <r>
    <s v="Palm Oil"/>
    <s v="Nigerian Export Promotion Council (NEPC)"/>
    <x v="8"/>
    <s v="10/4/2021"/>
    <n v="535"/>
    <n v="48301.99"/>
    <n v="9496.39"/>
    <n v="25841564.649999999"/>
    <s v="Calabar"/>
    <s v="Sea"/>
    <x v="1"/>
    <n v="5080568.6499999994"/>
  </r>
  <r>
    <s v="Palm Oil"/>
    <s v="Golden Farms Nigeria Limited"/>
    <x v="8"/>
    <s v="11/14/2021"/>
    <n v="323"/>
    <n v="17650.490000000002"/>
    <n v="7102.23"/>
    <n v="5701108.2699999996"/>
    <s v="Lagos"/>
    <s v="Sea"/>
    <x v="1"/>
    <n v="2294020.29"/>
  </r>
  <r>
    <s v="Palm Oil"/>
    <s v="Farmgate Nigeria Limited"/>
    <x v="8"/>
    <s v="11/30/2021"/>
    <n v="809"/>
    <n v="22118.5"/>
    <n v="3485.39"/>
    <n v="17893866.5"/>
    <s v="Port Harcourt"/>
    <s v="Sea"/>
    <x v="1"/>
    <n v="2819680.51"/>
  </r>
  <r>
    <s v="Palm Oil"/>
    <s v="Agro Export Nigeria Ltd"/>
    <x v="8"/>
    <s v="7/31/2021"/>
    <n v="407"/>
    <n v="46822.22"/>
    <n v="6834.45"/>
    <n v="19056643.539999999"/>
    <s v="Calabar"/>
    <s v="Sea"/>
    <x v="1"/>
    <n v="2781621.15"/>
  </r>
  <r>
    <s v="Palm Oil"/>
    <s v="Agriplus Nigeria Limited"/>
    <x v="5"/>
    <s v="2/24/2021"/>
    <n v="517"/>
    <n v="35729.89"/>
    <n v="7932.64"/>
    <n v="18472353.129999999"/>
    <s v="Lagos"/>
    <s v="Sea"/>
    <x v="1"/>
    <n v="4101174.8800000004"/>
  </r>
  <r>
    <s v="Palm Oil"/>
    <s v="Agro Allied Exporters Nigeria Limited"/>
    <x v="5"/>
    <s v="2/27/2021"/>
    <n v="919"/>
    <n v="12736.81"/>
    <n v="5369.17"/>
    <n v="11705128.390000001"/>
    <s v="Lagos"/>
    <s v="Sea"/>
    <x v="1"/>
    <n v="4934267.2300000004"/>
  </r>
  <r>
    <s v="Palm Oil"/>
    <s v="Nigeria Agro Export Company"/>
    <x v="5"/>
    <s v="5/10/2021"/>
    <n v="215"/>
    <n v="17273.349999999999"/>
    <n v="8601.77"/>
    <n v="3713770.25"/>
    <s v="Lagos"/>
    <s v="Sea"/>
    <x v="1"/>
    <n v="1849380.55"/>
  </r>
  <r>
    <s v="Palm Oil"/>
    <s v="Agro Allied Exporters Nigeria Limited"/>
    <x v="5"/>
    <s v="8/19/2021"/>
    <n v="474"/>
    <n v="18544.439999999999"/>
    <n v="5802.97"/>
    <n v="8790064.5600000005"/>
    <s v="Lagos"/>
    <s v="Sea"/>
    <x v="1"/>
    <n v="2750607.7800000003"/>
  </r>
  <r>
    <s v="Palm Oil"/>
    <s v="Farmgate Nigeria Limited"/>
    <x v="9"/>
    <s v="6/9/2021"/>
    <n v="666"/>
    <n v="16418.88"/>
    <n v="5763.85"/>
    <n v="10934974.08"/>
    <s v="Lagos"/>
    <s v="Sea"/>
    <x v="1"/>
    <n v="3838724.1"/>
  </r>
  <r>
    <s v="Palm Oil"/>
    <s v="Solid Agro Nigeria Limited"/>
    <x v="9"/>
    <s v="8/5/2021"/>
    <n v="493"/>
    <n v="40539.5"/>
    <n v="2449.86"/>
    <n v="19985973.5"/>
    <s v="Lagos"/>
    <s v="Sea"/>
    <x v="1"/>
    <n v="1207780.98"/>
  </r>
  <r>
    <s v="Palm Oil"/>
    <s v="Agro Export Nigeria Ltd"/>
    <x v="0"/>
    <s v="11/7/2022"/>
    <n v="184"/>
    <n v="13442.51"/>
    <n v="6666.22"/>
    <n v="2473421.84"/>
    <s v="Lagos"/>
    <s v="Sea"/>
    <x v="2"/>
    <n v="1226584.48"/>
  </r>
  <r>
    <s v="Palm Oil"/>
    <s v="Prime Agro Exports Nigeria Limited"/>
    <x v="0"/>
    <s v="12/19/2022"/>
    <n v="387"/>
    <n v="48052.05"/>
    <n v="4922.24"/>
    <n v="18596143.350000001"/>
    <s v="Warri"/>
    <s v="Sea"/>
    <x v="2"/>
    <n v="1904906.88"/>
  </r>
  <r>
    <s v="Palm Oil"/>
    <s v="Agro Export Nigeria Ltd"/>
    <x v="1"/>
    <s v="7/13/2022"/>
    <n v="324"/>
    <n v="21715.79"/>
    <n v="5623.25"/>
    <n v="7035915.96"/>
    <s v="Warri"/>
    <s v="Sea"/>
    <x v="2"/>
    <n v="1821933"/>
  </r>
  <r>
    <s v="Palm Oil"/>
    <s v="Greenfield Agro Exporters Nigeria Limited"/>
    <x v="2"/>
    <s v="7/13/2022"/>
    <n v="305"/>
    <n v="11804.84"/>
    <n v="5226.45"/>
    <n v="3600476.2"/>
    <s v="Lagos"/>
    <s v="Sea"/>
    <x v="2"/>
    <n v="1594067.25"/>
  </r>
  <r>
    <s v="Palm Oil"/>
    <s v="Prime Agro Exports Nigeria Limited"/>
    <x v="2"/>
    <s v="7/9/2022"/>
    <n v="485"/>
    <n v="25387.8"/>
    <n v="8532.36"/>
    <n v="12313083"/>
    <s v="Lagos"/>
    <s v="Sea"/>
    <x v="2"/>
    <n v="4138194.6"/>
  </r>
  <r>
    <s v="Palm Oil"/>
    <s v="Agro Allied Exporters Nigeria Limited"/>
    <x v="2"/>
    <s v="8/24/2022"/>
    <n v="194"/>
    <n v="24659.84"/>
    <n v="5943.96"/>
    <n v="4784008.96"/>
    <s v="Port Harcourt"/>
    <s v="Sea"/>
    <x v="2"/>
    <n v="1153128.24"/>
  </r>
  <r>
    <s v="Palm Oil"/>
    <s v="Nigeria Agro Export Company"/>
    <x v="4"/>
    <s v="3/12/2022"/>
    <n v="421"/>
    <n v="30096.76"/>
    <n v="2841.69"/>
    <n v="12670735.960000001"/>
    <s v="Lagos"/>
    <s v="Sea"/>
    <x v="2"/>
    <n v="1196351.49"/>
  </r>
  <r>
    <s v="Palm Oil"/>
    <s v="Agro Allied Exporters Nigeria Limited"/>
    <x v="4"/>
    <s v="6/2/2022"/>
    <n v="322"/>
    <n v="24656.86"/>
    <n v="9823.39"/>
    <n v="7939508.9199999999"/>
    <s v="Lagos"/>
    <s v="Sea"/>
    <x v="2"/>
    <n v="3163131.5799999996"/>
  </r>
  <r>
    <s v="Palm Oil"/>
    <s v="Farmgate Nigeria Limited"/>
    <x v="4"/>
    <s v="8/15/2022"/>
    <n v="595"/>
    <n v="33805.15"/>
    <n v="8217.57"/>
    <n v="20114064.25"/>
    <s v="Lagos"/>
    <s v="Sea"/>
    <x v="2"/>
    <n v="4889454.1499999994"/>
  </r>
  <r>
    <s v="Palm Oil"/>
    <s v="Agro Export Nigeria Ltd"/>
    <x v="6"/>
    <s v="11/16/2022"/>
    <n v="565"/>
    <n v="39969.300000000003"/>
    <n v="7847.11"/>
    <n v="22582654.5"/>
    <s v="Lagos"/>
    <s v="Sea"/>
    <x v="2"/>
    <n v="4433617.1499999994"/>
  </r>
  <r>
    <s v="Palm Oil"/>
    <s v="Farmgate Nigeria Limited"/>
    <x v="6"/>
    <s v="3/16/2022"/>
    <n v="922"/>
    <n v="41854.17"/>
    <n v="4970.7299999999996"/>
    <n v="38589544.740000002"/>
    <s v="Lagos"/>
    <s v="Sea"/>
    <x v="2"/>
    <n v="4583013.0599999996"/>
  </r>
  <r>
    <s v="Palm Oil"/>
    <s v="Golden Farms Nigeria Limited"/>
    <x v="6"/>
    <s v="7/30/2022"/>
    <n v="493"/>
    <n v="39934.19"/>
    <n v="4981.33"/>
    <n v="19687555.670000002"/>
    <s v="Calabar"/>
    <s v="Sea"/>
    <x v="2"/>
    <n v="2455795.69"/>
  </r>
  <r>
    <s v="Palm Oil"/>
    <s v="Solid Agro Nigeria Limited"/>
    <x v="6"/>
    <s v="8/18/2022"/>
    <n v="282"/>
    <n v="44740.94"/>
    <n v="5574.34"/>
    <n v="12616945.08"/>
    <s v="Lagos"/>
    <s v="Sea"/>
    <x v="2"/>
    <n v="1571963.8800000001"/>
  </r>
  <r>
    <s v="Palm Oil"/>
    <s v="Prime Agro Exports Nigeria Limited"/>
    <x v="6"/>
    <s v="8/3/2022"/>
    <n v="796"/>
    <n v="49695.31"/>
    <n v="6588.39"/>
    <n v="39557466.759999998"/>
    <s v="Warri"/>
    <s v="Sea"/>
    <x v="2"/>
    <n v="5244358.4400000004"/>
  </r>
  <r>
    <s v="Palm Oil"/>
    <s v="Solid Agro Nigeria Limited"/>
    <x v="3"/>
    <s v="10/24/2022"/>
    <n v="301"/>
    <n v="15004.45"/>
    <n v="9281.36"/>
    <n v="4516339.45"/>
    <s v="Lagos"/>
    <s v="Sea"/>
    <x v="2"/>
    <n v="2793689.3600000003"/>
  </r>
  <r>
    <s v="Palm Oil"/>
    <s v="Greenfield Agro Exporters Nigeria Limited"/>
    <x v="7"/>
    <s v="10/28/2022"/>
    <n v="485"/>
    <n v="21156.93"/>
    <n v="3688.43"/>
    <n v="10261111.050000001"/>
    <s v="Calabar"/>
    <s v="Sea"/>
    <x v="2"/>
    <n v="1788888.5499999998"/>
  </r>
  <r>
    <s v="Palm Oil"/>
    <s v="Golden Farms Nigeria Limited"/>
    <x v="7"/>
    <s v="5/19/2022"/>
    <n v="708"/>
    <n v="45286.58"/>
    <n v="5659.91"/>
    <n v="32062898.640000001"/>
    <s v="Lagos"/>
    <s v="Sea"/>
    <x v="2"/>
    <n v="4007216.28"/>
  </r>
  <r>
    <s v="Palm Oil"/>
    <s v="Prime Agro Exports Nigeria Limited"/>
    <x v="8"/>
    <s v="1/10/2022"/>
    <n v="304"/>
    <n v="41022.879999999997"/>
    <n v="3565.88"/>
    <n v="12470955.52"/>
    <s v="Port Harcourt"/>
    <s v="Sea"/>
    <x v="2"/>
    <n v="1084027.52"/>
  </r>
  <r>
    <s v="Palm Oil"/>
    <s v="Nigerian Export Promotion Council (NEPC)"/>
    <x v="8"/>
    <s v="1/8/2022"/>
    <n v="461"/>
    <n v="17111.71"/>
    <n v="4498.67"/>
    <n v="7888498.3099999996"/>
    <s v="Lagos"/>
    <s v="Sea"/>
    <x v="2"/>
    <n v="2073886.87"/>
  </r>
  <r>
    <s v="Palm Oil"/>
    <s v="Agro Export Nigeria Ltd"/>
    <x v="8"/>
    <s v="2/8/2022"/>
    <n v="659"/>
    <n v="49156.21"/>
    <n v="8159.59"/>
    <n v="32393942.390000001"/>
    <s v="Lagos"/>
    <s v="Sea"/>
    <x v="2"/>
    <n v="5377169.8100000005"/>
  </r>
  <r>
    <s v="Palm Oil"/>
    <s v="Agro Export Nigeria Ltd"/>
    <x v="5"/>
    <s v="11/29/2022"/>
    <n v="807"/>
    <n v="26045.19"/>
    <n v="3752.77"/>
    <n v="21018468.329999998"/>
    <s v="Lagos"/>
    <s v="Sea"/>
    <x v="2"/>
    <n v="3028485.39"/>
  </r>
  <r>
    <s v="Palm Oil"/>
    <s v="Golden Farms Nigeria Limited"/>
    <x v="5"/>
    <s v="11/29/2022"/>
    <n v="519"/>
    <n v="10348.61"/>
    <n v="4190.3100000000004"/>
    <n v="5370928.5899999999"/>
    <s v="Lagos"/>
    <s v="Sea"/>
    <x v="2"/>
    <n v="2174770.89"/>
  </r>
  <r>
    <s v="Palm Oil"/>
    <s v="Golden Farms Nigeria Limited"/>
    <x v="5"/>
    <s v="12/18/2022"/>
    <n v="357"/>
    <n v="18747.68"/>
    <n v="6313.93"/>
    <n v="6692921.7599999998"/>
    <s v="Lagos"/>
    <s v="Sea"/>
    <x v="2"/>
    <n v="2254073.0100000002"/>
  </r>
  <r>
    <s v="Palm Oil"/>
    <s v="Nigeria Agro Export Company"/>
    <x v="5"/>
    <s v="2/19/2022"/>
    <n v="508"/>
    <n v="31225.599999999999"/>
    <n v="8159.69"/>
    <n v="15862604.800000001"/>
    <s v="Warri"/>
    <s v="Sea"/>
    <x v="2"/>
    <n v="4145122.52"/>
  </r>
  <r>
    <s v="Palm Oil"/>
    <s v="Agriplus Nigeria Limited"/>
    <x v="9"/>
    <s v="11/4/2022"/>
    <n v="961"/>
    <n v="35793.54"/>
    <n v="2956.63"/>
    <n v="34397591.939999998"/>
    <s v="Lagos"/>
    <s v="Sea"/>
    <x v="2"/>
    <n v="2841321.43"/>
  </r>
  <r>
    <s v="Palm Oil"/>
    <s v="Nigerian Export Promotion Council (NEPC)"/>
    <x v="9"/>
    <s v="6/3/2022"/>
    <n v="229"/>
    <n v="10532.67"/>
    <n v="8592.31"/>
    <n v="2411981.4300000002"/>
    <s v="Lagos"/>
    <s v="Sea"/>
    <x v="2"/>
    <n v="1967638.99"/>
  </r>
  <r>
    <s v="Palm Oil"/>
    <s v="Prime Agro Exports Nigeria Limited"/>
    <x v="0"/>
    <s v="4/6/2023"/>
    <n v="569"/>
    <n v="45141.75"/>
    <n v="8810.6299999999992"/>
    <n v="25685655.75"/>
    <s v="Port Harcourt"/>
    <s v="Sea"/>
    <x v="3"/>
    <n v="5013248.47"/>
  </r>
  <r>
    <s v="Palm Oil"/>
    <s v="Greenfield Agro Exporters Nigeria Limited"/>
    <x v="0"/>
    <s v="8/26/2023"/>
    <n v="606"/>
    <n v="13144.69"/>
    <n v="5052.79"/>
    <n v="7965682.1399999997"/>
    <s v="Lagos"/>
    <s v="Sea"/>
    <x v="3"/>
    <n v="3061990.7399999998"/>
  </r>
  <r>
    <s v="Palm Oil"/>
    <s v="Nigerian Export Promotion Council (NEPC)"/>
    <x v="1"/>
    <s v="4/1/2023"/>
    <n v="180"/>
    <n v="22060.92"/>
    <n v="3219.94"/>
    <n v="3970965.6"/>
    <s v="Warri"/>
    <s v="Sea"/>
    <x v="3"/>
    <n v="579589.19999999995"/>
  </r>
  <r>
    <s v="Palm Oil"/>
    <s v="Nigeria Agro Export Company"/>
    <x v="2"/>
    <s v="10/24/2023"/>
    <n v="420"/>
    <n v="28193.75"/>
    <n v="6419.32"/>
    <n v="11841375"/>
    <s v="Warri"/>
    <s v="Sea"/>
    <x v="3"/>
    <n v="2696114.4"/>
  </r>
  <r>
    <s v="Palm Oil"/>
    <s v="Agro Export Nigeria Ltd"/>
    <x v="2"/>
    <s v="11/17/2023"/>
    <n v="936"/>
    <n v="17721.41"/>
    <n v="9564.42"/>
    <n v="16587239.76"/>
    <s v="Lagos"/>
    <s v="Sea"/>
    <x v="3"/>
    <n v="8952297.1199999992"/>
  </r>
  <r>
    <s v="Palm Oil"/>
    <s v="Nigerian Export Promotion Council (NEPC)"/>
    <x v="2"/>
    <s v="5/23/2023"/>
    <n v="567"/>
    <n v="35646.93"/>
    <n v="2499.84"/>
    <n v="20211809.309999999"/>
    <s v="Lagos"/>
    <s v="Sea"/>
    <x v="3"/>
    <n v="1417409.28"/>
  </r>
  <r>
    <s v="Palm Oil"/>
    <s v="Agro Export Nigeria Ltd"/>
    <x v="2"/>
    <s v="6/5/2023"/>
    <n v="234"/>
    <n v="30962.68"/>
    <n v="6008.63"/>
    <n v="7245267.1200000001"/>
    <s v="Port Harcourt"/>
    <s v="Sea"/>
    <x v="3"/>
    <n v="1406019.42"/>
  </r>
  <r>
    <s v="Palm Oil"/>
    <s v="Greenfield Agro Exporters Nigeria Limited"/>
    <x v="5"/>
    <s v="6/5/2023"/>
    <n v="474"/>
    <n v="30841.13"/>
    <n v="4757.91"/>
    <n v="14618695.619999999"/>
    <s v="Warri"/>
    <s v="Sea"/>
    <x v="3"/>
    <n v="2255249.34"/>
  </r>
  <r>
    <s v="Palm Oil"/>
    <s v="Farmgate Nigeria Limited"/>
    <x v="2"/>
    <s v="7/4/2023"/>
    <n v="278"/>
    <n v="20419.169999999998"/>
    <n v="5664.55"/>
    <n v="5676529.2599999998"/>
    <s v="Warri"/>
    <s v="Sea"/>
    <x v="3"/>
    <n v="1574744.9000000001"/>
  </r>
  <r>
    <s v="Palm Oil"/>
    <s v="Nigeria Agro Export Company"/>
    <x v="4"/>
    <s v="7/4/2023"/>
    <n v="354"/>
    <n v="31027.21"/>
    <n v="9520.25"/>
    <n v="10983632.34"/>
    <s v="Warri"/>
    <s v="Sea"/>
    <x v="3"/>
    <n v="3370168.5"/>
  </r>
  <r>
    <s v="Palm Oil"/>
    <s v="Prime Agro Exports Nigeria Limited"/>
    <x v="4"/>
    <s v="1/8/2023"/>
    <n v="988"/>
    <n v="28860.1"/>
    <n v="3599.16"/>
    <n v="28513778.800000001"/>
    <s v="Port Harcourt"/>
    <s v="Sea"/>
    <x v="3"/>
    <n v="3555970.08"/>
  </r>
  <r>
    <s v="Palm Oil"/>
    <s v="Agro Allied Exporters Nigeria Limited"/>
    <x v="4"/>
    <s v="7/3/2023"/>
    <n v="218"/>
    <n v="34380.18"/>
    <n v="5264.59"/>
    <n v="7494879.2400000002"/>
    <s v="Lagos"/>
    <s v="Sea"/>
    <x v="3"/>
    <n v="1147680.6200000001"/>
  </r>
  <r>
    <s v="Palm Oil"/>
    <s v="Nigerian Export Promotion Council (NEPC)"/>
    <x v="6"/>
    <s v="2/12/2023"/>
    <n v="610"/>
    <n v="39943.949999999997"/>
    <n v="7608.7"/>
    <n v="24365809.5"/>
    <s v="Lagos"/>
    <s v="Sea"/>
    <x v="3"/>
    <n v="4641307"/>
  </r>
  <r>
    <s v="Palm Oil"/>
    <s v="Agriplus Nigeria Limited"/>
    <x v="6"/>
    <s v="3/30/2023"/>
    <n v="147"/>
    <n v="21580.37"/>
    <n v="5867.99"/>
    <n v="3172314.39"/>
    <s v="Lagos"/>
    <s v="Sea"/>
    <x v="3"/>
    <n v="862594.52999999991"/>
  </r>
  <r>
    <s v="Palm Oil"/>
    <s v="Nigeria Agro Export Company"/>
    <x v="6"/>
    <s v="4/4/2023"/>
    <n v="671"/>
    <n v="28843.84"/>
    <n v="8442.44"/>
    <n v="19354216.640000001"/>
    <s v="Lagos"/>
    <s v="Sea"/>
    <x v="3"/>
    <n v="5664877.2400000002"/>
  </r>
  <r>
    <s v="Palm Oil"/>
    <s v="Agriplus Nigeria Limited"/>
    <x v="9"/>
    <s v="4/4/2023"/>
    <n v="109"/>
    <n v="46963.79"/>
    <n v="2316.44"/>
    <n v="5119053.1100000003"/>
    <s v="Port Harcourt"/>
    <s v="Sea"/>
    <x v="3"/>
    <n v="252491.96"/>
  </r>
  <r>
    <s v="Palm Oil"/>
    <s v="Solid Agro Nigeria Limited"/>
    <x v="6"/>
    <s v="5/7/2023"/>
    <n v="883"/>
    <n v="14518.98"/>
    <n v="2316.41"/>
    <n v="12820259.34"/>
    <s v="Warri"/>
    <s v="Sea"/>
    <x v="3"/>
    <n v="2045390.0299999998"/>
  </r>
  <r>
    <s v="Palm Oil"/>
    <s v="Golden Farms Nigeria Limited"/>
    <x v="6"/>
    <s v="8/1/2023"/>
    <n v="459"/>
    <n v="46065.87"/>
    <n v="9128.74"/>
    <n v="21144234.329999998"/>
    <s v="Lagos"/>
    <s v="Sea"/>
    <x v="3"/>
    <n v="4190091.6599999997"/>
  </r>
  <r>
    <s v="Palm Oil"/>
    <s v="Farmgate Nigeria Limited"/>
    <x v="6"/>
    <s v="8/20/2023"/>
    <n v="597"/>
    <n v="41654.949999999997"/>
    <n v="3911.88"/>
    <n v="24868005.149999999"/>
    <s v="Lagos"/>
    <s v="Sea"/>
    <x v="3"/>
    <n v="2335392.36"/>
  </r>
  <r>
    <s v="Palm Oil"/>
    <s v="Agro Allied Exporters Nigeria Limited"/>
    <x v="7"/>
    <s v="8/20/2023"/>
    <n v="863"/>
    <n v="49549.96"/>
    <n v="4979.97"/>
    <n v="42761615.479999997"/>
    <s v="Lagos"/>
    <s v="Sea"/>
    <x v="3"/>
    <n v="4297714.1100000003"/>
  </r>
  <r>
    <s v="Palm Oil"/>
    <s v="Agriplus Nigeria Limited"/>
    <x v="3"/>
    <s v="8/30/2023"/>
    <n v="227"/>
    <n v="18867.009999999998"/>
    <n v="9051.2900000000009"/>
    <n v="4282811.2699999996"/>
    <s v="Lagos"/>
    <s v="Sea"/>
    <x v="3"/>
    <n v="2054642.8300000003"/>
  </r>
  <r>
    <s v="Palm Oil"/>
    <s v="Solid Agro Nigeria Limited"/>
    <x v="7"/>
    <s v="2/18/2023"/>
    <n v="627"/>
    <n v="15178.04"/>
    <n v="9884.25"/>
    <n v="9516631.0800000001"/>
    <s v="Port Harcourt"/>
    <s v="Sea"/>
    <x v="3"/>
    <n v="6197424.75"/>
  </r>
  <r>
    <s v="Palm Oil"/>
    <s v="Nigerian Export Promotion Council (NEPC)"/>
    <x v="7"/>
    <s v="3/3/2023"/>
    <n v="913"/>
    <n v="30290.13"/>
    <n v="9751.19"/>
    <n v="27654888.690000001"/>
    <s v="Lagos"/>
    <s v="Sea"/>
    <x v="3"/>
    <n v="8902836.4700000007"/>
  </r>
  <r>
    <s v="Palm Oil"/>
    <s v="Agro Export Nigeria Ltd"/>
    <x v="7"/>
    <s v="9/20/2023"/>
    <n v="338"/>
    <n v="10969.85"/>
    <n v="9711.49"/>
    <n v="3707809.3"/>
    <s v="Calabar"/>
    <s v="Sea"/>
    <x v="3"/>
    <n v="3282483.62"/>
  </r>
  <r>
    <s v="Palm Oil"/>
    <s v="Agro Export Nigeria Ltd"/>
    <x v="8"/>
    <s v="12/15/2023"/>
    <n v="733"/>
    <n v="33421.870000000003"/>
    <n v="2554.29"/>
    <n v="24498230.710000001"/>
    <s v="Port Harcourt"/>
    <s v="Sea"/>
    <x v="3"/>
    <n v="1872294.57"/>
  </r>
  <r>
    <s v="Palm Oil"/>
    <s v="Greenfield Agro Exporters Nigeria Limited"/>
    <x v="8"/>
    <s v="7/31/2023"/>
    <n v="662"/>
    <n v="29217.41"/>
    <n v="4929.24"/>
    <n v="19341925.420000002"/>
    <s v="Warri"/>
    <s v="Sea"/>
    <x v="3"/>
    <n v="3263156.88"/>
  </r>
  <r>
    <s v="Palm Oil"/>
    <s v="Agriplus Nigeria Limited"/>
    <x v="5"/>
    <s v="1/21/2023"/>
    <n v="530"/>
    <n v="14332.67"/>
    <n v="8759.32"/>
    <n v="7596315.0999999996"/>
    <s v="Lagos"/>
    <s v="Sea"/>
    <x v="3"/>
    <n v="4642439.5999999996"/>
  </r>
  <r>
    <s v="Palm Oil"/>
    <s v="Nigerian Export Promotion Council (NEPC)"/>
    <x v="5"/>
    <s v="11/1/2023"/>
    <n v="869"/>
    <n v="25911.15"/>
    <n v="6977.8"/>
    <n v="22516789.350000001"/>
    <s v="Calabar"/>
    <s v="Sea"/>
    <x v="3"/>
    <n v="6063708.2000000002"/>
  </r>
  <r>
    <s v="Palm Oil"/>
    <s v="Prime Agro Exports Nigeria Limited"/>
    <x v="5"/>
    <s v="2/26/2023"/>
    <n v="315"/>
    <n v="41679.019999999997"/>
    <n v="9014.24"/>
    <n v="13128891.300000001"/>
    <s v="Warri"/>
    <s v="Sea"/>
    <x v="3"/>
    <n v="2839485.6"/>
  </r>
  <r>
    <s v="Palm Oil"/>
    <s v="Agro Export Nigeria Ltd"/>
    <x v="5"/>
    <s v="6/14/2023"/>
    <n v="211"/>
    <n v="16085.4"/>
    <n v="7668.27"/>
    <n v="3394019.4"/>
    <s v="Port Harcourt"/>
    <s v="Sea"/>
    <x v="3"/>
    <n v="1618004.9700000002"/>
  </r>
  <r>
    <s v="Palm Oil"/>
    <s v="Agro Allied Exporters Nigeria Limited"/>
    <x v="5"/>
    <s v="7/24/2023"/>
    <n v="486"/>
    <n v="31281.06"/>
    <n v="3986.65"/>
    <n v="15202595.16"/>
    <s v="Lagos"/>
    <s v="Sea"/>
    <x v="3"/>
    <n v="1937511.9000000001"/>
  </r>
  <r>
    <s v="Palm Oil"/>
    <s v="Agriplus Nigeria Limited"/>
    <x v="5"/>
    <s v="9/6/2023"/>
    <n v="614"/>
    <n v="28806.400000000001"/>
    <n v="3097.77"/>
    <n v="17687129.600000001"/>
    <s v="Lagos"/>
    <s v="Sea"/>
    <x v="3"/>
    <n v="1902030.78"/>
  </r>
  <r>
    <s v="Palm Oil"/>
    <s v="Nigerian Export Promotion Council (NEPC)"/>
    <x v="9"/>
    <s v="4/10/2023"/>
    <n v="336"/>
    <n v="35609.269999999997"/>
    <n v="7905.08"/>
    <n v="11964714.720000001"/>
    <s v="Port Harcourt"/>
    <s v="Sea"/>
    <x v="3"/>
    <n v="2656106.88"/>
  </r>
</pivotCacheRecords>
</file>

<file path=xl/pivotCache/pivotCacheRecords10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5">
  <r>
    <s v="Rubber"/>
    <s v="Nigerian Export Promotion Council (NEPC)"/>
    <x v="0"/>
    <s v="10/8/2020"/>
    <x v="0"/>
    <n v="32818.79"/>
    <n v="3272.06"/>
    <n v="11224026.18"/>
    <s v="Warri"/>
    <s v="Sea"/>
    <x v="0"/>
    <n v="1119044.52"/>
  </r>
  <r>
    <s v="Rubber"/>
    <s v="Prime Agro Exports Nigeria Limited"/>
    <x v="0"/>
    <s v="12/10/2020"/>
    <x v="1"/>
    <n v="28067.85"/>
    <n v="6284.55"/>
    <n v="17261727.75"/>
    <s v="Port Harcourt"/>
    <s v="Sea"/>
    <x v="0"/>
    <n v="3864998.25"/>
  </r>
  <r>
    <s v="Rubber"/>
    <s v="Nigerian Export Promotion Council (NEPC)"/>
    <x v="1"/>
    <s v="4/14/2020"/>
    <x v="2"/>
    <n v="36199.919999999998"/>
    <n v="5054.37"/>
    <n v="20199555.359999999"/>
    <s v="Port Harcourt"/>
    <s v="Sea"/>
    <x v="0"/>
    <n v="2820338.46"/>
  </r>
  <r>
    <s v="Rubber"/>
    <s v="Golden Farms Nigeria Limited"/>
    <x v="1"/>
    <s v="9/30/2020"/>
    <x v="3"/>
    <n v="14985.53"/>
    <n v="2169.04"/>
    <n v="3401715.31"/>
    <s v="Lagos"/>
    <s v="Sea"/>
    <x v="0"/>
    <n v="492372.08"/>
  </r>
  <r>
    <s v="Rubber"/>
    <s v="Prime Agro Exports Nigeria Limited"/>
    <x v="2"/>
    <s v="11/6/2020"/>
    <x v="4"/>
    <n v="42349.4"/>
    <n v="5636.58"/>
    <n v="39723737.200000003"/>
    <s v="Port Harcourt"/>
    <s v="Sea"/>
    <x v="0"/>
    <n v="5287112.04"/>
  </r>
  <r>
    <s v="Rubber"/>
    <s v="Nigerian Export Promotion Council (NEPC)"/>
    <x v="2"/>
    <s v="2/28/2020"/>
    <x v="5"/>
    <n v="46468.26"/>
    <n v="4600.33"/>
    <n v="33085401.120000001"/>
    <s v="Lagos"/>
    <s v="Sea"/>
    <x v="0"/>
    <n v="3275434.96"/>
  </r>
  <r>
    <s v="Rubber"/>
    <s v="Agro Allied Exporters Nigeria Limited"/>
    <x v="3"/>
    <s v="11/21/2020"/>
    <x v="6"/>
    <n v="37053.01"/>
    <n v="4393.6499999999996"/>
    <n v="18674717.039999999"/>
    <s v="Lagos"/>
    <s v="Sea"/>
    <x v="0"/>
    <n v="2214399.5999999996"/>
  </r>
  <r>
    <s v="Rubber"/>
    <s v="Nigerian Export Promotion Council (NEPC)"/>
    <x v="4"/>
    <s v="9/1/2020"/>
    <x v="7"/>
    <n v="20355.66"/>
    <n v="7635"/>
    <n v="13638292.199999999"/>
    <s v="Lagos"/>
    <s v="Sea"/>
    <x v="0"/>
    <n v="5115450"/>
  </r>
  <r>
    <s v="Rubber"/>
    <s v="Solid Agro Nigeria Limited"/>
    <x v="4"/>
    <s v="9/4/2020"/>
    <x v="8"/>
    <n v="20951.060000000001"/>
    <n v="4547.67"/>
    <n v="11879251.02"/>
    <s v="Lagos"/>
    <s v="Sea"/>
    <x v="0"/>
    <n v="2578528.89"/>
  </r>
  <r>
    <s v="Rubber"/>
    <s v="Greenfield Agro Exporters Nigeria Limited"/>
    <x v="5"/>
    <s v="1/19/2020"/>
    <x v="9"/>
    <n v="12339.82"/>
    <n v="6441.71"/>
    <n v="11401993.68"/>
    <s v="Calabar"/>
    <s v="Sea"/>
    <x v="0"/>
    <n v="5952140.04"/>
  </r>
  <r>
    <s v="Rubber"/>
    <s v="Greenfield Agro Exporters Nigeria Limited"/>
    <x v="5"/>
    <s v="11/20/2020"/>
    <x v="10"/>
    <n v="45962.15"/>
    <n v="6370.54"/>
    <n v="22567415.649999999"/>
    <s v="Lagos"/>
    <s v="Sea"/>
    <x v="0"/>
    <n v="3127935.14"/>
  </r>
  <r>
    <s v="Rubber"/>
    <s v="Golden Farms Nigeria Limited"/>
    <x v="5"/>
    <s v="12/23/2020"/>
    <x v="11"/>
    <n v="22639.19"/>
    <n v="9105.1200000000008"/>
    <n v="15485205.960000001"/>
    <s v="Warri"/>
    <s v="Sea"/>
    <x v="0"/>
    <n v="6227902.080000001"/>
  </r>
  <r>
    <s v="Rubber"/>
    <s v="Golden Farms Nigeria Limited"/>
    <x v="5"/>
    <s v="6/11/2020"/>
    <x v="12"/>
    <n v="34804.99"/>
    <n v="8456.36"/>
    <n v="27635162.059999999"/>
    <s v="Calabar"/>
    <s v="Sea"/>
    <x v="0"/>
    <n v="6714349.8400000008"/>
  </r>
  <r>
    <s v="Rubber"/>
    <s v="Farmgate Nigeria Limited"/>
    <x v="6"/>
    <s v="6/11/2020"/>
    <x v="13"/>
    <n v="20247.87"/>
    <n v="6035.27"/>
    <n v="13626816.51"/>
    <s v="Warri"/>
    <s v="Sea"/>
    <x v="0"/>
    <n v="4061736.7100000004"/>
  </r>
  <r>
    <s v="Rubber"/>
    <s v="Agro Allied Exporters Nigeria Limited"/>
    <x v="5"/>
    <s v="6/13/2020"/>
    <x v="14"/>
    <n v="12752.48"/>
    <n v="2678.21"/>
    <n v="4335843.2"/>
    <s v="Lagos"/>
    <s v="Sea"/>
    <x v="0"/>
    <n v="910591.4"/>
  </r>
  <r>
    <s v="Rubber"/>
    <s v="Nigerian Export Promotion Council (NEPC)"/>
    <x v="6"/>
    <s v="2/8/2020"/>
    <x v="15"/>
    <n v="16022.18"/>
    <n v="6105.63"/>
    <n v="2291171.7400000002"/>
    <s v="Calabar"/>
    <s v="Sea"/>
    <x v="0"/>
    <n v="873105.09"/>
  </r>
  <r>
    <s v="Rubber"/>
    <s v="Nigeria Agro Export Company"/>
    <x v="6"/>
    <s v="4/30/2020"/>
    <x v="16"/>
    <n v="20163.080000000002"/>
    <n v="5019.62"/>
    <n v="19054110.600000001"/>
    <s v="Lagos"/>
    <s v="Sea"/>
    <x v="0"/>
    <n v="4743540.8999999994"/>
  </r>
  <r>
    <s v="Rubber"/>
    <s v="Farmgate Nigeria Limited"/>
    <x v="7"/>
    <s v="10/20/2020"/>
    <x v="17"/>
    <n v="47901.59"/>
    <n v="9626.5400000000009"/>
    <n v="41195367.399999999"/>
    <s v="Port Harcourt"/>
    <s v="Sea"/>
    <x v="0"/>
    <n v="8278824.4000000004"/>
  </r>
  <r>
    <s v="Rubber"/>
    <s v="Agro Export Nigeria Ltd"/>
    <x v="7"/>
    <s v="11/16/2020"/>
    <x v="18"/>
    <n v="42823.71"/>
    <n v="9917.77"/>
    <n v="39183694.649999999"/>
    <s v="Lagos"/>
    <s v="Sea"/>
    <x v="0"/>
    <n v="9074759.5500000007"/>
  </r>
  <r>
    <s v="Rubber"/>
    <s v="Nigeria Agro Export Company"/>
    <x v="7"/>
    <s v="4/17/2020"/>
    <x v="19"/>
    <n v="10293.39"/>
    <n v="3434.07"/>
    <n v="8481753.3599999994"/>
    <s v="Lagos"/>
    <s v="Sea"/>
    <x v="0"/>
    <n v="2829673.68"/>
  </r>
  <r>
    <s v="Rubber"/>
    <s v="Agro Allied Exporters Nigeria Limited"/>
    <x v="7"/>
    <s v="5/3/2020"/>
    <x v="20"/>
    <n v="49484.99"/>
    <n v="3040.11"/>
    <n v="15340346.9"/>
    <s v="Lagos"/>
    <s v="Sea"/>
    <x v="0"/>
    <n v="942434.10000000009"/>
  </r>
  <r>
    <s v="Rubber"/>
    <s v="Nigeria Agro Export Company"/>
    <x v="8"/>
    <s v="1/14/2020"/>
    <x v="21"/>
    <n v="32429.66"/>
    <n v="5579.11"/>
    <n v="6129205.7400000002"/>
    <s v="Lagos"/>
    <s v="Sea"/>
    <x v="0"/>
    <n v="1054451.79"/>
  </r>
  <r>
    <s v="Rubber"/>
    <s v="Greenfield Agro Exporters Nigeria Limited"/>
    <x v="8"/>
    <s v="1/30/2020"/>
    <x v="22"/>
    <n v="40318.720000000001"/>
    <n v="3455.24"/>
    <n v="22054339.84"/>
    <s v="Calabar"/>
    <s v="Sea"/>
    <x v="0"/>
    <n v="1890016.2799999998"/>
  </r>
  <r>
    <s v="Rubber"/>
    <s v="Farmgate Nigeria Limited"/>
    <x v="8"/>
    <s v="10/2/2020"/>
    <x v="23"/>
    <n v="46606.43"/>
    <n v="5181.2299999999996"/>
    <n v="18875604.149999999"/>
    <s v="Calabar"/>
    <s v="Sea"/>
    <x v="0"/>
    <n v="2098398.15"/>
  </r>
  <r>
    <s v="Rubber"/>
    <s v="Greenfield Agro Exporters Nigeria Limited"/>
    <x v="8"/>
    <s v="12/31/2020"/>
    <x v="24"/>
    <n v="46332.41"/>
    <n v="6794.61"/>
    <n v="17328321.34"/>
    <s v="Lagos"/>
    <s v="Sea"/>
    <x v="0"/>
    <n v="2541184.1399999997"/>
  </r>
  <r>
    <s v="Rubber"/>
    <s v="Agro Allied Exporters Nigeria Limited"/>
    <x v="8"/>
    <s v="2/5/2020"/>
    <x v="25"/>
    <n v="19481.189999999999"/>
    <n v="4810.38"/>
    <n v="8474317.6500000004"/>
    <s v="Warri"/>
    <s v="Sea"/>
    <x v="0"/>
    <n v="2092515.3"/>
  </r>
  <r>
    <s v="Rubber"/>
    <s v="Golden Farms Nigeria Limited"/>
    <x v="8"/>
    <s v="6/3/2020"/>
    <x v="26"/>
    <n v="48182.29"/>
    <n v="5868.44"/>
    <n v="34209425.899999999"/>
    <s v="Port Harcourt"/>
    <s v="Sea"/>
    <x v="0"/>
    <n v="4166592.4"/>
  </r>
  <r>
    <s v="Rubber"/>
    <s v="Farmgate Nigeria Limited"/>
    <x v="9"/>
    <s v="12/27/2020"/>
    <x v="27"/>
    <n v="23465.06"/>
    <n v="6456.01"/>
    <n v="9409489.0600000005"/>
    <s v="Lagos"/>
    <s v="Sea"/>
    <x v="0"/>
    <n v="2588860.0100000002"/>
  </r>
  <r>
    <s v="Rubber"/>
    <s v="Farmgate Nigeria Limited"/>
    <x v="9"/>
    <s v="6/8/2020"/>
    <x v="28"/>
    <n v="10598.63"/>
    <n v="2227.19"/>
    <n v="1409617.79"/>
    <s v="Port Harcourt"/>
    <s v="Sea"/>
    <x v="0"/>
    <n v="296216.27"/>
  </r>
  <r>
    <s v="Rubber"/>
    <s v="Farmgate Nigeria Limited"/>
    <x v="0"/>
    <s v="10/13/2021"/>
    <x v="29"/>
    <n v="16164.04"/>
    <n v="5948.16"/>
    <n v="3394448.4"/>
    <s v="Lagos"/>
    <s v="Sea"/>
    <x v="1"/>
    <n v="1249113.5999999999"/>
  </r>
  <r>
    <s v="Rubber"/>
    <s v="Prime Agro Exports Nigeria Limited"/>
    <x v="1"/>
    <s v="11/1/2021"/>
    <x v="30"/>
    <n v="46047.77"/>
    <n v="3519.61"/>
    <n v="13860378.77"/>
    <s v="Lagos"/>
    <s v="Sea"/>
    <x v="1"/>
    <n v="1059402.6100000001"/>
  </r>
  <r>
    <s v="Rubber"/>
    <s v="Golden Farms Nigeria Limited"/>
    <x v="1"/>
    <s v="11/25/2021"/>
    <x v="31"/>
    <n v="23316.71"/>
    <n v="3376.13"/>
    <n v="15645512.41"/>
    <s v="Lagos"/>
    <s v="Sea"/>
    <x v="1"/>
    <n v="2265383.23"/>
  </r>
  <r>
    <s v="Rubber"/>
    <s v="Agro Allied Exporters Nigeria Limited"/>
    <x v="1"/>
    <s v="3/17/2021"/>
    <x v="32"/>
    <n v="41015.1"/>
    <n v="8138.42"/>
    <n v="29079705.899999999"/>
    <s v="Warri"/>
    <s v="Sea"/>
    <x v="1"/>
    <n v="5770139.7800000003"/>
  </r>
  <r>
    <s v="Rubber"/>
    <s v="Farmgate Nigeria Limited"/>
    <x v="1"/>
    <s v="7/12/2021"/>
    <x v="33"/>
    <n v="48007.01"/>
    <n v="6015.13"/>
    <n v="28756198.989999998"/>
    <s v="Port Harcourt"/>
    <s v="Sea"/>
    <x v="1"/>
    <n v="3603062.87"/>
  </r>
  <r>
    <s v="Rubber"/>
    <s v="Greenfield Agro Exporters Nigeria Limited"/>
    <x v="1"/>
    <s v="8/4/2021"/>
    <x v="34"/>
    <n v="15631.78"/>
    <n v="6918.65"/>
    <n v="6627874.7199999997"/>
    <s v="Lagos"/>
    <s v="Sea"/>
    <x v="1"/>
    <n v="2933507.5999999996"/>
  </r>
  <r>
    <s v="Rubber"/>
    <s v="Solid Agro Nigeria Limited"/>
    <x v="2"/>
    <s v="12/19/2021"/>
    <x v="35"/>
    <n v="48517.1"/>
    <n v="3273.33"/>
    <n v="27266610.199999999"/>
    <s v="Lagos"/>
    <s v="Sea"/>
    <x v="1"/>
    <n v="1839611.46"/>
  </r>
  <r>
    <s v="Rubber"/>
    <s v="Solid Agro Nigeria Limited"/>
    <x v="2"/>
    <s v="2/9/2021"/>
    <x v="36"/>
    <n v="27374.69"/>
    <n v="9259.27"/>
    <n v="26197578.329999998"/>
    <s v="Calabar"/>
    <s v="Sea"/>
    <x v="1"/>
    <n v="8861121.3900000006"/>
  </r>
  <r>
    <s v="Rubber"/>
    <s v="Agro Allied Exporters Nigeria Limited"/>
    <x v="2"/>
    <s v="3/31/2021"/>
    <x v="37"/>
    <n v="36589.22"/>
    <n v="3427.72"/>
    <n v="6476291.9400000004"/>
    <s v="Lagos"/>
    <s v="Sea"/>
    <x v="1"/>
    <n v="606706.43999999994"/>
  </r>
  <r>
    <s v="Rubber"/>
    <s v="Agro Export Nigeria Ltd"/>
    <x v="5"/>
    <s v="3/31/2021"/>
    <x v="38"/>
    <n v="28787.91"/>
    <n v="8809.98"/>
    <n v="23145479.640000001"/>
    <s v="Warri"/>
    <s v="Sea"/>
    <x v="1"/>
    <n v="7083223.9199999999"/>
  </r>
  <r>
    <s v="Rubber"/>
    <s v="Farmgate Nigeria Limited"/>
    <x v="2"/>
    <s v="4/6/2021"/>
    <x v="39"/>
    <n v="38087.660000000003"/>
    <n v="6847.72"/>
    <n v="30736741.620000001"/>
    <s v="Lagos"/>
    <s v="Sea"/>
    <x v="1"/>
    <n v="5526110.04"/>
  </r>
  <r>
    <s v="Rubber"/>
    <s v="Farmgate Nigeria Limited"/>
    <x v="2"/>
    <s v="8/11/2021"/>
    <x v="40"/>
    <n v="25681.71"/>
    <n v="5818.74"/>
    <n v="9168370.4700000007"/>
    <s v="Lagos"/>
    <s v="Sea"/>
    <x v="1"/>
    <n v="2077290.18"/>
  </r>
  <r>
    <s v="Rubber"/>
    <s v="Agriplus Nigeria Limited"/>
    <x v="3"/>
    <s v="10/6/2021"/>
    <x v="41"/>
    <n v="17307.3"/>
    <n v="9600.9599999999991"/>
    <n v="4621049.0999999996"/>
    <s v="Calabar"/>
    <s v="Sea"/>
    <x v="1"/>
    <n v="2563456.3199999998"/>
  </r>
  <r>
    <s v="Rubber"/>
    <s v="Farmgate Nigeria Limited"/>
    <x v="3"/>
    <s v="11/4/2021"/>
    <x v="42"/>
    <n v="48027.01"/>
    <n v="4082.66"/>
    <n v="8308672.7300000004"/>
    <s v="Warri"/>
    <s v="Sea"/>
    <x v="1"/>
    <n v="706300.17999999993"/>
  </r>
  <r>
    <s v="Rubber"/>
    <s v="Greenfield Agro Exporters Nigeria Limited"/>
    <x v="3"/>
    <s v="3/6/2021"/>
    <x v="43"/>
    <n v="47269.53"/>
    <n v="9258.5"/>
    <n v="9406636.4700000007"/>
    <s v="Lagos"/>
    <s v="Sea"/>
    <x v="1"/>
    <n v="1842441.5"/>
  </r>
  <r>
    <s v="Rubber"/>
    <s v="Solid Agro Nigeria Limited"/>
    <x v="3"/>
    <s v="8/10/2021"/>
    <x v="44"/>
    <n v="48026.63"/>
    <n v="6193.02"/>
    <n v="16473134.09"/>
    <s v="Lagos"/>
    <s v="Sea"/>
    <x v="1"/>
    <n v="2124205.8600000003"/>
  </r>
  <r>
    <s v="Rubber"/>
    <s v="Greenfield Agro Exporters Nigeria Limited"/>
    <x v="4"/>
    <s v="12/25/2021"/>
    <x v="45"/>
    <n v="33489.07"/>
    <n v="9214.17"/>
    <n v="22337209.690000001"/>
    <s v="Lagos"/>
    <s v="Sea"/>
    <x v="1"/>
    <n v="6145851.3899999997"/>
  </r>
  <r>
    <s v="Rubber"/>
    <s v="Nigeria Agro Export Company"/>
    <x v="4"/>
    <s v="2/4/2021"/>
    <x v="46"/>
    <n v="47019.51"/>
    <n v="3971.94"/>
    <n v="19419057.629999999"/>
    <s v="Lagos"/>
    <s v="Sea"/>
    <x v="1"/>
    <n v="1640411.22"/>
  </r>
  <r>
    <s v="Rubber"/>
    <s v="Solid Agro Nigeria Limited"/>
    <x v="4"/>
    <s v="4/28/2021"/>
    <x v="47"/>
    <n v="40697.769999999997"/>
    <n v="3184.83"/>
    <n v="34796593.350000001"/>
    <s v="Lagos"/>
    <s v="Sea"/>
    <x v="1"/>
    <n v="2723029.65"/>
  </r>
  <r>
    <s v="Rubber"/>
    <s v="Agro Export Nigeria Ltd"/>
    <x v="4"/>
    <s v="6/25/2021"/>
    <x v="48"/>
    <n v="27842.04"/>
    <n v="3404.09"/>
    <n v="22858314.84"/>
    <s v="Lagos"/>
    <s v="Sea"/>
    <x v="1"/>
    <n v="2794757.89"/>
  </r>
  <r>
    <s v="Rubber"/>
    <s v="Farmgate Nigeria Limited"/>
    <x v="4"/>
    <s v="6/27/2021"/>
    <x v="49"/>
    <n v="23647.19"/>
    <n v="5405.19"/>
    <n v="9293345.6699999999"/>
    <s v="Lagos"/>
    <s v="Sea"/>
    <x v="1"/>
    <n v="2124239.67"/>
  </r>
  <r>
    <s v="Rubber"/>
    <s v="Agriplus Nigeria Limited"/>
    <x v="4"/>
    <s v="7/25/2021"/>
    <x v="23"/>
    <n v="13582.18"/>
    <n v="5894.22"/>
    <n v="5500782.9000000004"/>
    <s v="Warri"/>
    <s v="Sea"/>
    <x v="1"/>
    <n v="2387159.1"/>
  </r>
  <r>
    <s v="Rubber"/>
    <s v="Agriplus Nigeria Limited"/>
    <x v="5"/>
    <s v="5/13/2021"/>
    <x v="50"/>
    <n v="44410.29"/>
    <n v="3170.9"/>
    <n v="32419511.699999999"/>
    <s v="Warri"/>
    <s v="Sea"/>
    <x v="1"/>
    <n v="2314757"/>
  </r>
  <r>
    <s v="Rubber"/>
    <s v="Nigeria Agro Export Company"/>
    <x v="5"/>
    <s v="5/31/2021"/>
    <x v="51"/>
    <n v="44116.31"/>
    <n v="3737.61"/>
    <n v="37145933.020000003"/>
    <s v="Lagos"/>
    <s v="Sea"/>
    <x v="1"/>
    <n v="3147067.62"/>
  </r>
  <r>
    <s v="Rubber"/>
    <s v="Agro Allied Exporters Nigeria Limited"/>
    <x v="6"/>
    <s v="3/21/2021"/>
    <x v="52"/>
    <n v="46139.69"/>
    <n v="4274.55"/>
    <n v="21731793.989999998"/>
    <s v="Lagos"/>
    <s v="Sea"/>
    <x v="1"/>
    <n v="2013313.05"/>
  </r>
  <r>
    <s v="Rubber"/>
    <s v="Agro Allied Exporters Nigeria Limited"/>
    <x v="7"/>
    <s v="11/8/2021"/>
    <x v="53"/>
    <n v="45825.21"/>
    <n v="2333.75"/>
    <n v="15855522.66"/>
    <s v="Warri"/>
    <s v="Sea"/>
    <x v="1"/>
    <n v="807477.5"/>
  </r>
  <r>
    <s v="Rubber"/>
    <s v="Agro Allied Exporters Nigeria Limited"/>
    <x v="7"/>
    <s v="7/26/2021"/>
    <x v="54"/>
    <n v="40906.92"/>
    <n v="5413.24"/>
    <n v="28471216.32"/>
    <s v="Lagos"/>
    <s v="Sea"/>
    <x v="1"/>
    <n v="3767615.04"/>
  </r>
  <r>
    <s v="Rubber"/>
    <s v="Agro Export Nigeria Ltd"/>
    <x v="7"/>
    <s v="9/3/2021"/>
    <x v="55"/>
    <n v="39899.300000000003"/>
    <n v="4319.57"/>
    <n v="35390679.100000001"/>
    <s v="Lagos"/>
    <s v="Sea"/>
    <x v="1"/>
    <n v="3831458.59"/>
  </r>
  <r>
    <s v="Rubber"/>
    <s v="Golden Farms Nigeria Limited"/>
    <x v="8"/>
    <s v="1/25/2021"/>
    <x v="56"/>
    <n v="12445.21"/>
    <n v="5153.7700000000004"/>
    <n v="4617172.91"/>
    <s v="Calabar"/>
    <s v="Sea"/>
    <x v="1"/>
    <n v="1912048.6700000002"/>
  </r>
  <r>
    <s v="Rubber"/>
    <s v="Nigeria Agro Export Company"/>
    <x v="8"/>
    <s v="10/14/2021"/>
    <x v="57"/>
    <n v="45177.74"/>
    <n v="7969.12"/>
    <n v="35645236.859999999"/>
    <s v="Lagos"/>
    <s v="Sea"/>
    <x v="1"/>
    <n v="6287635.6799999997"/>
  </r>
  <r>
    <s v="Rubber"/>
    <s v="Agro Allied Exporters Nigeria Limited"/>
    <x v="8"/>
    <s v="6/10/2021"/>
    <x v="58"/>
    <n v="31220.79"/>
    <n v="4664.78"/>
    <n v="24820528.050000001"/>
    <s v="Calabar"/>
    <s v="Sea"/>
    <x v="1"/>
    <n v="3708500.0999999996"/>
  </r>
  <r>
    <s v="Rubber"/>
    <s v="Greenfield Agro Exporters Nigeria Limited"/>
    <x v="9"/>
    <s v="10/12/2021"/>
    <x v="59"/>
    <n v="28119.02"/>
    <n v="4905.9399999999996"/>
    <n v="5117661.6399999997"/>
    <s v="Warri"/>
    <s v="Sea"/>
    <x v="1"/>
    <n v="892881.08"/>
  </r>
  <r>
    <s v="Rubber"/>
    <s v="Farmgate Nigeria Limited"/>
    <x v="9"/>
    <s v="10/20/2021"/>
    <x v="60"/>
    <n v="24486.35"/>
    <n v="2380.14"/>
    <n v="14887700.800000001"/>
    <s v="Lagos"/>
    <s v="Sea"/>
    <x v="1"/>
    <n v="1447125.1199999999"/>
  </r>
  <r>
    <s v="Rubber"/>
    <s v="Nigerian Export Promotion Council (NEPC)"/>
    <x v="9"/>
    <s v="2/18/2021"/>
    <x v="61"/>
    <n v="40861.040000000001"/>
    <n v="6133.39"/>
    <n v="17937996.559999999"/>
    <s v="Calabar"/>
    <s v="Sea"/>
    <x v="1"/>
    <n v="2692558.21"/>
  </r>
  <r>
    <s v="Rubber"/>
    <s v="Nigerian Export Promotion Council (NEPC)"/>
    <x v="9"/>
    <s v="3/20/2021"/>
    <x v="62"/>
    <n v="13664.69"/>
    <n v="7725.31"/>
    <n v="3580148.78"/>
    <s v="Warri"/>
    <s v="Sea"/>
    <x v="1"/>
    <n v="2024031.2200000002"/>
  </r>
  <r>
    <s v="Rubber"/>
    <s v="Prime Agro Exports Nigeria Limited"/>
    <x v="9"/>
    <s v="8/14/2021"/>
    <x v="63"/>
    <n v="34216.050000000003"/>
    <n v="9912.43"/>
    <n v="7424882.8499999996"/>
    <s v="Lagos"/>
    <s v="Sea"/>
    <x v="1"/>
    <n v="2150997.31"/>
  </r>
  <r>
    <s v="Rubber"/>
    <s v="Farmgate Nigeria Limited"/>
    <x v="0"/>
    <s v="10/6/2022"/>
    <x v="64"/>
    <n v="49738"/>
    <n v="9900.98"/>
    <n v="32180486"/>
    <s v="Lagos"/>
    <s v="Sea"/>
    <x v="2"/>
    <n v="6405934.0599999996"/>
  </r>
  <r>
    <s v="Rubber"/>
    <s v="Solid Agro Nigeria Limited"/>
    <x v="0"/>
    <s v="6/17/2022"/>
    <x v="65"/>
    <n v="27849.16"/>
    <n v="4734.07"/>
    <n v="6962290"/>
    <s v="Lagos"/>
    <s v="Sea"/>
    <x v="2"/>
    <n v="1183517.5"/>
  </r>
  <r>
    <s v="Rubber"/>
    <s v="Nigerian Export Promotion Council (NEPC)"/>
    <x v="1"/>
    <s v="12/31/2022"/>
    <x v="66"/>
    <n v="21981.31"/>
    <n v="7781.54"/>
    <n v="4198430.21"/>
    <s v="Warri"/>
    <s v="Sea"/>
    <x v="2"/>
    <n v="1486274.14"/>
  </r>
  <r>
    <s v="Rubber"/>
    <s v="Agro Allied Exporters Nigeria Limited"/>
    <x v="6"/>
    <s v="12/31/2022"/>
    <x v="67"/>
    <n v="22247.16"/>
    <n v="2470.1799999999998"/>
    <n v="8520662.2799999993"/>
    <s v="Lagos"/>
    <s v="Sea"/>
    <x v="2"/>
    <n v="946078.94"/>
  </r>
  <r>
    <s v="Rubber"/>
    <s v="Solid Agro Nigeria Limited"/>
    <x v="1"/>
    <s v="2/11/2022"/>
    <x v="68"/>
    <n v="36520.61"/>
    <n v="6211.19"/>
    <n v="32028574.969999999"/>
    <s v="Lagos"/>
    <s v="Sea"/>
    <x v="2"/>
    <n v="5447213.6299999999"/>
  </r>
  <r>
    <s v="Rubber"/>
    <s v="Golden Farms Nigeria Limited"/>
    <x v="1"/>
    <s v="3/13/2022"/>
    <x v="69"/>
    <n v="36322.870000000003"/>
    <n v="9201.4"/>
    <n v="10533632.300000001"/>
    <s v="Lagos"/>
    <s v="Sea"/>
    <x v="2"/>
    <n v="2668406"/>
  </r>
  <r>
    <s v="Rubber"/>
    <s v="Agriplus Nigeria Limited"/>
    <x v="1"/>
    <s v="3/15/2022"/>
    <x v="70"/>
    <n v="44200.43"/>
    <n v="6749.68"/>
    <n v="29216484.23"/>
    <s v="Calabar"/>
    <s v="Sea"/>
    <x v="2"/>
    <n v="4461538.4800000004"/>
  </r>
  <r>
    <s v="Rubber"/>
    <s v="Agriplus Nigeria Limited"/>
    <x v="1"/>
    <s v="6/24/2022"/>
    <x v="71"/>
    <n v="22652.61"/>
    <n v="3695.28"/>
    <n v="22358126.07"/>
    <s v="Lagos"/>
    <s v="Sea"/>
    <x v="2"/>
    <n v="3647241.3600000003"/>
  </r>
  <r>
    <s v="Rubber"/>
    <s v="Nigerian Export Promotion Council (NEPC)"/>
    <x v="1"/>
    <s v="6/30/2022"/>
    <x v="72"/>
    <n v="15822.44"/>
    <n v="8639.1200000000008"/>
    <n v="5015713.4800000004"/>
    <s v="Lagos"/>
    <s v="Sea"/>
    <x v="2"/>
    <n v="2738601.04"/>
  </r>
  <r>
    <s v="Rubber"/>
    <s v="Prime Agro Exports Nigeria Limited"/>
    <x v="1"/>
    <s v="7/25/2022"/>
    <x v="73"/>
    <n v="35413.74"/>
    <n v="2594.73"/>
    <n v="10765776.960000001"/>
    <s v="Lagos"/>
    <s v="Sea"/>
    <x v="2"/>
    <n v="788797.92"/>
  </r>
  <r>
    <s v="Rubber"/>
    <s v="Solid Agro Nigeria Limited"/>
    <x v="2"/>
    <s v="2/22/2022"/>
    <x v="74"/>
    <n v="21985.66"/>
    <n v="5963.85"/>
    <n v="3121963.72"/>
    <s v="Lagos"/>
    <s v="Sea"/>
    <x v="2"/>
    <n v="846866.70000000007"/>
  </r>
  <r>
    <s v="Rubber"/>
    <s v="Farmgate Nigeria Limited"/>
    <x v="2"/>
    <s v="6/26/2022"/>
    <x v="75"/>
    <n v="31182.01"/>
    <n v="7840.19"/>
    <n v="28406811.109999999"/>
    <s v="Warri"/>
    <s v="Sea"/>
    <x v="2"/>
    <n v="7142413.0899999999"/>
  </r>
  <r>
    <s v="Rubber"/>
    <s v="Agro Export Nigeria Ltd"/>
    <x v="2"/>
    <s v="8/1/2022"/>
    <x v="76"/>
    <n v="17896.939999999999"/>
    <n v="5326.45"/>
    <n v="10845545.640000001"/>
    <s v="Lagos"/>
    <s v="Sea"/>
    <x v="2"/>
    <n v="3227828.6999999997"/>
  </r>
  <r>
    <s v="Rubber"/>
    <s v="Golden Farms Nigeria Limited"/>
    <x v="3"/>
    <s v="10/29/2022"/>
    <x v="77"/>
    <n v="33656.080000000002"/>
    <n v="6167.99"/>
    <n v="20732145.280000001"/>
    <s v="Lagos"/>
    <s v="Sea"/>
    <x v="2"/>
    <n v="3799481.84"/>
  </r>
  <r>
    <s v="Rubber"/>
    <s v="Agriplus Nigeria Limited"/>
    <x v="3"/>
    <s v="10/3/2022"/>
    <x v="78"/>
    <n v="46749.58"/>
    <n v="4146.22"/>
    <n v="33753196.759999998"/>
    <s v="Warri"/>
    <s v="Sea"/>
    <x v="2"/>
    <n v="2993570.8400000003"/>
  </r>
  <r>
    <s v="Rubber"/>
    <s v="Nigerian Export Promotion Council (NEPC)"/>
    <x v="3"/>
    <s v="12/10/2022"/>
    <x v="79"/>
    <n v="23536.16"/>
    <n v="2812.83"/>
    <n v="4518942.7199999997"/>
    <s v="Lagos"/>
    <s v="Sea"/>
    <x v="2"/>
    <n v="540063.36"/>
  </r>
  <r>
    <s v="Rubber"/>
    <s v="Nigeria Agro Export Company"/>
    <x v="3"/>
    <s v="2/28/2022"/>
    <x v="80"/>
    <n v="44054.32"/>
    <n v="9201.08"/>
    <n v="6211659.1200000001"/>
    <s v="Lagos"/>
    <s v="Sea"/>
    <x v="2"/>
    <n v="1297352.28"/>
  </r>
  <r>
    <s v="Rubber"/>
    <s v="Golden Farms Nigeria Limited"/>
    <x v="7"/>
    <s v="2/28/2022"/>
    <x v="81"/>
    <n v="12061.24"/>
    <n v="8671.99"/>
    <n v="4571209.96"/>
    <s v="Port Harcourt"/>
    <s v="Sea"/>
    <x v="2"/>
    <n v="3286684.21"/>
  </r>
  <r>
    <s v="Rubber"/>
    <s v="Golden Farms Nigeria Limited"/>
    <x v="3"/>
    <s v="5/10/2022"/>
    <x v="82"/>
    <n v="37345.15"/>
    <n v="7906.31"/>
    <n v="8253278.1500000004"/>
    <s v="Warri"/>
    <s v="Sea"/>
    <x v="2"/>
    <n v="1747294.51"/>
  </r>
  <r>
    <s v="Rubber"/>
    <s v="Greenfield Agro Exporters Nigeria Limited"/>
    <x v="4"/>
    <s v="2/26/2022"/>
    <x v="83"/>
    <n v="47731.6"/>
    <n v="3122.51"/>
    <n v="21479220"/>
    <s v="Lagos"/>
    <s v="Sea"/>
    <x v="2"/>
    <n v="1405129.5"/>
  </r>
  <r>
    <s v="Rubber"/>
    <s v="Golden Farms Nigeria Limited"/>
    <x v="5"/>
    <s v="10/24/2022"/>
    <x v="84"/>
    <n v="24012.91"/>
    <n v="8318.99"/>
    <n v="6987756.8099999996"/>
    <s v="Lagos"/>
    <s v="Sea"/>
    <x v="2"/>
    <n v="2420826.09"/>
  </r>
  <r>
    <s v="Rubber"/>
    <s v="Agro Allied Exporters Nigeria Limited"/>
    <x v="5"/>
    <s v="8/26/2022"/>
    <x v="85"/>
    <n v="18006.64"/>
    <n v="5923.04"/>
    <n v="14495345.199999999"/>
    <s v="Port Harcourt"/>
    <s v="Sea"/>
    <x v="2"/>
    <n v="4768047.2"/>
  </r>
  <r>
    <s v="Rubber"/>
    <s v="Nigerian Export Promotion Council (NEPC)"/>
    <x v="6"/>
    <s v="1/28/2022"/>
    <x v="86"/>
    <n v="30960.47"/>
    <n v="9761.35"/>
    <n v="20248147.379999999"/>
    <s v="Lagos"/>
    <s v="Sea"/>
    <x v="2"/>
    <n v="6383922.9000000004"/>
  </r>
  <r>
    <s v="Rubber"/>
    <s v="Agro Export Nigeria Ltd"/>
    <x v="7"/>
    <s v="11/17/2022"/>
    <x v="87"/>
    <n v="11566.78"/>
    <n v="7435.68"/>
    <n v="4973715.4000000004"/>
    <s v="Lagos"/>
    <s v="Sea"/>
    <x v="2"/>
    <n v="3197342.4"/>
  </r>
  <r>
    <s v="Rubber"/>
    <s v="Golden Farms Nigeria Limited"/>
    <x v="7"/>
    <s v="11/25/2022"/>
    <x v="32"/>
    <n v="25837.66"/>
    <n v="7576.26"/>
    <n v="18318900.940000001"/>
    <s v="Calabar"/>
    <s v="Sea"/>
    <x v="2"/>
    <n v="5371568.3399999999"/>
  </r>
  <r>
    <s v="Rubber"/>
    <s v="Agro Export Nigeria Ltd"/>
    <x v="7"/>
    <s v="6/9/2022"/>
    <x v="88"/>
    <n v="43567.37"/>
    <n v="9198.56"/>
    <n v="32109151.690000001"/>
    <s v="Warri"/>
    <s v="Sea"/>
    <x v="2"/>
    <n v="6779338.7199999997"/>
  </r>
  <r>
    <s v="Rubber"/>
    <s v="Agriplus Nigeria Limited"/>
    <x v="7"/>
    <s v="7/13/2022"/>
    <x v="89"/>
    <n v="13913.4"/>
    <n v="8925.23"/>
    <n v="3784444.8"/>
    <s v="Lagos"/>
    <s v="Sea"/>
    <x v="2"/>
    <n v="2427662.56"/>
  </r>
  <r>
    <s v="Rubber"/>
    <s v="Nigerian Export Promotion Council (NEPC)"/>
    <x v="7"/>
    <s v="7/16/2022"/>
    <x v="90"/>
    <n v="19174.71"/>
    <n v="7622.54"/>
    <n v="19078836.449999999"/>
    <s v="Calabar"/>
    <s v="Sea"/>
    <x v="2"/>
    <n v="7584427.2999999998"/>
  </r>
  <r>
    <s v="Rubber"/>
    <s v="Nigeria Agro Export Company"/>
    <x v="7"/>
    <s v="9/28/2022"/>
    <x v="91"/>
    <n v="18275.439999999999"/>
    <n v="8704.65"/>
    <n v="17379943.440000001"/>
    <s v="Lagos"/>
    <s v="Sea"/>
    <x v="2"/>
    <n v="8278122.1499999994"/>
  </r>
  <r>
    <s v="Rubber"/>
    <s v="Farmgate Nigeria Limited"/>
    <x v="8"/>
    <s v="1/14/2022"/>
    <x v="92"/>
    <n v="46260.7"/>
    <n v="3869.83"/>
    <n v="26784945.300000001"/>
    <s v="Calabar"/>
    <s v="Sea"/>
    <x v="2"/>
    <n v="2240631.5699999998"/>
  </r>
  <r>
    <s v="Rubber"/>
    <s v="Agriplus Nigeria Limited"/>
    <x v="8"/>
    <s v="5/25/2022"/>
    <x v="93"/>
    <n v="32507.66"/>
    <n v="5691.95"/>
    <n v="19862180.260000002"/>
    <s v="Warri"/>
    <s v="Sea"/>
    <x v="2"/>
    <n v="3477781.4499999997"/>
  </r>
  <r>
    <s v="Rubber"/>
    <s v="Agro Allied Exporters Nigeria Limited"/>
    <x v="9"/>
    <s v="3/10/2022"/>
    <x v="94"/>
    <n v="17372.98"/>
    <n v="4275.1000000000004"/>
    <n v="5368250.82"/>
    <s v="Lagos"/>
    <s v="Sea"/>
    <x v="2"/>
    <n v="1321005.9000000001"/>
  </r>
  <r>
    <s v="Rubber"/>
    <s v="Farmgate Nigeria Limited"/>
    <x v="9"/>
    <s v="5/6/2022"/>
    <x v="95"/>
    <n v="38141.67"/>
    <n v="2962.13"/>
    <n v="27728994.09"/>
    <s v="Lagos"/>
    <s v="Sea"/>
    <x v="2"/>
    <n v="2153468.5100000002"/>
  </r>
  <r>
    <s v="Rubber"/>
    <s v="Solid Agro Nigeria Limited"/>
    <x v="0"/>
    <s v="1/7/2023"/>
    <x v="96"/>
    <n v="45138.76"/>
    <n v="8830.9599999999991"/>
    <n v="19545083.079999998"/>
    <s v="Calabar"/>
    <s v="Sea"/>
    <x v="3"/>
    <n v="3823805.6799999997"/>
  </r>
  <r>
    <s v="Rubber"/>
    <s v="Farmgate Nigeria Limited"/>
    <x v="0"/>
    <s v="11/16/2023"/>
    <x v="97"/>
    <n v="31443.05"/>
    <n v="5863.92"/>
    <n v="22670439.050000001"/>
    <s v="Lagos"/>
    <s v="Sea"/>
    <x v="3"/>
    <n v="4227886.32"/>
  </r>
  <r>
    <s v="Rubber"/>
    <s v="Solid Agro Nigeria Limited"/>
    <x v="0"/>
    <s v="6/2/2023"/>
    <x v="98"/>
    <n v="17098.75"/>
    <n v="4551.93"/>
    <n v="2735800"/>
    <s v="Lagos"/>
    <s v="Sea"/>
    <x v="3"/>
    <n v="728308.8"/>
  </r>
  <r>
    <s v="Rubber"/>
    <s v="Prime Agro Exports Nigeria Limited"/>
    <x v="1"/>
    <s v="11/9/2023"/>
    <x v="99"/>
    <n v="33882.160000000003"/>
    <n v="5708.85"/>
    <n v="4438562.96"/>
    <s v="Lagos"/>
    <s v="Sea"/>
    <x v="3"/>
    <n v="747859.35000000009"/>
  </r>
  <r>
    <s v="Rubber"/>
    <s v="Agriplus Nigeria Limited"/>
    <x v="2"/>
    <s v="3/25/2023"/>
    <x v="70"/>
    <n v="39910.720000000001"/>
    <n v="6227.46"/>
    <n v="26380985.920000002"/>
    <s v="Calabar"/>
    <s v="Sea"/>
    <x v="3"/>
    <n v="4116351.06"/>
  </r>
  <r>
    <s v="Rubber"/>
    <s v="Greenfield Agro Exporters Nigeria Limited"/>
    <x v="2"/>
    <s v="4/3/2023"/>
    <x v="100"/>
    <n v="21775.759999999998"/>
    <n v="2517.02"/>
    <n v="12259752.880000001"/>
    <s v="Lagos"/>
    <s v="Sea"/>
    <x v="3"/>
    <n v="1417082.26"/>
  </r>
  <r>
    <s v="Rubber"/>
    <s v="Golden Farms Nigeria Limited"/>
    <x v="2"/>
    <s v="5/2/2023"/>
    <x v="101"/>
    <n v="46857.65"/>
    <n v="3468.63"/>
    <n v="22304241.399999999"/>
    <s v="Lagos"/>
    <s v="Sea"/>
    <x v="3"/>
    <n v="1651067.8800000001"/>
  </r>
  <r>
    <s v="Rubber"/>
    <s v="Nigerian Export Promotion Council (NEPC)"/>
    <x v="3"/>
    <s v="12/28/2023"/>
    <x v="102"/>
    <n v="44083.97"/>
    <n v="2597.65"/>
    <n v="33636069.109999999"/>
    <s v="Warri"/>
    <s v="Sea"/>
    <x v="3"/>
    <n v="1982006.95"/>
  </r>
  <r>
    <s v="Rubber"/>
    <s v="Agro Export Nigeria Ltd"/>
    <x v="3"/>
    <s v="3/23/2023"/>
    <x v="103"/>
    <n v="28606.38"/>
    <n v="6771.24"/>
    <n v="21197327.579999998"/>
    <s v="Lagos"/>
    <s v="Sea"/>
    <x v="3"/>
    <n v="5017488.84"/>
  </r>
  <r>
    <s v="Rubber"/>
    <s v="Nigerian Export Promotion Council (NEPC)"/>
    <x v="3"/>
    <s v="4/11/2023"/>
    <x v="99"/>
    <n v="48048.54"/>
    <n v="3265.53"/>
    <n v="6294358.7400000002"/>
    <s v="Calabar"/>
    <s v="Sea"/>
    <x v="3"/>
    <n v="427784.43000000005"/>
  </r>
  <r>
    <s v="Rubber"/>
    <s v="Farmgate Nigeria Limited"/>
    <x v="3"/>
    <s v="8/15/2023"/>
    <x v="104"/>
    <n v="13305.27"/>
    <n v="7510.66"/>
    <n v="11881606.109999999"/>
    <s v="Warri"/>
    <s v="Sea"/>
    <x v="3"/>
    <n v="6707019.3799999999"/>
  </r>
  <r>
    <s v="Rubber"/>
    <s v="Nigeria Agro Export Company"/>
    <x v="3"/>
    <s v="9/5/2023"/>
    <x v="105"/>
    <n v="11883"/>
    <n v="2853.43"/>
    <n v="2828154"/>
    <s v="Lagos"/>
    <s v="Sea"/>
    <x v="3"/>
    <n v="679116.34"/>
  </r>
  <r>
    <s v="Rubber"/>
    <s v="Solid Agro Nigeria Limited"/>
    <x v="4"/>
    <s v="1/25/2023"/>
    <x v="32"/>
    <n v="23947.5"/>
    <n v="6158.33"/>
    <n v="16978777.5"/>
    <s v="Calabar"/>
    <s v="Sea"/>
    <x v="3"/>
    <n v="4366255.97"/>
  </r>
  <r>
    <s v="Rubber"/>
    <s v="Solid Agro Nigeria Limited"/>
    <x v="4"/>
    <s v="10/3/2023"/>
    <x v="106"/>
    <n v="32237.75"/>
    <n v="7713.03"/>
    <n v="17118245.25"/>
    <s v="Port Harcourt"/>
    <s v="Sea"/>
    <x v="3"/>
    <n v="4095618.9299999997"/>
  </r>
  <r>
    <s v="Rubber"/>
    <s v="Agro Export Nigeria Ltd"/>
    <x v="4"/>
    <s v="11/1/2023"/>
    <x v="107"/>
    <n v="15607.62"/>
    <n v="5086.57"/>
    <n v="14858454.24"/>
    <s v="Lagos"/>
    <s v="Sea"/>
    <x v="3"/>
    <n v="4842414.6399999997"/>
  </r>
  <r>
    <s v="Rubber"/>
    <s v="Nigerian Export Promotion Council (NEPC)"/>
    <x v="4"/>
    <s v="2/5/2023"/>
    <x v="108"/>
    <n v="39859.199999999997"/>
    <n v="7877.05"/>
    <n v="7812403.2000000002"/>
    <s v="Lagos"/>
    <s v="Sea"/>
    <x v="3"/>
    <n v="1543901.8"/>
  </r>
  <r>
    <s v="Rubber"/>
    <s v="Prime Agro Exports Nigeria Limited"/>
    <x v="4"/>
    <s v="3/26/2023"/>
    <x v="109"/>
    <n v="39571.269999999997"/>
    <n v="5584.52"/>
    <n v="16145078.16"/>
    <s v="Lagos"/>
    <s v="Sea"/>
    <x v="3"/>
    <n v="2278484.16"/>
  </r>
  <r>
    <s v="Rubber"/>
    <s v="Farmgate Nigeria Limited"/>
    <x v="5"/>
    <s v="8/4/2023"/>
    <x v="110"/>
    <n v="19604"/>
    <n v="4682.57"/>
    <n v="15389140"/>
    <s v="Lagos"/>
    <s v="Sea"/>
    <x v="3"/>
    <n v="3675817.4499999997"/>
  </r>
  <r>
    <s v="Rubber"/>
    <s v="Agro Allied Exporters Nigeria Limited"/>
    <x v="5"/>
    <s v="8/6/2023"/>
    <x v="111"/>
    <n v="49544.5"/>
    <n v="6381.92"/>
    <n v="22146391.5"/>
    <s v="Lagos"/>
    <s v="Sea"/>
    <x v="3"/>
    <n v="2852718.24"/>
  </r>
  <r>
    <s v="Rubber"/>
    <s v="Agro Export Nigeria Ltd"/>
    <x v="5"/>
    <s v="9/15/2023"/>
    <x v="112"/>
    <n v="28660.03"/>
    <n v="8220.25"/>
    <n v="27857549.16"/>
    <s v="Warri"/>
    <s v="Sea"/>
    <x v="3"/>
    <n v="7990083"/>
  </r>
  <r>
    <s v="Rubber"/>
    <s v="Greenfield Agro Exporters Nigeria Limited"/>
    <x v="5"/>
    <s v="9/24/2023"/>
    <x v="113"/>
    <n v="39938.99"/>
    <n v="9327.0499999999993"/>
    <n v="9824991.5399999991"/>
    <s v="Lagos"/>
    <s v="Sea"/>
    <x v="3"/>
    <n v="2294454.2999999998"/>
  </r>
  <r>
    <s v="Rubber"/>
    <s v="Nigerian Export Promotion Council (NEPC)"/>
    <x v="6"/>
    <s v="10/2/2023"/>
    <x v="2"/>
    <n v="27269.5"/>
    <n v="7661.93"/>
    <n v="15216381"/>
    <s v="Lagos"/>
    <s v="Sea"/>
    <x v="3"/>
    <n v="4275356.9400000004"/>
  </r>
  <r>
    <s v="Rubber"/>
    <s v="Golden Farms Nigeria Limited"/>
    <x v="6"/>
    <s v="9/25/2023"/>
    <x v="114"/>
    <n v="49473.14"/>
    <n v="6506.39"/>
    <n v="28496528.640000001"/>
    <s v="Lagos"/>
    <s v="Sea"/>
    <x v="3"/>
    <n v="3747680.64"/>
  </r>
  <r>
    <s v="Rubber"/>
    <s v="Nigeria Agro Export Company"/>
    <x v="7"/>
    <s v="4/1/2023"/>
    <x v="115"/>
    <n v="42817.53"/>
    <n v="3137.24"/>
    <n v="20680866.989999998"/>
    <s v="Port Harcourt"/>
    <s v="Sea"/>
    <x v="3"/>
    <n v="1515286.92"/>
  </r>
  <r>
    <s v="Rubber"/>
    <s v="Golden Farms Nigeria Limited"/>
    <x v="7"/>
    <s v="8/13/2023"/>
    <x v="116"/>
    <n v="10721.81"/>
    <n v="4908.79"/>
    <n v="8706109.7200000007"/>
    <s v="Warri"/>
    <s v="Sea"/>
    <x v="3"/>
    <n v="3985937.48"/>
  </r>
  <r>
    <s v="Rubber"/>
    <s v="Prime Agro Exports Nigeria Limited"/>
    <x v="8"/>
    <s v="2/2/2023"/>
    <x v="117"/>
    <n v="24963.59"/>
    <n v="3199.59"/>
    <n v="11782814.48"/>
    <s v="Lagos"/>
    <s v="Sea"/>
    <x v="3"/>
    <n v="1510206.48"/>
  </r>
  <r>
    <s v="Rubber"/>
    <s v="Nigerian Export Promotion Council (NEPC)"/>
    <x v="8"/>
    <s v="6/18/2023"/>
    <x v="118"/>
    <n v="48726.71"/>
    <n v="2469.69"/>
    <n v="12035497.369999999"/>
    <s v="Lagos"/>
    <s v="Sea"/>
    <x v="3"/>
    <n v="610013.43000000005"/>
  </r>
</pivotCacheRecords>
</file>

<file path=xl/pivotCache/pivotCacheRecords1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3">
  <r>
    <s v="Sesame"/>
    <s v="Solid Agro Nigeria Limited"/>
    <x v="0"/>
    <s v="1/24/2020"/>
    <n v="594"/>
    <n v="32943.760000000002"/>
    <n v="2699.9"/>
    <n v="19568593.440000001"/>
    <s v="Warri"/>
    <s v="Sea"/>
    <x v="0"/>
    <n v="1603740.6"/>
  </r>
  <r>
    <s v="Sesame"/>
    <s v="Nigeria Agro Export Company"/>
    <x v="0"/>
    <s v="5/24/2020"/>
    <n v="594"/>
    <n v="47688.67"/>
    <n v="9913.49"/>
    <n v="28327069.98"/>
    <s v="Lagos"/>
    <s v="Sea"/>
    <x v="0"/>
    <n v="5888613.0599999996"/>
  </r>
  <r>
    <s v="Sesame"/>
    <s v="Agro Export Nigeria Ltd"/>
    <x v="0"/>
    <s v="7/14/2020"/>
    <n v="347"/>
    <n v="11714.81"/>
    <n v="2929.83"/>
    <n v="4065039.07"/>
    <s v="Lagos"/>
    <s v="Sea"/>
    <x v="0"/>
    <n v="1016651.01"/>
  </r>
  <r>
    <s v="Sesame"/>
    <s v="Nigerian Export Promotion Council (NEPC)"/>
    <x v="0"/>
    <s v="8/31/2020"/>
    <n v="895"/>
    <n v="43973.47"/>
    <n v="2448.0500000000002"/>
    <n v="39356255.649999999"/>
    <s v="Port Harcourt"/>
    <s v="Sea"/>
    <x v="0"/>
    <n v="2191004.75"/>
  </r>
  <r>
    <s v="Sesame"/>
    <s v="Agriplus Nigeria Limited"/>
    <x v="1"/>
    <s v="8/31/2020"/>
    <n v="775"/>
    <n v="17452.740000000002"/>
    <n v="2686.62"/>
    <n v="13525873.5"/>
    <s v="Port Harcourt"/>
    <s v="Sea"/>
    <x v="0"/>
    <n v="2082130.5"/>
  </r>
  <r>
    <s v="Sesame"/>
    <s v="Nigeria Agro Export Company"/>
    <x v="0"/>
    <s v="9/24/2020"/>
    <n v="402"/>
    <n v="14516.01"/>
    <n v="7997.27"/>
    <n v="5835436.0199999996"/>
    <s v="Warri"/>
    <s v="Sea"/>
    <x v="0"/>
    <n v="3214902.54"/>
  </r>
  <r>
    <s v="Sesame"/>
    <s v="Solid Agro Nigeria Limited"/>
    <x v="2"/>
    <s v="9/24/2020"/>
    <n v="903"/>
    <n v="21669.81"/>
    <n v="8838.64"/>
    <n v="19567838.43"/>
    <s v="Port Harcourt"/>
    <s v="Sea"/>
    <x v="0"/>
    <n v="7981291.9199999999"/>
  </r>
  <r>
    <s v="Sesame"/>
    <s v="Agriplus Nigeria Limited"/>
    <x v="2"/>
    <s v="11/6/2020"/>
    <n v="816"/>
    <n v="24557.22"/>
    <n v="7507.36"/>
    <n v="20038691.52"/>
    <s v="Calabar"/>
    <s v="Sea"/>
    <x v="0"/>
    <n v="6126005.7599999998"/>
  </r>
  <r>
    <s v="Sesame"/>
    <s v="Greenfield Agro Exporters Nigeria Limited"/>
    <x v="2"/>
    <s v="3/31/2020"/>
    <n v="507"/>
    <n v="31022.3"/>
    <n v="9376.5"/>
    <n v="15728306.1"/>
    <s v="Lagos"/>
    <s v="Sea"/>
    <x v="0"/>
    <n v="4753885.5"/>
  </r>
  <r>
    <s v="Sesame"/>
    <s v="Nigeria Agro Export Company"/>
    <x v="3"/>
    <s v="1/19/2020"/>
    <n v="422"/>
    <n v="19028.66"/>
    <n v="9601.94"/>
    <n v="8030094.5199999996"/>
    <s v="Lagos"/>
    <s v="Sea"/>
    <x v="0"/>
    <n v="4052018.68"/>
  </r>
  <r>
    <s v="Sesame"/>
    <s v="Agro Export Nigeria Ltd"/>
    <x v="3"/>
    <s v="11/17/2020"/>
    <n v="256"/>
    <n v="34710.58"/>
    <n v="6530.19"/>
    <n v="8885908.4800000004"/>
    <s v="Lagos"/>
    <s v="Sea"/>
    <x v="0"/>
    <n v="1671728.64"/>
  </r>
  <r>
    <s v="Sesame"/>
    <s v="Nigeria Agro Export Company"/>
    <x v="3"/>
    <s v="2/19/2020"/>
    <n v="905"/>
    <n v="42903.63"/>
    <n v="2926.81"/>
    <n v="38827785.149999999"/>
    <s v="Lagos"/>
    <s v="Sea"/>
    <x v="0"/>
    <n v="2648763.0499999998"/>
  </r>
  <r>
    <s v="Sesame"/>
    <s v="Nigeria Agro Export Company"/>
    <x v="3"/>
    <s v="7/10/2020"/>
    <n v="223"/>
    <n v="38450.54"/>
    <n v="9971.93"/>
    <n v="8574470.4199999999"/>
    <s v="Lagos"/>
    <s v="Sea"/>
    <x v="0"/>
    <n v="2223740.39"/>
  </r>
  <r>
    <s v="Sesame"/>
    <s v="Nigerian Export Promotion Council (NEPC)"/>
    <x v="4"/>
    <s v="11/9/2020"/>
    <n v="109"/>
    <n v="26372.46"/>
    <n v="8505.26"/>
    <n v="2874598.14"/>
    <s v="Lagos"/>
    <s v="Sea"/>
    <x v="0"/>
    <n v="927073.34"/>
  </r>
  <r>
    <s v="Sesame"/>
    <s v="Solid Agro Nigeria Limited"/>
    <x v="4"/>
    <s v="4/22/2020"/>
    <n v="583"/>
    <n v="40492.17"/>
    <n v="5945.15"/>
    <n v="23606935.109999999"/>
    <s v="Port Harcourt"/>
    <s v="Sea"/>
    <x v="0"/>
    <n v="3466022.4499999997"/>
  </r>
  <r>
    <s v="Sesame"/>
    <s v="Nigeria Agro Export Company"/>
    <x v="4"/>
    <s v="8/19/2020"/>
    <n v="983"/>
    <n v="32503.8"/>
    <n v="5624.4"/>
    <n v="31951235.399999999"/>
    <s v="Lagos"/>
    <s v="Sea"/>
    <x v="0"/>
    <n v="5528785.1999999993"/>
  </r>
  <r>
    <s v="Sesame"/>
    <s v="Agro Allied Exporters Nigeria Limited"/>
    <x v="5"/>
    <s v="2/6/2020"/>
    <n v="764"/>
    <n v="43203.73"/>
    <n v="8734.57"/>
    <n v="33007649.719999999"/>
    <s v="Warri"/>
    <s v="Sea"/>
    <x v="0"/>
    <n v="6673211.4799999995"/>
  </r>
  <r>
    <s v="Sesame"/>
    <s v="Greenfield Agro Exporters Nigeria Limited"/>
    <x v="5"/>
    <s v="3/16/2020"/>
    <n v="934"/>
    <n v="19744.29"/>
    <n v="8570.41"/>
    <n v="18441166.859999999"/>
    <s v="Warri"/>
    <s v="Sea"/>
    <x v="0"/>
    <n v="8004762.9399999995"/>
  </r>
  <r>
    <s v="Sesame"/>
    <s v="Golden Farms Nigeria Limited"/>
    <x v="5"/>
    <s v="5/7/2020"/>
    <n v="995"/>
    <n v="23095.37"/>
    <n v="8369.26"/>
    <n v="22979893.149999999"/>
    <s v="Lagos"/>
    <s v="Sea"/>
    <x v="0"/>
    <n v="8327413.7000000002"/>
  </r>
  <r>
    <s v="Sesame"/>
    <s v="Agriplus Nigeria Limited"/>
    <x v="5"/>
    <s v="8/24/2020"/>
    <n v="280"/>
    <n v="25327.4"/>
    <n v="6295.63"/>
    <n v="7091672"/>
    <s v="Lagos"/>
    <s v="Sea"/>
    <x v="0"/>
    <n v="1762776.4000000001"/>
  </r>
  <r>
    <s v="Sesame"/>
    <s v="Agro Export Nigeria Ltd"/>
    <x v="5"/>
    <s v="9/15/2020"/>
    <n v="336"/>
    <n v="45460.52"/>
    <n v="6073.91"/>
    <n v="15274734.720000001"/>
    <s v="Calabar"/>
    <s v="Sea"/>
    <x v="0"/>
    <n v="2040833.76"/>
  </r>
  <r>
    <s v="Sesame"/>
    <s v="Agriplus Nigeria Limited"/>
    <x v="6"/>
    <s v="3/19/2020"/>
    <n v="619"/>
    <n v="40038.51"/>
    <n v="7040.64"/>
    <n v="24783837.690000001"/>
    <s v="Port Harcourt"/>
    <s v="Sea"/>
    <x v="0"/>
    <n v="4358156.16"/>
  </r>
  <r>
    <s v="Sesame"/>
    <s v="Agro Allied Exporters Nigeria Limited"/>
    <x v="7"/>
    <s v="9/25/2020"/>
    <n v="545"/>
    <n v="36328.03"/>
    <n v="9914.9500000000007"/>
    <n v="19798776.350000001"/>
    <s v="Lagos"/>
    <s v="Sea"/>
    <x v="0"/>
    <n v="5403647.75"/>
  </r>
  <r>
    <s v="Sesame"/>
    <s v="Agro Export Nigeria Ltd"/>
    <x v="8"/>
    <s v="2/25/2020"/>
    <n v="613"/>
    <n v="24452.58"/>
    <n v="6241.25"/>
    <n v="14989431.539999999"/>
    <s v="Lagos"/>
    <s v="Sea"/>
    <x v="0"/>
    <n v="3825886.25"/>
  </r>
  <r>
    <s v="Sesame"/>
    <s v="Nigeria Agro Export Company"/>
    <x v="8"/>
    <s v="2/9/2020"/>
    <n v="346"/>
    <n v="45875.11"/>
    <n v="3490.75"/>
    <n v="15872788.060000001"/>
    <s v="Lagos"/>
    <s v="Sea"/>
    <x v="0"/>
    <n v="1207799.5"/>
  </r>
  <r>
    <s v="Sesame"/>
    <s v="Agriplus Nigeria Limited"/>
    <x v="8"/>
    <s v="3/15/2020"/>
    <n v="558"/>
    <n v="42069.64"/>
    <n v="4852.43"/>
    <n v="23474859.120000001"/>
    <s v="Lagos"/>
    <s v="Sea"/>
    <x v="0"/>
    <n v="2707655.94"/>
  </r>
  <r>
    <s v="Sesame"/>
    <s v="Nigeria Agro Export Company"/>
    <x v="8"/>
    <s v="7/31/2020"/>
    <n v="803"/>
    <n v="13464.75"/>
    <n v="4787.78"/>
    <n v="10812194.25"/>
    <s v="Warri"/>
    <s v="Sea"/>
    <x v="0"/>
    <n v="3844587.34"/>
  </r>
  <r>
    <s v="Sesame"/>
    <s v="Farmgate Nigeria Limited"/>
    <x v="9"/>
    <s v="10/30/2020"/>
    <n v="452"/>
    <n v="12026.68"/>
    <n v="3115.04"/>
    <n v="5436059.3600000003"/>
    <s v="Lagos"/>
    <s v="Sea"/>
    <x v="0"/>
    <n v="1407998.08"/>
  </r>
  <r>
    <s v="Sesame"/>
    <s v="Solid Agro Nigeria Limited"/>
    <x v="9"/>
    <s v="7/12/2020"/>
    <n v="268"/>
    <n v="41452.959999999999"/>
    <n v="9960.67"/>
    <n v="11109393.279999999"/>
    <s v="Port Harcourt"/>
    <s v="Sea"/>
    <x v="0"/>
    <n v="2669459.56"/>
  </r>
  <r>
    <s v="Sesame"/>
    <s v="Agro Allied Exporters Nigeria Limited"/>
    <x v="9"/>
    <s v="7/19/2020"/>
    <n v="433"/>
    <n v="23950.53"/>
    <n v="9015.9699999999993"/>
    <n v="10370579.49"/>
    <s v="Lagos"/>
    <s v="Sea"/>
    <x v="0"/>
    <n v="3903915.01"/>
  </r>
  <r>
    <s v="Sesame"/>
    <s v="Nigeria Agro Export Company"/>
    <x v="9"/>
    <s v="9/5/2020"/>
    <n v="613"/>
    <n v="43133.82"/>
    <n v="8333.2000000000007"/>
    <n v="26441031.66"/>
    <s v="Lagos"/>
    <s v="Sea"/>
    <x v="0"/>
    <n v="5108251.6000000006"/>
  </r>
  <r>
    <s v="Sesame"/>
    <s v="Nigerian Export Promotion Council (NEPC)"/>
    <x v="1"/>
    <s v="12/7/2020"/>
    <n v="646"/>
    <n v="38364.15"/>
    <n v="9462.15"/>
    <n v="24783240.899999999"/>
    <s v="Calabar"/>
    <s v="Sea"/>
    <x v="0"/>
    <n v="6112548.8999999994"/>
  </r>
  <r>
    <s v="Sesame"/>
    <s v="Agro Export Nigeria Ltd"/>
    <x v="1"/>
    <s v="6/25/2020"/>
    <n v="341"/>
    <n v="41425.589999999997"/>
    <n v="9653.4699999999993"/>
    <n v="14126126.189999999"/>
    <s v="Lagos"/>
    <s v="Sea"/>
    <x v="0"/>
    <n v="3291833.2699999996"/>
  </r>
  <r>
    <s v="Sesame"/>
    <s v="Agro Export Nigeria Ltd"/>
    <x v="1"/>
    <s v="7/18/2020"/>
    <n v="586"/>
    <n v="27772.799999999999"/>
    <n v="7589.35"/>
    <n v="16274860.800000001"/>
    <s v="Calabar"/>
    <s v="Sea"/>
    <x v="0"/>
    <n v="4447359.1000000006"/>
  </r>
  <r>
    <s v="Sesame"/>
    <s v="Nigerian Export Promotion Council (NEPC)"/>
    <x v="0"/>
    <s v="10/5/2021"/>
    <n v="762"/>
    <n v="31063.94"/>
    <n v="8486.77"/>
    <n v="23670722.280000001"/>
    <s v="Lagos"/>
    <s v="Sea"/>
    <x v="1"/>
    <n v="6466918.7400000002"/>
  </r>
  <r>
    <s v="Sesame"/>
    <s v="Greenfield Agro Exporters Nigeria Limited"/>
    <x v="0"/>
    <s v="5/29/2021"/>
    <n v="386"/>
    <n v="12324.08"/>
    <n v="8623.86"/>
    <n v="4757094.88"/>
    <s v="Lagos"/>
    <s v="Sea"/>
    <x v="1"/>
    <n v="3328809.9600000004"/>
  </r>
  <r>
    <s v="Sesame"/>
    <s v="Nigeria Agro Export Company"/>
    <x v="2"/>
    <s v="1/6/2021"/>
    <n v="649"/>
    <n v="33652.550000000003"/>
    <n v="2030.3"/>
    <n v="21840504.949999999"/>
    <s v="Lagos"/>
    <s v="Sea"/>
    <x v="1"/>
    <n v="1317664.7"/>
  </r>
  <r>
    <s v="Sesame"/>
    <s v="Solid Agro Nigeria Limited"/>
    <x v="2"/>
    <s v="2/2/2021"/>
    <n v="212"/>
    <n v="13659.53"/>
    <n v="4407.05"/>
    <n v="2895820.36"/>
    <s v="Lagos"/>
    <s v="Sea"/>
    <x v="1"/>
    <n v="934294.60000000009"/>
  </r>
  <r>
    <s v="Sesame"/>
    <s v="Nigerian Export Promotion Council (NEPC)"/>
    <x v="2"/>
    <s v="3/22/2021"/>
    <n v="990"/>
    <n v="16931.73"/>
    <n v="3464.19"/>
    <n v="16762412.699999999"/>
    <s v="Calabar"/>
    <s v="Sea"/>
    <x v="1"/>
    <n v="3429548.1"/>
  </r>
  <r>
    <s v="Sesame"/>
    <s v="Agro Allied Exporters Nigeria Limited"/>
    <x v="2"/>
    <s v="3/5/2021"/>
    <n v="860"/>
    <n v="39176.400000000001"/>
    <n v="7591.77"/>
    <n v="33691704"/>
    <s v="Warri"/>
    <s v="Sea"/>
    <x v="1"/>
    <n v="6528922.2000000002"/>
  </r>
  <r>
    <s v="Sesame"/>
    <s v="Agro Export Nigeria Ltd"/>
    <x v="2"/>
    <s v="4/8/2021"/>
    <n v="378"/>
    <n v="12485.68"/>
    <n v="9250.08"/>
    <n v="4719587.04"/>
    <s v="Calabar"/>
    <s v="Sea"/>
    <x v="1"/>
    <n v="3496530.2399999998"/>
  </r>
  <r>
    <s v="Sesame"/>
    <s v="Nigerian Export Promotion Council (NEPC)"/>
    <x v="2"/>
    <s v="9/7/2021"/>
    <n v="930"/>
    <n v="11752.59"/>
    <n v="7463.08"/>
    <n v="10929908.699999999"/>
    <s v="Lagos"/>
    <s v="Sea"/>
    <x v="1"/>
    <n v="6940664.4000000004"/>
  </r>
  <r>
    <s v="Sesame"/>
    <s v="Farmgate Nigeria Limited"/>
    <x v="3"/>
    <s v="1/21/2021"/>
    <n v="377"/>
    <n v="28535.67"/>
    <n v="6210.24"/>
    <n v="10757947.59"/>
    <s v="Warri"/>
    <s v="Sea"/>
    <x v="1"/>
    <n v="2341260.48"/>
  </r>
  <r>
    <s v="Sesame"/>
    <s v="Solid Agro Nigeria Limited"/>
    <x v="3"/>
    <s v="11/10/2021"/>
    <n v="490"/>
    <n v="30620.6"/>
    <n v="8193.51"/>
    <n v="15004094"/>
    <s v="Calabar"/>
    <s v="Sea"/>
    <x v="1"/>
    <n v="4014819.9"/>
  </r>
  <r>
    <s v="Sesame"/>
    <s v="Prime Agro Exports Nigeria Limited"/>
    <x v="3"/>
    <s v="12/4/2021"/>
    <n v="220"/>
    <n v="18365.32"/>
    <n v="9655.52"/>
    <n v="4040370.4"/>
    <s v="Calabar"/>
    <s v="Sea"/>
    <x v="1"/>
    <n v="2124214.4"/>
  </r>
  <r>
    <s v="Sesame"/>
    <s v="Farmgate Nigeria Limited"/>
    <x v="3"/>
    <s v="6/9/2021"/>
    <n v="762"/>
    <n v="31052.45"/>
    <n v="5531.35"/>
    <n v="23661966.899999999"/>
    <s v="Lagos"/>
    <s v="Sea"/>
    <x v="1"/>
    <n v="4214888.7"/>
  </r>
  <r>
    <s v="Sesame"/>
    <s v="Agro Export Nigeria Ltd"/>
    <x v="4"/>
    <s v="12/11/2021"/>
    <n v="846"/>
    <n v="35637.29"/>
    <n v="4083.88"/>
    <n v="30149147.34"/>
    <s v="Port Harcourt"/>
    <s v="Sea"/>
    <x v="1"/>
    <n v="3454962.48"/>
  </r>
  <r>
    <s v="Sesame"/>
    <s v="Golden Farms Nigeria Limited"/>
    <x v="4"/>
    <s v="2/21/2021"/>
    <n v="414"/>
    <n v="42114.2"/>
    <n v="5486.61"/>
    <n v="17435278.800000001"/>
    <s v="Lagos"/>
    <s v="Sea"/>
    <x v="1"/>
    <n v="2271456.54"/>
  </r>
  <r>
    <s v="Sesame"/>
    <s v="Agro Export Nigeria Ltd"/>
    <x v="4"/>
    <s v="3/4/2021"/>
    <n v="711"/>
    <n v="30663.26"/>
    <n v="3202.33"/>
    <n v="21801577.859999999"/>
    <s v="Lagos"/>
    <s v="Sea"/>
    <x v="1"/>
    <n v="2276856.63"/>
  </r>
  <r>
    <s v="Sesame"/>
    <s v="Prime Agro Exports Nigeria Limited"/>
    <x v="4"/>
    <s v="6/20/2021"/>
    <n v="190"/>
    <n v="22327.68"/>
    <n v="6223.45"/>
    <n v="4242259.2"/>
    <s v="Lagos"/>
    <s v="Sea"/>
    <x v="1"/>
    <n v="1182455.5"/>
  </r>
  <r>
    <s v="Sesame"/>
    <s v="Nigerian Export Promotion Council (NEPC)"/>
    <x v="5"/>
    <s v="1/4/2021"/>
    <n v="877"/>
    <n v="33879.550000000003"/>
    <n v="5665.66"/>
    <n v="29712365.350000001"/>
    <s v="Lagos"/>
    <s v="Sea"/>
    <x v="1"/>
    <n v="4968783.82"/>
  </r>
  <r>
    <s v="Sesame"/>
    <s v="Golden Farms Nigeria Limited"/>
    <x v="5"/>
    <s v="6/13/2021"/>
    <n v="320"/>
    <n v="18171.759999999998"/>
    <n v="8433.08"/>
    <n v="5814963.2000000002"/>
    <s v="Warri"/>
    <s v="Sea"/>
    <x v="1"/>
    <n v="2698585.6"/>
  </r>
  <r>
    <s v="Sesame"/>
    <s v="Farmgate Nigeria Limited"/>
    <x v="5"/>
    <s v="9/2/2021"/>
    <n v="284"/>
    <n v="34203.29"/>
    <n v="5562.73"/>
    <n v="9713734.3599999994"/>
    <s v="Lagos"/>
    <s v="Sea"/>
    <x v="1"/>
    <n v="1579815.3199999998"/>
  </r>
  <r>
    <s v="Sesame"/>
    <s v="Solid Agro Nigeria Limited"/>
    <x v="6"/>
    <s v="10/19/2021"/>
    <n v="993"/>
    <n v="41505.97"/>
    <n v="4434.8999999999996"/>
    <n v="41215428.210000001"/>
    <s v="Warri"/>
    <s v="Sea"/>
    <x v="1"/>
    <n v="4403855.6999999993"/>
  </r>
  <r>
    <s v="Sesame"/>
    <s v="Agriplus Nigeria Limited"/>
    <x v="6"/>
    <s v="12/30/2021"/>
    <n v="972"/>
    <n v="17424.12"/>
    <n v="6738.21"/>
    <n v="16936244.640000001"/>
    <s v="Port Harcourt"/>
    <s v="Sea"/>
    <x v="1"/>
    <n v="6549540.1200000001"/>
  </r>
  <r>
    <s v="Sesame"/>
    <s v="Greenfield Agro Exporters Nigeria Limited"/>
    <x v="7"/>
    <s v="12/27/2021"/>
    <n v="263"/>
    <n v="33990.480000000003"/>
    <n v="8787.7800000000007"/>
    <n v="8939496.2400000002"/>
    <s v="Lagos"/>
    <s v="Sea"/>
    <x v="1"/>
    <n v="2311186.14"/>
  </r>
  <r>
    <s v="Sesame"/>
    <s v="Greenfield Agro Exporters Nigeria Limited"/>
    <x v="7"/>
    <s v="12/5/2021"/>
    <n v="962"/>
    <n v="12987.93"/>
    <n v="6995.2"/>
    <n v="12494388.66"/>
    <s v="Lagos"/>
    <s v="Sea"/>
    <x v="1"/>
    <n v="6729382.3999999994"/>
  </r>
  <r>
    <s v="Sesame"/>
    <s v="Solid Agro Nigeria Limited"/>
    <x v="8"/>
    <s v="10/16/2021"/>
    <n v="181"/>
    <n v="12844.9"/>
    <n v="4897.6499999999996"/>
    <n v="2324926.9"/>
    <s v="Lagos"/>
    <s v="Sea"/>
    <x v="1"/>
    <n v="886474.64999999991"/>
  </r>
  <r>
    <s v="Sesame"/>
    <s v="Agro Export Nigeria Ltd"/>
    <x v="8"/>
    <s v="12/22/2021"/>
    <n v="291"/>
    <n v="46984.32"/>
    <n v="3639.36"/>
    <n v="13672437.119999999"/>
    <s v="Lagos"/>
    <s v="Sea"/>
    <x v="1"/>
    <n v="1059053.76"/>
  </r>
  <r>
    <s v="Sesame"/>
    <s v="Greenfield Agro Exporters Nigeria Limited"/>
    <x v="8"/>
    <s v="12/3/2021"/>
    <n v="750"/>
    <n v="48870.19"/>
    <n v="9474.77"/>
    <n v="36652642.5"/>
    <s v="Lagos"/>
    <s v="Sea"/>
    <x v="1"/>
    <n v="7106077.5"/>
  </r>
  <r>
    <s v="Sesame"/>
    <s v="Prime Agro Exports Nigeria Limited"/>
    <x v="8"/>
    <s v="2/16/2021"/>
    <n v="719"/>
    <n v="31328.17"/>
    <n v="4687.24"/>
    <n v="22524954.23"/>
    <s v="Lagos"/>
    <s v="Sea"/>
    <x v="1"/>
    <n v="3370125.56"/>
  </r>
  <r>
    <s v="Sesame"/>
    <s v="Nigeria Agro Export Company"/>
    <x v="8"/>
    <s v="4/26/2021"/>
    <n v="769"/>
    <n v="48785.86"/>
    <n v="9075.51"/>
    <n v="37516326.340000004"/>
    <s v="Lagos"/>
    <s v="Sea"/>
    <x v="1"/>
    <n v="6979067.1900000004"/>
  </r>
  <r>
    <s v="Sesame"/>
    <s v="Agriplus Nigeria Limited"/>
    <x v="9"/>
    <s v="10/18/2021"/>
    <n v="807"/>
    <n v="18090.87"/>
    <n v="7265.71"/>
    <n v="14599332.09"/>
    <s v="Lagos"/>
    <s v="Sea"/>
    <x v="1"/>
    <n v="5863427.9699999997"/>
  </r>
  <r>
    <s v="Sesame"/>
    <s v="Agro Export Nigeria Ltd"/>
    <x v="9"/>
    <s v="12/23/2021"/>
    <n v="228"/>
    <n v="41382.33"/>
    <n v="6303.59"/>
    <n v="9435171.2400000002"/>
    <s v="Lagos"/>
    <s v="Sea"/>
    <x v="1"/>
    <n v="1437218.52"/>
  </r>
  <r>
    <s v="Sesame"/>
    <s v="Greenfield Agro Exporters Nigeria Limited"/>
    <x v="9"/>
    <s v="5/3/2021"/>
    <n v="811"/>
    <n v="36623.160000000003"/>
    <n v="8224.9"/>
    <n v="29701382.760000002"/>
    <s v="Lagos"/>
    <s v="Sea"/>
    <x v="1"/>
    <n v="6670393.8999999994"/>
  </r>
  <r>
    <s v="Sesame"/>
    <s v="Prime Agro Exports Nigeria Limited"/>
    <x v="9"/>
    <s v="9/1/2021"/>
    <n v="814"/>
    <n v="30126.69"/>
    <n v="4693.67"/>
    <n v="24523125.66"/>
    <s v="Calabar"/>
    <s v="Sea"/>
    <x v="1"/>
    <n v="3820647.38"/>
  </r>
  <r>
    <s v="Sesame"/>
    <s v="Golden Farms Nigeria Limited"/>
    <x v="1"/>
    <s v="10/22/2021"/>
    <n v="810"/>
    <n v="29162.35"/>
    <n v="8685.33"/>
    <n v="23621503.5"/>
    <s v="Lagos"/>
    <s v="Sea"/>
    <x v="1"/>
    <n v="7035117.2999999998"/>
  </r>
  <r>
    <s v="Sesame"/>
    <s v="Nigeria Agro Export Company"/>
    <x v="0"/>
    <s v="12/19/2022"/>
    <n v="373"/>
    <n v="13415.94"/>
    <n v="9590.9500000000007"/>
    <n v="5004145.62"/>
    <s v="Lagos"/>
    <s v="Sea"/>
    <x v="2"/>
    <n v="3577424.35"/>
  </r>
  <r>
    <s v="Sesame"/>
    <s v="Agriplus Nigeria Limited"/>
    <x v="0"/>
    <s v="5/1/2022"/>
    <n v="321"/>
    <n v="14556.35"/>
    <n v="5906.37"/>
    <n v="4672588.3499999996"/>
    <s v="Lagos"/>
    <s v="Sea"/>
    <x v="2"/>
    <n v="1895944.77"/>
  </r>
  <r>
    <s v="Sesame"/>
    <s v="Golden Farms Nigeria Limited"/>
    <x v="0"/>
    <s v="8/17/2022"/>
    <n v="856"/>
    <n v="38044.129999999997"/>
    <n v="2728.58"/>
    <n v="32565775.280000001"/>
    <s v="Lagos"/>
    <s v="Sea"/>
    <x v="2"/>
    <n v="2335664.48"/>
  </r>
  <r>
    <s v="Sesame"/>
    <s v="Agro Allied Exporters Nigeria Limited"/>
    <x v="0"/>
    <s v="8/26/2022"/>
    <n v="880"/>
    <n v="40170.32"/>
    <n v="6843.59"/>
    <n v="35349881.600000001"/>
    <s v="Warri"/>
    <s v="Sea"/>
    <x v="2"/>
    <n v="6022359.2000000002"/>
  </r>
  <r>
    <s v="Sesame"/>
    <s v="Agriplus Nigeria Limited"/>
    <x v="2"/>
    <s v="1/16/2022"/>
    <n v="589"/>
    <n v="16688.990000000002"/>
    <n v="5445.11"/>
    <n v="9829815.1099999994"/>
    <s v="Lagos"/>
    <s v="Sea"/>
    <x v="2"/>
    <n v="3207169.79"/>
  </r>
  <r>
    <s v="Sesame"/>
    <s v="Nigeria Agro Export Company"/>
    <x v="2"/>
    <s v="1/25/2022"/>
    <n v="905"/>
    <n v="13158.97"/>
    <n v="3692.93"/>
    <n v="11908867.85"/>
    <s v="Lagos"/>
    <s v="Sea"/>
    <x v="2"/>
    <n v="3342101.65"/>
  </r>
  <r>
    <s v="Sesame"/>
    <s v="Prime Agro Exports Nigeria Limited"/>
    <x v="2"/>
    <s v="3/14/2022"/>
    <n v="113"/>
    <n v="44959.45"/>
    <n v="6092.14"/>
    <n v="5080417.8499999996"/>
    <s v="Lagos"/>
    <s v="Sea"/>
    <x v="2"/>
    <n v="688411.82000000007"/>
  </r>
  <r>
    <s v="Sesame"/>
    <s v="Agro Export Nigeria Ltd"/>
    <x v="2"/>
    <s v="3/3/2022"/>
    <n v="757"/>
    <n v="33275.53"/>
    <n v="8144.09"/>
    <n v="25189576.210000001"/>
    <s v="Lagos"/>
    <s v="Sea"/>
    <x v="2"/>
    <n v="6165076.1299999999"/>
  </r>
  <r>
    <s v="Sesame"/>
    <s v="Agriplus Nigeria Limited"/>
    <x v="2"/>
    <s v="6/11/2022"/>
    <n v="343"/>
    <n v="28619.01"/>
    <n v="8180.16"/>
    <n v="9816320.4299999997"/>
    <s v="Lagos"/>
    <s v="Sea"/>
    <x v="2"/>
    <n v="2805794.88"/>
  </r>
  <r>
    <s v="Sesame"/>
    <s v="Farmgate Nigeria Limited"/>
    <x v="3"/>
    <s v="10/25/2022"/>
    <n v="431"/>
    <n v="30944.44"/>
    <n v="4854.76"/>
    <n v="13337053.640000001"/>
    <s v="Port Harcourt"/>
    <s v="Sea"/>
    <x v="2"/>
    <n v="2092401.56"/>
  </r>
  <r>
    <s v="Sesame"/>
    <s v="Nigerian Export Promotion Council (NEPC)"/>
    <x v="3"/>
    <s v="4/26/2022"/>
    <n v="249"/>
    <n v="43575.519999999997"/>
    <n v="5482.79"/>
    <n v="10850304.48"/>
    <s v="Lagos"/>
    <s v="Sea"/>
    <x v="2"/>
    <n v="1365214.71"/>
  </r>
  <r>
    <s v="Sesame"/>
    <s v="Agro Allied Exporters Nigeria Limited"/>
    <x v="3"/>
    <s v="7/27/2022"/>
    <n v="615"/>
    <n v="29388.41"/>
    <n v="4431.2"/>
    <n v="18073872.149999999"/>
    <s v="Lagos"/>
    <s v="Sea"/>
    <x v="2"/>
    <n v="2725188"/>
  </r>
  <r>
    <s v="Sesame"/>
    <s v="Solid Agro Nigeria Limited"/>
    <x v="4"/>
    <s v="11/25/2022"/>
    <n v="662"/>
    <n v="33103.72"/>
    <n v="8786.6"/>
    <n v="21914662.640000001"/>
    <s v="Port Harcourt"/>
    <s v="Sea"/>
    <x v="2"/>
    <n v="5816729.2000000002"/>
  </r>
  <r>
    <s v="Sesame"/>
    <s v="Nigerian Export Promotion Council (NEPC)"/>
    <x v="4"/>
    <s v="5/23/2022"/>
    <n v="471"/>
    <n v="38081.699999999997"/>
    <n v="8208.7199999999993"/>
    <n v="17936480.699999999"/>
    <s v="Calabar"/>
    <s v="Sea"/>
    <x v="2"/>
    <n v="3866307.1199999996"/>
  </r>
  <r>
    <s v="Sesame"/>
    <s v="Solid Agro Nigeria Limited"/>
    <x v="4"/>
    <s v="5/5/2022"/>
    <n v="949"/>
    <n v="38419.360000000001"/>
    <n v="3631.91"/>
    <n v="36459972.640000001"/>
    <s v="Calabar"/>
    <s v="Sea"/>
    <x v="2"/>
    <n v="3446682.59"/>
  </r>
  <r>
    <s v="Sesame"/>
    <s v="Agro Export Nigeria Ltd"/>
    <x v="4"/>
    <s v="8/25/2022"/>
    <n v="497"/>
    <n v="36446.19"/>
    <n v="6203.23"/>
    <n v="18113756.43"/>
    <s v="Warri"/>
    <s v="Sea"/>
    <x v="2"/>
    <n v="3083005.3099999996"/>
  </r>
  <r>
    <s v="Sesame"/>
    <s v="Nigerian Export Promotion Council (NEPC)"/>
    <x v="4"/>
    <s v="8/6/2022"/>
    <n v="476"/>
    <n v="14011.07"/>
    <n v="5099.37"/>
    <n v="6669269.3200000003"/>
    <s v="Calabar"/>
    <s v="Sea"/>
    <x v="2"/>
    <n v="2427300.12"/>
  </r>
  <r>
    <s v="Sesame"/>
    <s v="Greenfield Agro Exporters Nigeria Limited"/>
    <x v="5"/>
    <s v="11/20/2022"/>
    <n v="622"/>
    <n v="11709.51"/>
    <n v="2043.12"/>
    <n v="7283315.2199999997"/>
    <s v="Calabar"/>
    <s v="Sea"/>
    <x v="2"/>
    <n v="1270820.6399999999"/>
  </r>
  <r>
    <s v="Sesame"/>
    <s v="Agro Export Nigeria Ltd"/>
    <x v="5"/>
    <s v="2/23/2022"/>
    <n v="109"/>
    <n v="30617.79"/>
    <n v="6262.87"/>
    <n v="3337339.11"/>
    <s v="Warri"/>
    <s v="Sea"/>
    <x v="2"/>
    <n v="682652.83"/>
  </r>
  <r>
    <s v="Sesame"/>
    <s v="Golden Farms Nigeria Limited"/>
    <x v="5"/>
    <s v="5/13/2022"/>
    <n v="137"/>
    <n v="15527.66"/>
    <n v="8331.52"/>
    <n v="2127289.42"/>
    <s v="Lagos"/>
    <s v="Sea"/>
    <x v="2"/>
    <n v="1141418.24"/>
  </r>
  <r>
    <s v="Sesame"/>
    <s v="Agro Allied Exporters Nigeria Limited"/>
    <x v="5"/>
    <s v="6/27/2022"/>
    <n v="776"/>
    <n v="37554.32"/>
    <n v="6300.28"/>
    <n v="29142152.32"/>
    <s v="Lagos"/>
    <s v="Sea"/>
    <x v="2"/>
    <n v="4889017.28"/>
  </r>
  <r>
    <s v="Sesame"/>
    <s v="Prime Agro Exports Nigeria Limited"/>
    <x v="5"/>
    <s v="7/24/2022"/>
    <n v="329"/>
    <n v="43020.95"/>
    <n v="6895.44"/>
    <n v="14153892.550000001"/>
    <s v="Calabar"/>
    <s v="Sea"/>
    <x v="2"/>
    <n v="2268599.7599999998"/>
  </r>
  <r>
    <s v="Sesame"/>
    <s v="Prime Agro Exports Nigeria Limited"/>
    <x v="5"/>
    <s v="8/16/2022"/>
    <n v="484"/>
    <n v="19067.8"/>
    <n v="3327.57"/>
    <n v="9228815.1999999993"/>
    <s v="Calabar"/>
    <s v="Sea"/>
    <x v="2"/>
    <n v="1610543.8800000001"/>
  </r>
  <r>
    <s v="Sesame"/>
    <s v="Agro Allied Exporters Nigeria Limited"/>
    <x v="5"/>
    <s v="9/28/2022"/>
    <n v="969"/>
    <n v="33912.199999999997"/>
    <n v="6646.6"/>
    <n v="32860921.800000001"/>
    <s v="Lagos"/>
    <s v="Sea"/>
    <x v="2"/>
    <n v="6440555.4000000004"/>
  </r>
  <r>
    <s v="Sesame"/>
    <s v="Greenfield Agro Exporters Nigeria Limited"/>
    <x v="6"/>
    <s v="5/19/2022"/>
    <n v="716"/>
    <n v="19523.8"/>
    <n v="7102.27"/>
    <n v="13979040.800000001"/>
    <s v="Calabar"/>
    <s v="Sea"/>
    <x v="2"/>
    <n v="5085225.32"/>
  </r>
  <r>
    <s v="Sesame"/>
    <s v="Farmgate Nigeria Limited"/>
    <x v="7"/>
    <s v="2/25/2022"/>
    <n v="180"/>
    <n v="35098.42"/>
    <n v="3193.55"/>
    <n v="6317715.5999999996"/>
    <s v="Warri"/>
    <s v="Sea"/>
    <x v="2"/>
    <n v="574839"/>
  </r>
  <r>
    <s v="Sesame"/>
    <s v="Prime Agro Exports Nigeria Limited"/>
    <x v="7"/>
    <s v="4/20/2022"/>
    <n v="573"/>
    <n v="25825.9"/>
    <n v="5873.67"/>
    <n v="14798240.699999999"/>
    <s v="Lagos"/>
    <s v="Sea"/>
    <x v="2"/>
    <n v="3365612.91"/>
  </r>
  <r>
    <s v="Sesame"/>
    <s v="Agro Export Nigeria Ltd"/>
    <x v="1"/>
    <s v="4/20/2022"/>
    <n v="674"/>
    <n v="31768.74"/>
    <n v="3973.93"/>
    <n v="21412130.760000002"/>
    <s v="Lagos"/>
    <s v="Sea"/>
    <x v="2"/>
    <n v="2678428.8199999998"/>
  </r>
  <r>
    <s v="Sesame"/>
    <s v="Greenfield Agro Exporters Nigeria Limited"/>
    <x v="7"/>
    <s v="9/23/2022"/>
    <n v="519"/>
    <n v="23287.18"/>
    <n v="9858.14"/>
    <n v="12086046.42"/>
    <s v="Calabar"/>
    <s v="Sea"/>
    <x v="2"/>
    <n v="5116374.66"/>
  </r>
  <r>
    <s v="Sesame"/>
    <s v="Golden Farms Nigeria Limited"/>
    <x v="9"/>
    <s v="6/19/2022"/>
    <n v="669"/>
    <n v="27099.759999999998"/>
    <n v="9279.52"/>
    <n v="18129739.440000001"/>
    <s v="Warri"/>
    <s v="Sea"/>
    <x v="2"/>
    <n v="6207998.8799999999"/>
  </r>
  <r>
    <s v="Sesame"/>
    <s v="Agro Export Nigeria Ltd"/>
    <x v="9"/>
    <s v="6/6/2022"/>
    <n v="586"/>
    <n v="33793.72"/>
    <n v="9831.9500000000007"/>
    <n v="19803119.920000002"/>
    <s v="Calabar"/>
    <s v="Sea"/>
    <x v="2"/>
    <n v="5761522.7000000002"/>
  </r>
  <r>
    <s v="Sesame"/>
    <s v="Golden Farms Nigeria Limited"/>
    <x v="1"/>
    <s v="2/19/2022"/>
    <n v="679"/>
    <n v="35641.08"/>
    <n v="6425.87"/>
    <n v="24200293.32"/>
    <s v="Warri"/>
    <s v="Sea"/>
    <x v="2"/>
    <n v="4363165.7299999995"/>
  </r>
  <r>
    <s v="Sesame"/>
    <s v="Agro Export Nigeria Ltd"/>
    <x v="0"/>
    <s v="11/24/2023"/>
    <n v="924"/>
    <n v="40546.5"/>
    <n v="6374.24"/>
    <n v="37464966"/>
    <s v="Calabar"/>
    <s v="Sea"/>
    <x v="3"/>
    <n v="5889797.7599999998"/>
  </r>
  <r>
    <s v="Sesame"/>
    <s v="Agriplus Nigeria Limited"/>
    <x v="2"/>
    <s v="4/30/2023"/>
    <n v="329"/>
    <n v="41907.39"/>
    <n v="3974.45"/>
    <n v="13787531.310000001"/>
    <s v="Port Harcourt"/>
    <s v="Sea"/>
    <x v="3"/>
    <n v="1307594.05"/>
  </r>
  <r>
    <s v="Sesame"/>
    <s v="Agro Export Nigeria Ltd"/>
    <x v="3"/>
    <s v="10/22/2023"/>
    <n v="410"/>
    <n v="23384.86"/>
    <n v="9149.14"/>
    <n v="9587792.5999999996"/>
    <s v="Port Harcourt"/>
    <s v="Sea"/>
    <x v="3"/>
    <n v="3751147.4"/>
  </r>
  <r>
    <s v="Sesame"/>
    <s v="Agro Export Nigeria Ltd"/>
    <x v="3"/>
    <s v="3/16/2023"/>
    <n v="810"/>
    <n v="25588.62"/>
    <n v="3915.42"/>
    <n v="20726782.199999999"/>
    <s v="Port Harcourt"/>
    <s v="Sea"/>
    <x v="3"/>
    <n v="3171490.2"/>
  </r>
  <r>
    <s v="Sesame"/>
    <s v="Solid Agro Nigeria Limited"/>
    <x v="3"/>
    <s v="4/14/2023"/>
    <n v="495"/>
    <n v="49344.94"/>
    <n v="3262.03"/>
    <n v="24425745.300000001"/>
    <s v="Lagos"/>
    <s v="Sea"/>
    <x v="3"/>
    <n v="1614704.85"/>
  </r>
  <r>
    <s v="Sesame"/>
    <s v="Agro Allied Exporters Nigeria Limited"/>
    <x v="3"/>
    <s v="7/10/2023"/>
    <n v="933"/>
    <n v="21358.84"/>
    <n v="5191.57"/>
    <n v="19927797.719999999"/>
    <s v="Lagos"/>
    <s v="Sea"/>
    <x v="3"/>
    <n v="4843734.8099999996"/>
  </r>
  <r>
    <s v="Sesame"/>
    <s v="Solid Agro Nigeria Limited"/>
    <x v="3"/>
    <s v="8/5/2023"/>
    <n v="797"/>
    <n v="19485.29"/>
    <n v="3002.8"/>
    <n v="15529776.130000001"/>
    <s v="Lagos"/>
    <s v="Sea"/>
    <x v="3"/>
    <n v="2393231.6"/>
  </r>
  <r>
    <s v="Sesame"/>
    <s v="Golden Farms Nigeria Limited"/>
    <x v="4"/>
    <s v="8/5/2023"/>
    <n v="864"/>
    <n v="37353.61"/>
    <n v="9363.41"/>
    <n v="32273519.039999999"/>
    <s v="Calabar"/>
    <s v="Sea"/>
    <x v="3"/>
    <n v="8089986.2400000002"/>
  </r>
  <r>
    <s v="Sesame"/>
    <s v="Agriplus Nigeria Limited"/>
    <x v="4"/>
    <s v="10/26/2023"/>
    <n v="665"/>
    <n v="47558.52"/>
    <n v="7747.05"/>
    <n v="31626415.800000001"/>
    <s v="Calabar"/>
    <s v="Sea"/>
    <x v="3"/>
    <n v="5151788.25"/>
  </r>
  <r>
    <s v="Sesame"/>
    <s v="Nigerian Export Promotion Council (NEPC)"/>
    <x v="4"/>
    <s v="11/17/2023"/>
    <n v="909"/>
    <n v="12986.58"/>
    <n v="5787.44"/>
    <n v="11804801.220000001"/>
    <s v="Lagos"/>
    <s v="Sea"/>
    <x v="3"/>
    <n v="5260782.96"/>
  </r>
  <r>
    <s v="Sesame"/>
    <s v="Golden Farms Nigeria Limited"/>
    <x v="4"/>
    <s v="3/30/2023"/>
    <n v="663"/>
    <n v="30675.14"/>
    <n v="2723.64"/>
    <n v="20337617.82"/>
    <s v="Port Harcourt"/>
    <s v="Sea"/>
    <x v="3"/>
    <n v="1805773.3199999998"/>
  </r>
  <r>
    <s v="Sesame"/>
    <s v="Agriplus Nigeria Limited"/>
    <x v="6"/>
    <s v="3/30/2023"/>
    <n v="266"/>
    <n v="27835.87"/>
    <n v="4866.09"/>
    <n v="7404341.4199999999"/>
    <s v="Lagos"/>
    <s v="Sea"/>
    <x v="3"/>
    <n v="1294379.94"/>
  </r>
  <r>
    <s v="Sesame"/>
    <s v="Prime Agro Exports Nigeria Limited"/>
    <x v="4"/>
    <s v="5/12/2023"/>
    <n v="911"/>
    <n v="24589.63"/>
    <n v="5784.62"/>
    <n v="22401152.93"/>
    <s v="Calabar"/>
    <s v="Sea"/>
    <x v="3"/>
    <n v="5269788.82"/>
  </r>
  <r>
    <s v="Sesame"/>
    <s v="Nigeria Agro Export Company"/>
    <x v="4"/>
    <s v="5/27/2023"/>
    <n v="142"/>
    <n v="14677.15"/>
    <n v="7760.44"/>
    <n v="2084155.3"/>
    <s v="Warri"/>
    <s v="Sea"/>
    <x v="3"/>
    <n v="1101982.48"/>
  </r>
  <r>
    <s v="Sesame"/>
    <s v="Prime Agro Exports Nigeria Limited"/>
    <x v="4"/>
    <s v="8/13/2023"/>
    <n v="737"/>
    <n v="19643.3"/>
    <n v="9374.93"/>
    <n v="14477112.1"/>
    <s v="Lagos"/>
    <s v="Sea"/>
    <x v="3"/>
    <n v="6909323.4100000001"/>
  </r>
  <r>
    <s v="Sesame"/>
    <s v="Nigerian Export Promotion Council (NEPC)"/>
    <x v="6"/>
    <s v="8/13/2023"/>
    <n v="234"/>
    <n v="43772.23"/>
    <n v="6472.47"/>
    <n v="10242701.82"/>
    <s v="Lagos"/>
    <s v="Sea"/>
    <x v="3"/>
    <n v="1514557.98"/>
  </r>
  <r>
    <s v="Sesame"/>
    <s v="Prime Agro Exports Nigeria Limited"/>
    <x v="4"/>
    <s v="9/12/2023"/>
    <n v="662"/>
    <n v="39462.230000000003"/>
    <n v="2455.1799999999998"/>
    <n v="26123996.260000002"/>
    <s v="Port Harcourt"/>
    <s v="Sea"/>
    <x v="3"/>
    <n v="1625329.16"/>
  </r>
  <r>
    <s v="Sesame"/>
    <s v="Agro Allied Exporters Nigeria Limited"/>
    <x v="5"/>
    <s v="5/7/2023"/>
    <n v="248"/>
    <n v="30929.200000000001"/>
    <n v="2548.66"/>
    <n v="7670441.5999999996"/>
    <s v="Lagos"/>
    <s v="Sea"/>
    <x v="3"/>
    <n v="632067.67999999993"/>
  </r>
  <r>
    <s v="Sesame"/>
    <s v="Agro Export Nigeria Ltd"/>
    <x v="5"/>
    <s v="6/8/2023"/>
    <n v="228"/>
    <n v="18716.18"/>
    <n v="5460.56"/>
    <n v="4267289.04"/>
    <s v="Calabar"/>
    <s v="Sea"/>
    <x v="3"/>
    <n v="1245007.6800000002"/>
  </r>
  <r>
    <s v="Sesame"/>
    <s v="Agro Allied Exporters Nigeria Limited"/>
    <x v="5"/>
    <s v="9/18/2023"/>
    <n v="907"/>
    <n v="42974.87"/>
    <n v="3303.73"/>
    <n v="38978207.090000004"/>
    <s v="Lagos"/>
    <s v="Sea"/>
    <x v="3"/>
    <n v="2996483.11"/>
  </r>
  <r>
    <s v="Sesame"/>
    <s v="Golden Farms Nigeria Limited"/>
    <x v="6"/>
    <s v="1/15/2023"/>
    <n v="406"/>
    <n v="39603.82"/>
    <n v="5227.59"/>
    <n v="16079150.92"/>
    <s v="Lagos"/>
    <s v="Sea"/>
    <x v="3"/>
    <n v="2122401.54"/>
  </r>
  <r>
    <s v="Sesame"/>
    <s v="Agriplus Nigeria Limited"/>
    <x v="6"/>
    <s v="11/25/2023"/>
    <n v="667"/>
    <n v="20963.97"/>
    <n v="8605.9500000000007"/>
    <n v="13982967.99"/>
    <s v="Calabar"/>
    <s v="Sea"/>
    <x v="3"/>
    <n v="5740168.6500000004"/>
  </r>
  <r>
    <s v="Sesame"/>
    <s v="Nigerian Export Promotion Council (NEPC)"/>
    <x v="6"/>
    <s v="11/26/2023"/>
    <n v="964"/>
    <n v="19492.46"/>
    <n v="7012.52"/>
    <n v="18790731.440000001"/>
    <s v="Warri"/>
    <s v="Sea"/>
    <x v="3"/>
    <n v="6760069.2800000003"/>
  </r>
  <r>
    <s v="Sesame"/>
    <s v="Agro Allied Exporters Nigeria Limited"/>
    <x v="6"/>
    <s v="3/25/2023"/>
    <n v="256"/>
    <n v="17418.61"/>
    <n v="4900.83"/>
    <n v="4459164.16"/>
    <s v="Calabar"/>
    <s v="Sea"/>
    <x v="3"/>
    <n v="1254612.48"/>
  </r>
  <r>
    <s v="Sesame"/>
    <s v="Nigerian Export Promotion Council (NEPC)"/>
    <x v="8"/>
    <s v="1/4/2023"/>
    <n v="108"/>
    <n v="34228.639999999999"/>
    <n v="9645.39"/>
    <n v="3696693.12"/>
    <s v="Lagos"/>
    <s v="Sea"/>
    <x v="3"/>
    <n v="1041702.1199999999"/>
  </r>
  <r>
    <s v="Sesame"/>
    <s v="Agro Allied Exporters Nigeria Limited"/>
    <x v="8"/>
    <s v="3/18/2023"/>
    <n v="588"/>
    <n v="36758.76"/>
    <n v="4729.76"/>
    <n v="21614150.879999999"/>
    <s v="Lagos"/>
    <s v="Sea"/>
    <x v="3"/>
    <n v="2781098.8800000004"/>
  </r>
  <r>
    <s v="Sesame"/>
    <s v="Nigeria Agro Export Company"/>
    <x v="8"/>
    <s v="4/2/2023"/>
    <n v="230"/>
    <n v="46533.71"/>
    <n v="4092.35"/>
    <n v="10702753.300000001"/>
    <s v="Warri"/>
    <s v="Sea"/>
    <x v="3"/>
    <n v="941240.5"/>
  </r>
  <r>
    <s v="Sesame"/>
    <s v="Nigeria Agro Export Company"/>
    <x v="8"/>
    <s v="4/25/2023"/>
    <n v="654"/>
    <n v="10417.459999999999"/>
    <n v="5360.66"/>
    <n v="6813018.8399999999"/>
    <s v="Lagos"/>
    <s v="Sea"/>
    <x v="3"/>
    <n v="3505871.64"/>
  </r>
  <r>
    <s v="Sesame"/>
    <s v="Greenfield Agro Exporters Nigeria Limited"/>
    <x v="8"/>
    <s v="4/9/2023"/>
    <n v="127"/>
    <n v="18303.060000000001"/>
    <n v="6427.12"/>
    <n v="2324488.62"/>
    <s v="Lagos"/>
    <s v="Sea"/>
    <x v="3"/>
    <n v="816244.24"/>
  </r>
  <r>
    <s v="Sesame"/>
    <s v="Nigerian Export Promotion Council (NEPC)"/>
    <x v="8"/>
    <s v="8/17/2023"/>
    <n v="478"/>
    <n v="15759.34"/>
    <n v="9407.02"/>
    <n v="7532964.5199999996"/>
    <s v="Lagos"/>
    <s v="Sea"/>
    <x v="3"/>
    <n v="4496555.5600000005"/>
  </r>
  <r>
    <s v="Sesame"/>
    <s v="Nigerian Export Promotion Council (NEPC)"/>
    <x v="8"/>
    <s v="9/17/2023"/>
    <n v="466"/>
    <n v="40846.78"/>
    <n v="8081.57"/>
    <n v="19034599.48"/>
    <s v="Calabar"/>
    <s v="Sea"/>
    <x v="3"/>
    <n v="3766011.6199999996"/>
  </r>
  <r>
    <s v="Sesame"/>
    <s v="Prime Agro Exports Nigeria Limited"/>
    <x v="9"/>
    <s v="8/8/2023"/>
    <n v="272"/>
    <n v="14549.25"/>
    <n v="7569.65"/>
    <n v="3957396"/>
    <s v="Port Harcourt"/>
    <s v="Sea"/>
    <x v="3"/>
    <n v="2058944.7999999998"/>
  </r>
  <r>
    <s v="Sesame"/>
    <s v="Greenfield Agro Exporters Nigeria Limited"/>
    <x v="9"/>
    <s v="9/7/2023"/>
    <n v="940"/>
    <n v="31473.119999999999"/>
    <n v="6282.47"/>
    <n v="29584732.800000001"/>
    <s v="Lagos"/>
    <s v="Sea"/>
    <x v="3"/>
    <n v="5905521.7999999998"/>
  </r>
  <r>
    <s v="Sesame"/>
    <s v="Agriplus Nigeria Limited"/>
    <x v="1"/>
    <s v="10/28/2023"/>
    <n v="859"/>
    <n v="43851.61"/>
    <n v="6799.28"/>
    <n v="37668532.990000002"/>
    <s v="Port Harcourt"/>
    <s v="Sea"/>
    <x v="3"/>
    <n v="5840581.5199999996"/>
  </r>
</pivotCacheRecords>
</file>

<file path=xl/pivotCache/pivotCacheRecords1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x v="0"/>
    <s v="Golden Farms Nigeria Limited"/>
    <x v="0"/>
    <s v="11/26/2020"/>
    <n v="900"/>
    <n v="42463.53"/>
    <n v="5468.54"/>
    <n v="38217177"/>
    <s v="Lagos"/>
    <s v="Sea"/>
    <x v="0"/>
    <n v="4921686"/>
  </r>
  <r>
    <x v="0"/>
    <s v="Golden Farms Nigeria Limited"/>
    <x v="0"/>
    <s v="12/17/2020"/>
    <n v="620"/>
    <n v="35549.32"/>
    <n v="2269.9699999999998"/>
    <n v="22040578.399999999"/>
    <s v="Port Harcourt"/>
    <s v="Sea"/>
    <x v="0"/>
    <n v="1407381.4"/>
  </r>
  <r>
    <x v="0"/>
    <s v="Greenfield Agro Exporters Nigeria Limited"/>
    <x v="0"/>
    <s v="9/22/2020"/>
    <n v="479"/>
    <n v="17626.87"/>
    <n v="6801.41"/>
    <n v="8443270.7300000004"/>
    <s v="Warri"/>
    <s v="Sea"/>
    <x v="0"/>
    <n v="3257875.39"/>
  </r>
  <r>
    <x v="0"/>
    <s v="Golden Farms Nigeria Limited"/>
    <x v="1"/>
    <s v="1/9/2020"/>
    <n v="151"/>
    <n v="15679.05"/>
    <n v="8708.7099999999991"/>
    <n v="2367536.5499999998"/>
    <s v="Warri"/>
    <s v="Sea"/>
    <x v="0"/>
    <n v="1315015.21"/>
  </r>
  <r>
    <x v="0"/>
    <s v="Nigeria Agro Export Company"/>
    <x v="1"/>
    <s v="11/29/2020"/>
    <n v="987"/>
    <n v="38561.5"/>
    <n v="9018.41"/>
    <n v="38060200.5"/>
    <s v="Lagos"/>
    <s v="Sea"/>
    <x v="0"/>
    <n v="8901170.6699999999"/>
  </r>
  <r>
    <x v="0"/>
    <s v="Agriplus Nigeria Limited"/>
    <x v="1"/>
    <s v="5/10/2020"/>
    <n v="445"/>
    <n v="20520.439999999999"/>
    <n v="6305.29"/>
    <n v="9131595.8000000007"/>
    <s v="Lagos"/>
    <s v="Sea"/>
    <x v="0"/>
    <n v="2805854.05"/>
  </r>
  <r>
    <x v="0"/>
    <s v="Greenfield Agro Exporters Nigeria Limited"/>
    <x v="1"/>
    <s v="7/12/2020"/>
    <n v="774"/>
    <n v="24784.46"/>
    <n v="6047.25"/>
    <n v="19183172.039999999"/>
    <s v="Lagos"/>
    <s v="Sea"/>
    <x v="0"/>
    <n v="4680571.5"/>
  </r>
  <r>
    <x v="0"/>
    <s v="Solid Agro Nigeria Limited"/>
    <x v="2"/>
    <s v="11/6/2020"/>
    <n v="413"/>
    <n v="28753.55"/>
    <n v="6243.28"/>
    <n v="11875216.15"/>
    <s v="Lagos"/>
    <s v="Sea"/>
    <x v="0"/>
    <n v="2578474.6399999997"/>
  </r>
  <r>
    <x v="0"/>
    <s v="Nigerian Export Promotion Council (NEPC)"/>
    <x v="2"/>
    <s v="4/19/2020"/>
    <n v="636"/>
    <n v="18138.259999999998"/>
    <n v="6241.93"/>
    <n v="11535933.359999999"/>
    <s v="Lagos"/>
    <s v="Sea"/>
    <x v="0"/>
    <n v="3969867.48"/>
  </r>
  <r>
    <x v="0"/>
    <s v="Nigeria Agro Export Company"/>
    <x v="3"/>
    <s v="3/31/2020"/>
    <n v="627"/>
    <n v="34746.28"/>
    <n v="9410.6200000000008"/>
    <n v="21785917.559999999"/>
    <s v="Lagos"/>
    <s v="Sea"/>
    <x v="0"/>
    <n v="5900458.7400000002"/>
  </r>
  <r>
    <x v="0"/>
    <s v="Nigerian Export Promotion Council (NEPC)"/>
    <x v="3"/>
    <s v="7/8/2020"/>
    <n v="804"/>
    <n v="24263.35"/>
    <n v="4847.33"/>
    <n v="19507733.399999999"/>
    <s v="Calabar"/>
    <s v="Sea"/>
    <x v="0"/>
    <n v="3897253.32"/>
  </r>
  <r>
    <x v="0"/>
    <s v="Farmgate Nigeria Limited"/>
    <x v="3"/>
    <s v="9/16/2020"/>
    <n v="158"/>
    <n v="33199.440000000002"/>
    <n v="5295.09"/>
    <n v="5245511.5199999996"/>
    <s v="Lagos"/>
    <s v="Sea"/>
    <x v="0"/>
    <n v="836624.22"/>
  </r>
  <r>
    <x v="0"/>
    <s v="Prime Agro Exports Nigeria Limited"/>
    <x v="4"/>
    <s v="10/24/2020"/>
    <n v="208"/>
    <n v="31322.799999999999"/>
    <n v="7800.08"/>
    <n v="6515142.4000000004"/>
    <s v="Lagos"/>
    <s v="Sea"/>
    <x v="0"/>
    <n v="1622416.64"/>
  </r>
  <r>
    <x v="0"/>
    <s v="Solid Agro Nigeria Limited"/>
    <x v="4"/>
    <s v="6/29/2020"/>
    <n v="585"/>
    <n v="36047.54"/>
    <n v="7586.5"/>
    <n v="21087810.899999999"/>
    <s v="Lagos"/>
    <s v="Sea"/>
    <x v="0"/>
    <n v="4438102.5"/>
  </r>
  <r>
    <x v="0"/>
    <s v="Agro Export Nigeria Ltd"/>
    <x v="4"/>
    <s v="9/11/2020"/>
    <n v="481"/>
    <n v="28731.34"/>
    <n v="7792.24"/>
    <n v="13819774.539999999"/>
    <s v="Port Harcourt"/>
    <s v="Sea"/>
    <x v="0"/>
    <n v="3748067.44"/>
  </r>
  <r>
    <x v="0"/>
    <s v="Golden Farms Nigeria Limited"/>
    <x v="5"/>
    <s v="3/13/2020"/>
    <n v="592"/>
    <n v="10021.32"/>
    <n v="7255.38"/>
    <n v="5932621.4400000004"/>
    <s v="Lagos"/>
    <s v="Sea"/>
    <x v="0"/>
    <n v="4295184.96"/>
  </r>
  <r>
    <x v="0"/>
    <s v="Nigeria Agro Export Company"/>
    <x v="5"/>
    <s v="3/4/2020"/>
    <n v="537"/>
    <n v="18603.64"/>
    <n v="5520.33"/>
    <n v="9990154.6799999997"/>
    <s v="Warri"/>
    <s v="Sea"/>
    <x v="0"/>
    <n v="2964417.21"/>
  </r>
  <r>
    <x v="0"/>
    <s v="Farmgate Nigeria Limited"/>
    <x v="5"/>
    <s v="8/6/2020"/>
    <n v="492"/>
    <n v="49229.66"/>
    <n v="7287.84"/>
    <n v="24220992.719999999"/>
    <s v="Lagos"/>
    <s v="Sea"/>
    <x v="0"/>
    <n v="3585617.2800000003"/>
  </r>
  <r>
    <x v="0"/>
    <s v="Nigeria Agro Export Company"/>
    <x v="5"/>
    <s v="9/5/2020"/>
    <n v="604"/>
    <n v="26272.25"/>
    <n v="3836.47"/>
    <n v="15868439"/>
    <s v="Lagos"/>
    <s v="Sea"/>
    <x v="0"/>
    <n v="2317227.88"/>
  </r>
  <r>
    <x v="0"/>
    <s v="Farmgate Nigeria Limited"/>
    <x v="6"/>
    <s v="1/11/2020"/>
    <n v="204"/>
    <n v="22765.81"/>
    <n v="5848.05"/>
    <n v="4644225.24"/>
    <s v="Lagos"/>
    <s v="Sea"/>
    <x v="0"/>
    <n v="1193002.2"/>
  </r>
  <r>
    <x v="0"/>
    <s v="Nigerian Export Promotion Council (NEPC)"/>
    <x v="6"/>
    <s v="11/8/2020"/>
    <n v="898"/>
    <n v="21737.75"/>
    <n v="5661.66"/>
    <n v="19520499.5"/>
    <s v="Lagos"/>
    <s v="Sea"/>
    <x v="0"/>
    <n v="5084170.68"/>
  </r>
  <r>
    <x v="0"/>
    <s v="Nigerian Export Promotion Council (NEPC)"/>
    <x v="6"/>
    <s v="11/9/2020"/>
    <n v="519"/>
    <n v="33727.94"/>
    <n v="6857.59"/>
    <n v="17504800.859999999"/>
    <s v="Lagos"/>
    <s v="Sea"/>
    <x v="0"/>
    <n v="3559089.21"/>
  </r>
  <r>
    <x v="0"/>
    <s v="Prime Agro Exports Nigeria Limited"/>
    <x v="6"/>
    <s v="4/21/2020"/>
    <n v="123"/>
    <n v="28223.94"/>
    <n v="4207.7299999999996"/>
    <n v="3471544.62"/>
    <s v="Lagos"/>
    <s v="Sea"/>
    <x v="0"/>
    <n v="517550.78999999992"/>
  </r>
  <r>
    <x v="0"/>
    <s v="Prime Agro Exports Nigeria Limited"/>
    <x v="6"/>
    <s v="7/18/2020"/>
    <n v="647"/>
    <n v="24424.61"/>
    <n v="4660.79"/>
    <n v="15802722.67"/>
    <s v="Calabar"/>
    <s v="Sea"/>
    <x v="0"/>
    <n v="3015531.13"/>
  </r>
  <r>
    <x v="0"/>
    <s v="Solid Agro Nigeria Limited"/>
    <x v="6"/>
    <s v="7/6/2020"/>
    <n v="396"/>
    <n v="28963.42"/>
    <n v="9765.76"/>
    <n v="11469514.32"/>
    <s v="Calabar"/>
    <s v="Sea"/>
    <x v="0"/>
    <n v="3867240.96"/>
  </r>
  <r>
    <x v="0"/>
    <s v="Farmgate Nigeria Limited"/>
    <x v="6"/>
    <s v="8/8/2020"/>
    <n v="390"/>
    <n v="38419.120000000003"/>
    <n v="7127.08"/>
    <n v="14983456.800000001"/>
    <s v="Lagos"/>
    <s v="Sea"/>
    <x v="0"/>
    <n v="2779561.2"/>
  </r>
  <r>
    <x v="0"/>
    <s v="Greenfield Agro Exporters Nigeria Limited"/>
    <x v="7"/>
    <s v="12/3/2020"/>
    <n v="290"/>
    <n v="18007.189999999999"/>
    <n v="9572.06"/>
    <n v="5222085.0999999996"/>
    <s v="Port Harcourt"/>
    <s v="Sea"/>
    <x v="0"/>
    <n v="2775897.4"/>
  </r>
  <r>
    <x v="0"/>
    <s v="Agro Export Nigeria Ltd"/>
    <x v="7"/>
    <s v="7/3/2020"/>
    <n v="511"/>
    <n v="28130.25"/>
    <n v="9295.18"/>
    <n v="14374557.75"/>
    <s v="Lagos"/>
    <s v="Sea"/>
    <x v="0"/>
    <n v="4749836.9800000004"/>
  </r>
  <r>
    <x v="0"/>
    <s v="Farmgate Nigeria Limited"/>
    <x v="7"/>
    <s v="9/1/2020"/>
    <n v="747"/>
    <n v="32440.35"/>
    <n v="7368.96"/>
    <n v="24232941.449999999"/>
    <s v="Lagos"/>
    <s v="Sea"/>
    <x v="0"/>
    <n v="5504613.1200000001"/>
  </r>
  <r>
    <x v="0"/>
    <s v="Farmgate Nigeria Limited"/>
    <x v="7"/>
    <s v="9/3/2020"/>
    <n v="729"/>
    <n v="43688.56"/>
    <n v="7472"/>
    <n v="31848960.239999998"/>
    <s v="Port Harcourt"/>
    <s v="Sea"/>
    <x v="0"/>
    <n v="5447088"/>
  </r>
  <r>
    <x v="0"/>
    <s v="Agriplus Nigeria Limited"/>
    <x v="8"/>
    <s v="11/1/2020"/>
    <n v="618"/>
    <n v="34261.660000000003"/>
    <n v="9850.59"/>
    <n v="21173705.879999999"/>
    <s v="Lagos"/>
    <s v="Sea"/>
    <x v="0"/>
    <n v="6087664.6200000001"/>
  </r>
  <r>
    <x v="0"/>
    <s v="Prime Agro Exports Nigeria Limited"/>
    <x v="8"/>
    <s v="11/21/2020"/>
    <n v="706"/>
    <n v="35409.89"/>
    <n v="6520"/>
    <n v="24999382.34"/>
    <s v="Port Harcourt"/>
    <s v="Sea"/>
    <x v="0"/>
    <n v="4603120"/>
  </r>
  <r>
    <x v="0"/>
    <s v="Golden Farms Nigeria Limited"/>
    <x v="8"/>
    <s v="12/7/2020"/>
    <n v="316"/>
    <n v="35104.26"/>
    <n v="2739.19"/>
    <n v="11092946.16"/>
    <s v="Lagos"/>
    <s v="Sea"/>
    <x v="0"/>
    <n v="865584.04"/>
  </r>
  <r>
    <x v="0"/>
    <s v="Agriplus Nigeria Limited"/>
    <x v="8"/>
    <s v="5/25/2020"/>
    <n v="890"/>
    <n v="20914.84"/>
    <n v="7851.32"/>
    <n v="18614207.600000001"/>
    <s v="Lagos"/>
    <s v="Sea"/>
    <x v="0"/>
    <n v="6987674.7999999998"/>
  </r>
  <r>
    <x v="0"/>
    <s v="Nigerian Export Promotion Council (NEPC)"/>
    <x v="8"/>
    <s v="5/30/2020"/>
    <n v="444"/>
    <n v="25730.68"/>
    <n v="5539.83"/>
    <n v="11424421.92"/>
    <s v="Lagos"/>
    <s v="Sea"/>
    <x v="0"/>
    <n v="2459684.52"/>
  </r>
  <r>
    <x v="0"/>
    <s v="Nigeria Agro Export Company"/>
    <x v="9"/>
    <s v="6/28/2020"/>
    <n v="825"/>
    <n v="40168.050000000003"/>
    <n v="4338.22"/>
    <n v="33138641.25"/>
    <s v="Port Harcourt"/>
    <s v="Sea"/>
    <x v="0"/>
    <n v="3579031.5"/>
  </r>
  <r>
    <x v="0"/>
    <s v="Nigeria Agro Export Company"/>
    <x v="0"/>
    <s v="6/24/2021"/>
    <n v="670"/>
    <n v="29082.54"/>
    <n v="4982.72"/>
    <n v="19485301.800000001"/>
    <s v="Calabar"/>
    <s v="Sea"/>
    <x v="1"/>
    <n v="3338422.4000000004"/>
  </r>
  <r>
    <x v="0"/>
    <s v="Agro Export Nigeria Ltd"/>
    <x v="0"/>
    <s v="8/17/2021"/>
    <n v="293"/>
    <n v="35250.959999999999"/>
    <n v="4432.8900000000003"/>
    <n v="10328531.279999999"/>
    <s v="Lagos"/>
    <s v="Sea"/>
    <x v="1"/>
    <n v="1298836.77"/>
  </r>
  <r>
    <x v="0"/>
    <s v="Agriplus Nigeria Limited"/>
    <x v="0"/>
    <s v="8/18/2021"/>
    <n v="109"/>
    <n v="37687.33"/>
    <n v="8794.43"/>
    <n v="4107918.97"/>
    <s v="Warri"/>
    <s v="Sea"/>
    <x v="1"/>
    <n v="958592.87"/>
  </r>
  <r>
    <x v="0"/>
    <s v="Solid Agro Nigeria Limited"/>
    <x v="1"/>
    <s v="1/17/2021"/>
    <n v="108"/>
    <n v="37249.78"/>
    <n v="4225.05"/>
    <n v="4022976.24"/>
    <s v="Port Harcourt"/>
    <s v="Sea"/>
    <x v="1"/>
    <n v="456305.4"/>
  </r>
  <r>
    <x v="0"/>
    <s v="Golden Farms Nigeria Limited"/>
    <x v="1"/>
    <s v="10/6/2021"/>
    <n v="344"/>
    <n v="11762.79"/>
    <n v="5039.24"/>
    <n v="4046399.76"/>
    <s v="Lagos"/>
    <s v="Sea"/>
    <x v="1"/>
    <n v="1733498.5599999998"/>
  </r>
  <r>
    <x v="0"/>
    <s v="Farmgate Nigeria Limited"/>
    <x v="1"/>
    <s v="12/23/2021"/>
    <n v="188"/>
    <n v="38387.230000000003"/>
    <n v="9785.67"/>
    <n v="7216799.2400000002"/>
    <s v="Calabar"/>
    <s v="Sea"/>
    <x v="1"/>
    <n v="1839705.96"/>
  </r>
  <r>
    <x v="0"/>
    <s v="Solid Agro Nigeria Limited"/>
    <x v="1"/>
    <s v="2/24/2021"/>
    <n v="973"/>
    <n v="13019.66"/>
    <n v="7802.91"/>
    <n v="12668129.18"/>
    <s v="Lagos"/>
    <s v="Sea"/>
    <x v="1"/>
    <n v="7592231.4299999997"/>
  </r>
  <r>
    <x v="0"/>
    <s v="Nigeria Agro Export Company"/>
    <x v="2"/>
    <s v="7/1/2021"/>
    <n v="599"/>
    <n v="46916.93"/>
    <n v="8747.6"/>
    <n v="28103241.07"/>
    <s v="Lagos"/>
    <s v="Sea"/>
    <x v="1"/>
    <n v="5239812.4000000004"/>
  </r>
  <r>
    <x v="0"/>
    <s v="Agro Export Nigeria Ltd"/>
    <x v="2"/>
    <s v="7/18/2021"/>
    <n v="319"/>
    <n v="26580.33"/>
    <n v="9531.2000000000007"/>
    <n v="8479125.2699999996"/>
    <s v="Lagos"/>
    <s v="Sea"/>
    <x v="1"/>
    <n v="3040452.8000000003"/>
  </r>
  <r>
    <x v="0"/>
    <s v="Nigeria Agro Export Company"/>
    <x v="2"/>
    <s v="8/6/2021"/>
    <n v="195"/>
    <n v="22573.75"/>
    <n v="8379.0499999999993"/>
    <n v="4401881.25"/>
    <s v="Lagos"/>
    <s v="Sea"/>
    <x v="1"/>
    <n v="1633914.7499999998"/>
  </r>
  <r>
    <x v="0"/>
    <s v="Agro Allied Exporters Nigeria Limited"/>
    <x v="6"/>
    <s v="8/6/2021"/>
    <n v="551"/>
    <n v="23671.25"/>
    <n v="6023.56"/>
    <n v="13042858.75"/>
    <s v="Lagos"/>
    <s v="Sea"/>
    <x v="1"/>
    <n v="3318981.56"/>
  </r>
  <r>
    <x v="0"/>
    <s v="Greenfield Agro Exporters Nigeria Limited"/>
    <x v="2"/>
    <s v="9/7/2021"/>
    <n v="397"/>
    <n v="29715"/>
    <n v="6060.24"/>
    <n v="11796855"/>
    <s v="Warri"/>
    <s v="Sea"/>
    <x v="1"/>
    <n v="2405915.2799999998"/>
  </r>
  <r>
    <x v="0"/>
    <s v="Nigeria Agro Export Company"/>
    <x v="3"/>
    <s v="10/25/2021"/>
    <n v="309"/>
    <n v="36171.199999999997"/>
    <n v="5485.99"/>
    <n v="11176900.800000001"/>
    <s v="Lagos"/>
    <s v="Sea"/>
    <x v="1"/>
    <n v="1695170.91"/>
  </r>
  <r>
    <x v="0"/>
    <s v="Nigerian Export Promotion Council (NEPC)"/>
    <x v="3"/>
    <s v="11/16/2021"/>
    <n v="810"/>
    <n v="37294.980000000003"/>
    <n v="9804.7000000000007"/>
    <n v="30208933.800000001"/>
    <s v="Lagos"/>
    <s v="Sea"/>
    <x v="1"/>
    <n v="7941807.0000000009"/>
  </r>
  <r>
    <x v="0"/>
    <s v="Agro Export Nigeria Ltd"/>
    <x v="3"/>
    <s v="2/8/2021"/>
    <n v="779"/>
    <n v="41434.9"/>
    <n v="4902.3900000000003"/>
    <n v="32277787.100000001"/>
    <s v="Lagos"/>
    <s v="Sea"/>
    <x v="1"/>
    <n v="3818961.81"/>
  </r>
  <r>
    <x v="0"/>
    <s v="Farmgate Nigeria Limited"/>
    <x v="3"/>
    <s v="5/14/2021"/>
    <n v="407"/>
    <n v="17240.740000000002"/>
    <n v="7258.3"/>
    <n v="7016981.1799999997"/>
    <s v="Lagos"/>
    <s v="Sea"/>
    <x v="1"/>
    <n v="2954128.1"/>
  </r>
  <r>
    <x v="0"/>
    <s v="Nigeria Agro Export Company"/>
    <x v="3"/>
    <s v="6/30/2021"/>
    <n v="469"/>
    <n v="40500.51"/>
    <n v="9256.9500000000007"/>
    <n v="18994739.190000001"/>
    <s v="Calabar"/>
    <s v="Sea"/>
    <x v="1"/>
    <n v="4341509.5500000007"/>
  </r>
  <r>
    <x v="0"/>
    <s v="Prime Agro Exports Nigeria Limited"/>
    <x v="4"/>
    <s v="10/4/2021"/>
    <n v="963"/>
    <n v="16009.91"/>
    <n v="7849.5"/>
    <n v="15417543.33"/>
    <s v="Warri"/>
    <s v="Sea"/>
    <x v="1"/>
    <n v="7559068.5"/>
  </r>
  <r>
    <x v="0"/>
    <s v="Agriplus Nigeria Limited"/>
    <x v="4"/>
    <s v="11/6/2021"/>
    <n v="491"/>
    <n v="42937.24"/>
    <n v="7776.41"/>
    <n v="21082184.84"/>
    <s v="Lagos"/>
    <s v="Sea"/>
    <x v="1"/>
    <n v="3818217.31"/>
  </r>
  <r>
    <x v="0"/>
    <s v="Farmgate Nigeria Limited"/>
    <x v="4"/>
    <s v="4/21/2021"/>
    <n v="238"/>
    <n v="28152.42"/>
    <n v="8234.85"/>
    <n v="6700275.96"/>
    <s v="Lagos"/>
    <s v="Sea"/>
    <x v="1"/>
    <n v="1959894.3"/>
  </r>
  <r>
    <x v="0"/>
    <s v="Nigeria Agro Export Company"/>
    <x v="4"/>
    <s v="7/5/2021"/>
    <n v="305"/>
    <n v="18218.73"/>
    <n v="9792.49"/>
    <n v="5556712.6500000004"/>
    <s v="Lagos"/>
    <s v="Sea"/>
    <x v="1"/>
    <n v="2986709.4499999997"/>
  </r>
  <r>
    <x v="0"/>
    <s v="Nigerian Export Promotion Council (NEPC)"/>
    <x v="5"/>
    <s v="12/28/2021"/>
    <n v="360"/>
    <n v="25462.65"/>
    <n v="9477.39"/>
    <n v="9166554"/>
    <s v="Lagos"/>
    <s v="Sea"/>
    <x v="1"/>
    <n v="3411860.4"/>
  </r>
  <r>
    <x v="0"/>
    <s v="Prime Agro Exports Nigeria Limited"/>
    <x v="5"/>
    <s v="4/1/2021"/>
    <n v="394"/>
    <n v="47388.5"/>
    <n v="9454.0300000000007"/>
    <n v="18671069"/>
    <s v="Lagos"/>
    <s v="Sea"/>
    <x v="1"/>
    <n v="3724887.8200000003"/>
  </r>
  <r>
    <x v="0"/>
    <s v="Nigeria Agro Export Company"/>
    <x v="5"/>
    <s v="5/25/2021"/>
    <n v="112"/>
    <n v="37672.07"/>
    <n v="5265.33"/>
    <n v="4219271.84"/>
    <s v="Lagos"/>
    <s v="Sea"/>
    <x v="1"/>
    <n v="589716.96"/>
  </r>
  <r>
    <x v="0"/>
    <s v="Nigeria Agro Export Company"/>
    <x v="5"/>
    <s v="5/29/2021"/>
    <n v="494"/>
    <n v="29181.06"/>
    <n v="2446.06"/>
    <n v="14415443.640000001"/>
    <s v="Lagos"/>
    <s v="Sea"/>
    <x v="1"/>
    <n v="1208353.6399999999"/>
  </r>
  <r>
    <x v="0"/>
    <s v="Farmgate Nigeria Limited"/>
    <x v="6"/>
    <s v="12/15/2021"/>
    <n v="773"/>
    <n v="38681.14"/>
    <n v="8033.55"/>
    <n v="29900521.219999999"/>
    <s v="Lagos"/>
    <s v="Sea"/>
    <x v="1"/>
    <n v="6209934.1500000004"/>
  </r>
  <r>
    <x v="0"/>
    <s v="Prime Agro Exports Nigeria Limited"/>
    <x v="6"/>
    <s v="12/24/2021"/>
    <n v="279"/>
    <n v="13571.23"/>
    <n v="9897.25"/>
    <n v="3786373.17"/>
    <s v="Calabar"/>
    <s v="Sea"/>
    <x v="1"/>
    <n v="2761332.75"/>
  </r>
  <r>
    <x v="0"/>
    <s v="Farmgate Nigeria Limited"/>
    <x v="6"/>
    <s v="12/24/2021"/>
    <n v="634"/>
    <n v="40807.39"/>
    <n v="9589.5300000000007"/>
    <n v="25871885.260000002"/>
    <s v="Lagos"/>
    <s v="Sea"/>
    <x v="1"/>
    <n v="6079762.0200000005"/>
  </r>
  <r>
    <x v="0"/>
    <s v="Agro Export Nigeria Ltd"/>
    <x v="6"/>
    <s v="12/25/2021"/>
    <n v="595"/>
    <n v="49952.76"/>
    <n v="3880.69"/>
    <n v="29721892.199999999"/>
    <s v="Calabar"/>
    <s v="Sea"/>
    <x v="1"/>
    <n v="2309010.5499999998"/>
  </r>
  <r>
    <x v="0"/>
    <s v="Nigerian Export Promotion Council (NEPC)"/>
    <x v="6"/>
    <s v="4/12/2021"/>
    <n v="777"/>
    <n v="30049.86"/>
    <n v="4993.55"/>
    <n v="23348741.219999999"/>
    <s v="Calabar"/>
    <s v="Sea"/>
    <x v="1"/>
    <n v="3879988.35"/>
  </r>
  <r>
    <x v="0"/>
    <s v="Greenfield Agro Exporters Nigeria Limited"/>
    <x v="6"/>
    <s v="8/8/2021"/>
    <n v="669"/>
    <n v="18940.330000000002"/>
    <n v="2890.92"/>
    <n v="12671080.77"/>
    <s v="Lagos"/>
    <s v="Sea"/>
    <x v="1"/>
    <n v="1934025.48"/>
  </r>
  <r>
    <x v="0"/>
    <s v="Golden Farms Nigeria Limited"/>
    <x v="7"/>
    <s v="2/12/2021"/>
    <n v="359"/>
    <n v="19044.29"/>
    <n v="6879.43"/>
    <n v="6836900.1100000003"/>
    <s v="Lagos"/>
    <s v="Sea"/>
    <x v="1"/>
    <n v="2469715.37"/>
  </r>
  <r>
    <x v="0"/>
    <s v="Agro Allied Exporters Nigeria Limited"/>
    <x v="7"/>
    <s v="3/1/2021"/>
    <n v="692"/>
    <n v="20019.73"/>
    <n v="4532.37"/>
    <n v="13853653.16"/>
    <s v="Lagos"/>
    <s v="Sea"/>
    <x v="1"/>
    <n v="3136400.04"/>
  </r>
  <r>
    <x v="0"/>
    <s v="Prime Agro Exports Nigeria Limited"/>
    <x v="7"/>
    <s v="7/17/2021"/>
    <n v="435"/>
    <n v="33734.239999999998"/>
    <n v="7258.28"/>
    <n v="14674394.4"/>
    <s v="Lagos"/>
    <s v="Sea"/>
    <x v="1"/>
    <n v="3157351.8"/>
  </r>
  <r>
    <x v="0"/>
    <s v="Prime Agro Exports Nigeria Limited"/>
    <x v="8"/>
    <s v="1/27/2021"/>
    <n v="870"/>
    <n v="48583.99"/>
    <n v="3988.43"/>
    <n v="42268071.299999997"/>
    <s v="Lagos"/>
    <s v="Sea"/>
    <x v="1"/>
    <n v="3469934.0999999996"/>
  </r>
  <r>
    <x v="0"/>
    <s v="Prime Agro Exports Nigeria Limited"/>
    <x v="8"/>
    <s v="10/5/2021"/>
    <n v="388"/>
    <n v="14002.05"/>
    <n v="7799.02"/>
    <n v="5432795.4000000004"/>
    <s v="Lagos"/>
    <s v="Sea"/>
    <x v="1"/>
    <n v="3026019.7600000002"/>
  </r>
  <r>
    <x v="0"/>
    <s v="Agriplus Nigeria Limited"/>
    <x v="8"/>
    <s v="3/17/2021"/>
    <n v="988"/>
    <n v="34090.050000000003"/>
    <n v="6763.49"/>
    <n v="33680969.399999999"/>
    <s v="Lagos"/>
    <s v="Sea"/>
    <x v="1"/>
    <n v="6682328.1200000001"/>
  </r>
  <r>
    <x v="0"/>
    <s v="Agriplus Nigeria Limited"/>
    <x v="8"/>
    <s v="6/17/2021"/>
    <n v="456"/>
    <n v="21633.599999999999"/>
    <n v="4135.4399999999996"/>
    <n v="9864921.5999999996"/>
    <s v="Calabar"/>
    <s v="Sea"/>
    <x v="1"/>
    <n v="1885760.64"/>
  </r>
  <r>
    <x v="0"/>
    <s v="Prime Agro Exports Nigeria Limited"/>
    <x v="8"/>
    <s v="6/26/2021"/>
    <n v="627"/>
    <n v="28634.29"/>
    <n v="6333.2"/>
    <n v="17953699.829999998"/>
    <s v="Warri"/>
    <s v="Sea"/>
    <x v="1"/>
    <n v="3970916.4"/>
  </r>
  <r>
    <x v="0"/>
    <s v="Nigerian Export Promotion Council (NEPC)"/>
    <x v="8"/>
    <s v="9/4/2021"/>
    <n v="369"/>
    <n v="13952.52"/>
    <n v="6188.94"/>
    <n v="5148479.88"/>
    <s v="Lagos"/>
    <s v="Sea"/>
    <x v="1"/>
    <n v="2283718.86"/>
  </r>
  <r>
    <x v="0"/>
    <s v="Agriplus Nigeria Limited"/>
    <x v="9"/>
    <s v="6/18/2021"/>
    <n v="496"/>
    <n v="16337.54"/>
    <n v="7374.32"/>
    <n v="8103419.8399999999"/>
    <s v="Port Harcourt"/>
    <s v="Sea"/>
    <x v="1"/>
    <n v="3657662.7199999997"/>
  </r>
  <r>
    <x v="0"/>
    <s v="Nigeria Agro Export Company"/>
    <x v="1"/>
    <s v="1/2/2022"/>
    <n v="225"/>
    <n v="27359.34"/>
    <n v="4792.7"/>
    <n v="6155851.5"/>
    <s v="Lagos"/>
    <s v="Sea"/>
    <x v="2"/>
    <n v="1078357.5"/>
  </r>
  <r>
    <x v="0"/>
    <s v="Solid Agro Nigeria Limited"/>
    <x v="1"/>
    <s v="3/13/2022"/>
    <n v="425"/>
    <n v="18775.34"/>
    <n v="5343.85"/>
    <n v="7979519.5"/>
    <s v="Lagos"/>
    <s v="Sea"/>
    <x v="2"/>
    <n v="2271136.25"/>
  </r>
  <r>
    <x v="0"/>
    <s v="Solid Agro Nigeria Limited"/>
    <x v="1"/>
    <s v="5/22/2022"/>
    <n v="930"/>
    <n v="37216.61"/>
    <n v="4076.71"/>
    <n v="34611447.299999997"/>
    <s v="Warri"/>
    <s v="Sea"/>
    <x v="2"/>
    <n v="3791340.3"/>
  </r>
  <r>
    <x v="0"/>
    <s v="Agriplus Nigeria Limited"/>
    <x v="1"/>
    <s v="8/26/2022"/>
    <n v="220"/>
    <n v="37731.49"/>
    <n v="5466.27"/>
    <n v="8300927.7999999998"/>
    <s v="Warri"/>
    <s v="Sea"/>
    <x v="2"/>
    <n v="1202579.4000000001"/>
  </r>
  <r>
    <x v="0"/>
    <s v="Nigeria Agro Export Company"/>
    <x v="2"/>
    <s v="1/12/2022"/>
    <n v="223"/>
    <n v="41689.96"/>
    <n v="7172.86"/>
    <n v="9296861.0800000001"/>
    <s v="Lagos"/>
    <s v="Sea"/>
    <x v="2"/>
    <n v="1599547.78"/>
  </r>
  <r>
    <x v="0"/>
    <s v="Golden Farms Nigeria Limited"/>
    <x v="2"/>
    <s v="10/13/2022"/>
    <n v="238"/>
    <n v="31839.65"/>
    <n v="8488.9699999999993"/>
    <n v="7577836.7000000002"/>
    <s v="Lagos"/>
    <s v="Sea"/>
    <x v="2"/>
    <n v="2020374.8599999999"/>
  </r>
  <r>
    <x v="0"/>
    <s v="Agro Allied Exporters Nigeria Limited"/>
    <x v="2"/>
    <s v="3/10/2022"/>
    <n v="228"/>
    <n v="27992.79"/>
    <n v="4627.45"/>
    <n v="6382356.1200000001"/>
    <s v="Calabar"/>
    <s v="Sea"/>
    <x v="2"/>
    <n v="1055058.5999999999"/>
  </r>
  <r>
    <x v="0"/>
    <s v="Greenfield Agro Exporters Nigeria Limited"/>
    <x v="2"/>
    <s v="3/27/2022"/>
    <n v="462"/>
    <n v="40352.050000000003"/>
    <n v="5985.5"/>
    <n v="18642647.100000001"/>
    <s v="Lagos"/>
    <s v="Sea"/>
    <x v="2"/>
    <n v="2765301"/>
  </r>
  <r>
    <x v="0"/>
    <s v="Nigerian Export Promotion Council (NEPC)"/>
    <x v="2"/>
    <s v="3/3/2022"/>
    <n v="212"/>
    <n v="38606.82"/>
    <n v="8270.19"/>
    <n v="8184645.8399999999"/>
    <s v="Lagos"/>
    <s v="Sea"/>
    <x v="2"/>
    <n v="1753280.28"/>
  </r>
  <r>
    <x v="0"/>
    <s v="Agro Allied Exporters Nigeria Limited"/>
    <x v="3"/>
    <s v="12/22/2022"/>
    <n v="197"/>
    <n v="32460.959999999999"/>
    <n v="3462.01"/>
    <n v="6394809.1200000001"/>
    <s v="Lagos"/>
    <s v="Sea"/>
    <x v="2"/>
    <n v="682015.97000000009"/>
  </r>
  <r>
    <x v="0"/>
    <s v="Prime Agro Exports Nigeria Limited"/>
    <x v="3"/>
    <s v="4/14/2022"/>
    <n v="969"/>
    <n v="18970.62"/>
    <n v="4948.6899999999996"/>
    <n v="18382530.780000001"/>
    <s v="Lagos"/>
    <s v="Sea"/>
    <x v="2"/>
    <n v="4795280.6099999994"/>
  </r>
  <r>
    <x v="0"/>
    <s v="Agro Export Nigeria Ltd"/>
    <x v="3"/>
    <s v="4/24/2022"/>
    <n v="179"/>
    <n v="11948.5"/>
    <n v="8565.61"/>
    <n v="2138781.5"/>
    <s v="Lagos"/>
    <s v="Sea"/>
    <x v="2"/>
    <n v="1533244.1900000002"/>
  </r>
  <r>
    <x v="0"/>
    <s v="Agro Export Nigeria Ltd"/>
    <x v="3"/>
    <s v="8/14/2022"/>
    <n v="884"/>
    <n v="49041.91"/>
    <n v="3226.31"/>
    <n v="43353048.439999998"/>
    <s v="Lagos"/>
    <s v="Sea"/>
    <x v="2"/>
    <n v="2852058.04"/>
  </r>
  <r>
    <x v="0"/>
    <s v="Nigeria Agro Export Company"/>
    <x v="4"/>
    <s v="11/24/2022"/>
    <n v="509"/>
    <n v="37586.949999999997"/>
    <n v="3011.25"/>
    <n v="19131757.550000001"/>
    <s v="Lagos"/>
    <s v="Sea"/>
    <x v="2"/>
    <n v="1532726.25"/>
  </r>
  <r>
    <x v="0"/>
    <s v="Nigerian Export Promotion Council (NEPC)"/>
    <x v="4"/>
    <s v="2/25/2022"/>
    <n v="928"/>
    <n v="43869.35"/>
    <n v="7665.68"/>
    <n v="40710756.799999997"/>
    <s v="Lagos"/>
    <s v="Sea"/>
    <x v="2"/>
    <n v="7113751.04"/>
  </r>
  <r>
    <x v="0"/>
    <s v="Farmgate Nigeria Limited"/>
    <x v="4"/>
    <s v="2/26/2022"/>
    <n v="687"/>
    <n v="33342.97"/>
    <n v="6500.51"/>
    <n v="22906620.390000001"/>
    <s v="Lagos"/>
    <s v="Sea"/>
    <x v="2"/>
    <n v="4465850.37"/>
  </r>
  <r>
    <x v="0"/>
    <s v="Solid Agro Nigeria Limited"/>
    <x v="4"/>
    <s v="3/26/2022"/>
    <n v="606"/>
    <n v="27024.3"/>
    <n v="3236.49"/>
    <n v="16376725.800000001"/>
    <s v="Lagos"/>
    <s v="Sea"/>
    <x v="2"/>
    <n v="1961312.94"/>
  </r>
  <r>
    <x v="0"/>
    <s v="Greenfield Agro Exporters Nigeria Limited"/>
    <x v="4"/>
    <s v="4/5/2022"/>
    <n v="318"/>
    <n v="24796.29"/>
    <n v="9931.61"/>
    <n v="7885220.2199999997"/>
    <s v="Port Harcourt"/>
    <s v="Sea"/>
    <x v="2"/>
    <n v="3158251.98"/>
  </r>
  <r>
    <x v="0"/>
    <s v="Prime Agro Exports Nigeria Limited"/>
    <x v="4"/>
    <s v="5/17/2022"/>
    <n v="603"/>
    <n v="25715.79"/>
    <n v="9586.4599999999991"/>
    <n v="15506621.369999999"/>
    <s v="Port Harcourt"/>
    <s v="Sea"/>
    <x v="2"/>
    <n v="5780635.3799999999"/>
  </r>
  <r>
    <x v="0"/>
    <s v="Solid Agro Nigeria Limited"/>
    <x v="4"/>
    <s v="9/9/2022"/>
    <n v="504"/>
    <n v="16636.12"/>
    <n v="4596.82"/>
    <n v="8384604.4800000004"/>
    <s v="Port Harcourt"/>
    <s v="Sea"/>
    <x v="2"/>
    <n v="2316797.2799999998"/>
  </r>
  <r>
    <x v="0"/>
    <s v="Golden Farms Nigeria Limited"/>
    <x v="5"/>
    <s v="4/13/2022"/>
    <n v="900"/>
    <n v="27487.89"/>
    <n v="7714.09"/>
    <n v="24739101"/>
    <s v="Lagos"/>
    <s v="Sea"/>
    <x v="2"/>
    <n v="6942681"/>
  </r>
  <r>
    <x v="0"/>
    <s v="Agriplus Nigeria Limited"/>
    <x v="5"/>
    <s v="4/8/2022"/>
    <n v="389"/>
    <n v="22294.639999999999"/>
    <n v="3359.32"/>
    <n v="8672614.9600000009"/>
    <s v="Calabar"/>
    <s v="Sea"/>
    <x v="2"/>
    <n v="1306775.48"/>
  </r>
  <r>
    <x v="0"/>
    <s v="Greenfield Agro Exporters Nigeria Limited"/>
    <x v="9"/>
    <s v="4/8/2022"/>
    <n v="253"/>
    <n v="10966.93"/>
    <n v="2635.2"/>
    <n v="2774633.29"/>
    <s v="Port Harcourt"/>
    <s v="Sea"/>
    <x v="2"/>
    <n v="666705.6"/>
  </r>
  <r>
    <x v="0"/>
    <s v="Solid Agro Nigeria Limited"/>
    <x v="6"/>
    <s v="1/3/2022"/>
    <n v="633"/>
    <n v="25099.43"/>
    <n v="2601.7800000000002"/>
    <n v="15887939.189999999"/>
    <s v="Lagos"/>
    <s v="Sea"/>
    <x v="2"/>
    <n v="1646926.7400000002"/>
  </r>
  <r>
    <x v="0"/>
    <s v="Prime Agro Exports Nigeria Limited"/>
    <x v="6"/>
    <s v="1/5/2022"/>
    <n v="749"/>
    <n v="28798.52"/>
    <n v="6193.18"/>
    <n v="21570091.48"/>
    <s v="Lagos"/>
    <s v="Sea"/>
    <x v="2"/>
    <n v="4638691.82"/>
  </r>
  <r>
    <x v="0"/>
    <s v="Greenfield Agro Exporters Nigeria Limited"/>
    <x v="6"/>
    <s v="12/3/2022"/>
    <n v="757"/>
    <n v="15651.76"/>
    <n v="2822.57"/>
    <n v="11848382.32"/>
    <s v="Lagos"/>
    <s v="Sea"/>
    <x v="2"/>
    <n v="2136685.4900000002"/>
  </r>
  <r>
    <x v="0"/>
    <s v="Prime Agro Exports Nigeria Limited"/>
    <x v="6"/>
    <s v="7/22/2022"/>
    <n v="412"/>
    <n v="39780.129999999997"/>
    <n v="7699.27"/>
    <n v="16389413.560000001"/>
    <s v="Lagos"/>
    <s v="Sea"/>
    <x v="2"/>
    <n v="3172099.24"/>
  </r>
  <r>
    <x v="0"/>
    <s v="Agriplus Nigeria Limited"/>
    <x v="6"/>
    <s v="7/28/2022"/>
    <n v="985"/>
    <n v="17927.04"/>
    <n v="2110.33"/>
    <n v="17658134.399999999"/>
    <s v="Lagos"/>
    <s v="Sea"/>
    <x v="2"/>
    <n v="2078675.0499999998"/>
  </r>
  <r>
    <x v="0"/>
    <s v="Farmgate Nigeria Limited"/>
    <x v="7"/>
    <s v="1/19/2022"/>
    <n v="720"/>
    <n v="20018.86"/>
    <n v="3870.9"/>
    <n v="14413579.199999999"/>
    <s v="Lagos"/>
    <s v="Sea"/>
    <x v="2"/>
    <n v="2787048"/>
  </r>
  <r>
    <x v="0"/>
    <s v="Solid Agro Nigeria Limited"/>
    <x v="7"/>
    <s v="10/20/2022"/>
    <n v="494"/>
    <n v="15808.25"/>
    <n v="8514.16"/>
    <n v="7809275.5"/>
    <s v="Lagos"/>
    <s v="Sea"/>
    <x v="2"/>
    <n v="4205995.04"/>
  </r>
  <r>
    <x v="0"/>
    <s v="Greenfield Agro Exporters Nigeria Limited"/>
    <x v="7"/>
    <s v="7/20/2022"/>
    <n v="275"/>
    <n v="18649.39"/>
    <n v="2111.9899999999998"/>
    <n v="5128582.25"/>
    <s v="Lagos"/>
    <s v="Sea"/>
    <x v="2"/>
    <n v="580797.24999999988"/>
  </r>
  <r>
    <x v="0"/>
    <s v="Prime Agro Exports Nigeria Limited"/>
    <x v="8"/>
    <s v="11/29/2022"/>
    <n v="558"/>
    <n v="37757.629999999997"/>
    <n v="8787.98"/>
    <n v="21068757.539999999"/>
    <s v="Lagos"/>
    <s v="Sea"/>
    <x v="2"/>
    <n v="4903692.84"/>
  </r>
  <r>
    <x v="0"/>
    <s v="Agriplus Nigeria Limited"/>
    <x v="9"/>
    <s v="9/13/2022"/>
    <n v="823"/>
    <n v="27043.87"/>
    <n v="3741.34"/>
    <n v="22257105.010000002"/>
    <s v="Lagos"/>
    <s v="Sea"/>
    <x v="2"/>
    <n v="3079122.8200000003"/>
  </r>
  <r>
    <x v="0"/>
    <s v="Greenfield Agro Exporters Nigeria Limited"/>
    <x v="0"/>
    <s v="10/10/2023"/>
    <n v="561"/>
    <n v="12953.71"/>
    <n v="2565.69"/>
    <n v="7267031.3099999996"/>
    <s v="Lagos"/>
    <s v="Sea"/>
    <x v="3"/>
    <n v="1439352.09"/>
  </r>
  <r>
    <x v="0"/>
    <s v="Nigeria Agro Export Company"/>
    <x v="0"/>
    <s v="12/17/2023"/>
    <n v="506"/>
    <n v="49365.93"/>
    <n v="8498.57"/>
    <n v="24979160.579999998"/>
    <s v="Lagos"/>
    <s v="Sea"/>
    <x v="3"/>
    <n v="4300276.42"/>
  </r>
  <r>
    <x v="0"/>
    <s v="Agriplus Nigeria Limited"/>
    <x v="1"/>
    <s v="12/17/2023"/>
    <n v="104"/>
    <n v="28856.79"/>
    <n v="6754.28"/>
    <n v="3001106.16"/>
    <s v="Port Harcourt"/>
    <s v="Sea"/>
    <x v="3"/>
    <n v="702445.12"/>
  </r>
  <r>
    <x v="0"/>
    <s v="Nigeria Agro Export Company"/>
    <x v="0"/>
    <s v="6/11/2023"/>
    <n v="730"/>
    <n v="49937.99"/>
    <n v="9149.4"/>
    <n v="36454732.700000003"/>
    <s v="Warri"/>
    <s v="Sea"/>
    <x v="3"/>
    <n v="6679062"/>
  </r>
  <r>
    <x v="0"/>
    <s v="Nigerian Export Promotion Council (NEPC)"/>
    <x v="1"/>
    <s v="1/24/2023"/>
    <n v="245"/>
    <n v="22058.15"/>
    <n v="9141.0499999999993"/>
    <n v="5404246.75"/>
    <s v="Port Harcourt"/>
    <s v="Sea"/>
    <x v="3"/>
    <n v="2239557.25"/>
  </r>
  <r>
    <x v="0"/>
    <s v="Nigerian Export Promotion Council (NEPC)"/>
    <x v="1"/>
    <s v="2/9/2023"/>
    <n v="388"/>
    <n v="43524.13"/>
    <n v="7427.72"/>
    <n v="16887362.440000001"/>
    <s v="Lagos"/>
    <s v="Sea"/>
    <x v="3"/>
    <n v="2881955.36"/>
  </r>
  <r>
    <x v="0"/>
    <s v="Agriplus Nigeria Limited"/>
    <x v="1"/>
    <s v="8/29/2023"/>
    <n v="296"/>
    <n v="28499.89"/>
    <n v="4918.3100000000004"/>
    <n v="8435967.4399999995"/>
    <s v="Calabar"/>
    <s v="Sea"/>
    <x v="3"/>
    <n v="1455819.76"/>
  </r>
  <r>
    <x v="0"/>
    <s v="Agro Allied Exporters Nigeria Limited"/>
    <x v="2"/>
    <s v="12/29/2023"/>
    <n v="768"/>
    <n v="39606.639999999999"/>
    <n v="7529.98"/>
    <n v="30417899.52"/>
    <s v="Lagos"/>
    <s v="Sea"/>
    <x v="3"/>
    <n v="5783024.6399999997"/>
  </r>
  <r>
    <x v="0"/>
    <s v="Greenfield Agro Exporters Nigeria Limited"/>
    <x v="2"/>
    <s v="12/30/2023"/>
    <n v="128"/>
    <n v="13118.57"/>
    <n v="7901.12"/>
    <n v="1679176.96"/>
    <s v="Lagos"/>
    <s v="Sea"/>
    <x v="3"/>
    <n v="1011343.36"/>
  </r>
  <r>
    <x v="0"/>
    <s v="Solid Agro Nigeria Limited"/>
    <x v="2"/>
    <s v="3/10/2023"/>
    <n v="403"/>
    <n v="12673.28"/>
    <n v="3954.67"/>
    <n v="5107331.84"/>
    <s v="Port Harcourt"/>
    <s v="Sea"/>
    <x v="3"/>
    <n v="1593732.01"/>
  </r>
  <r>
    <x v="0"/>
    <s v="Solid Agro Nigeria Limited"/>
    <x v="3"/>
    <s v="1/15/2023"/>
    <n v="555"/>
    <n v="16865.509999999998"/>
    <n v="4394.07"/>
    <n v="9360358.0500000007"/>
    <s v="Lagos"/>
    <s v="Sea"/>
    <x v="3"/>
    <n v="2438708.8499999996"/>
  </r>
  <r>
    <x v="0"/>
    <s v="Agro Export Nigeria Ltd"/>
    <x v="3"/>
    <s v="1/31/2023"/>
    <n v="506"/>
    <n v="35141.25"/>
    <n v="6995.65"/>
    <n v="17781472.5"/>
    <s v="Warri"/>
    <s v="Sea"/>
    <x v="3"/>
    <n v="3539798.9"/>
  </r>
  <r>
    <x v="0"/>
    <s v="Farmgate Nigeria Limited"/>
    <x v="3"/>
    <s v="2/7/2023"/>
    <n v="687"/>
    <n v="31309.13"/>
    <n v="5015.01"/>
    <n v="21509372.309999999"/>
    <s v="Lagos"/>
    <s v="Sea"/>
    <x v="3"/>
    <n v="3445311.87"/>
  </r>
  <r>
    <x v="0"/>
    <s v="Agro Export Nigeria Ltd"/>
    <x v="3"/>
    <s v="5/28/2023"/>
    <n v="653"/>
    <n v="43827.24"/>
    <n v="5249.1"/>
    <n v="28619187.719999999"/>
    <s v="Lagos"/>
    <s v="Sea"/>
    <x v="3"/>
    <n v="3427662.3000000003"/>
  </r>
  <r>
    <x v="0"/>
    <s v="Solid Agro Nigeria Limited"/>
    <x v="3"/>
    <s v="9/9/2023"/>
    <n v="705"/>
    <n v="20889.939999999999"/>
    <n v="5798.03"/>
    <n v="14727407.699999999"/>
    <s v="Warri"/>
    <s v="Sea"/>
    <x v="3"/>
    <n v="4087611.15"/>
  </r>
  <r>
    <x v="0"/>
    <s v="Greenfield Agro Exporters Nigeria Limited"/>
    <x v="4"/>
    <s v="1/9/2023"/>
    <n v="494"/>
    <n v="30668.78"/>
    <n v="5725.02"/>
    <n v="15150377.32"/>
    <s v="Lagos"/>
    <s v="Sea"/>
    <x v="3"/>
    <n v="2828159.8800000004"/>
  </r>
  <r>
    <x v="0"/>
    <s v="Greenfield Agro Exporters Nigeria Limited"/>
    <x v="4"/>
    <s v="5/27/2023"/>
    <n v="296"/>
    <n v="12168.22"/>
    <n v="6858.4"/>
    <n v="3601793.12"/>
    <s v="Lagos"/>
    <s v="Sea"/>
    <x v="3"/>
    <n v="2030086.4"/>
  </r>
  <r>
    <x v="0"/>
    <s v="Farmgate Nigeria Limited"/>
    <x v="4"/>
    <s v="6/21/2023"/>
    <n v="374"/>
    <n v="37904.800000000003"/>
    <n v="8329.34"/>
    <n v="14176395.199999999"/>
    <s v="Calabar"/>
    <s v="Sea"/>
    <x v="3"/>
    <n v="3115173.16"/>
  </r>
  <r>
    <x v="0"/>
    <s v="Agriplus Nigeria Limited"/>
    <x v="5"/>
    <s v="9/22/2023"/>
    <n v="287"/>
    <n v="16862.169999999998"/>
    <n v="4233.25"/>
    <n v="4839442.79"/>
    <s v="Port Harcourt"/>
    <s v="Sea"/>
    <x v="3"/>
    <n v="1214942.75"/>
  </r>
  <r>
    <x v="0"/>
    <s v="Agro Export Nigeria Ltd"/>
    <x v="6"/>
    <s v="11/11/2023"/>
    <n v="608"/>
    <n v="26360.69"/>
    <n v="9315.67"/>
    <n v="16027299.52"/>
    <s v="Lagos"/>
    <s v="Sea"/>
    <x v="3"/>
    <n v="5663927.3600000003"/>
  </r>
  <r>
    <x v="0"/>
    <s v="Agro Export Nigeria Ltd"/>
    <x v="6"/>
    <s v="5/9/2023"/>
    <n v="409"/>
    <n v="48643.45"/>
    <n v="3745.48"/>
    <n v="19895171.050000001"/>
    <s v="Lagos"/>
    <s v="Sea"/>
    <x v="3"/>
    <n v="1531901.32"/>
  </r>
  <r>
    <x v="0"/>
    <s v="Nigeria Agro Export Company"/>
    <x v="7"/>
    <s v="12/20/2023"/>
    <n v="490"/>
    <n v="23893.95"/>
    <n v="5788.54"/>
    <n v="11708035.5"/>
    <s v="Calabar"/>
    <s v="Sea"/>
    <x v="3"/>
    <n v="2836384.6"/>
  </r>
  <r>
    <x v="0"/>
    <s v="Agro Export Nigeria Ltd"/>
    <x v="7"/>
    <s v="12/4/2023"/>
    <n v="413"/>
    <n v="13305.43"/>
    <n v="7780.18"/>
    <n v="5495142.5899999999"/>
    <s v="Port Harcourt"/>
    <s v="Sea"/>
    <x v="3"/>
    <n v="3213214.3400000003"/>
  </r>
  <r>
    <x v="0"/>
    <s v="Solid Agro Nigeria Limited"/>
    <x v="7"/>
    <s v="6/1/2023"/>
    <n v="290"/>
    <n v="40212.78"/>
    <n v="6892.54"/>
    <n v="11661706.199999999"/>
    <s v="Port Harcourt"/>
    <s v="Sea"/>
    <x v="3"/>
    <n v="1998836.6"/>
  </r>
  <r>
    <x v="0"/>
    <s v="Greenfield Agro Exporters Nigeria Limited"/>
    <x v="8"/>
    <s v="5/23/2023"/>
    <n v="221"/>
    <n v="49351.360000000001"/>
    <n v="5461.08"/>
    <n v="10906650.560000001"/>
    <s v="Lagos"/>
    <s v="Sea"/>
    <x v="3"/>
    <n v="1206898.68"/>
  </r>
  <r>
    <x v="0"/>
    <s v="Agro Export Nigeria Ltd"/>
    <x v="8"/>
    <s v="5/3/2023"/>
    <n v="600"/>
    <n v="35084.68"/>
    <n v="5515.51"/>
    <n v="21050808"/>
    <s v="Warri"/>
    <s v="Sea"/>
    <x v="3"/>
    <n v="3309306"/>
  </r>
  <r>
    <x v="0"/>
    <s v="Golden Farms Nigeria Limited"/>
    <x v="9"/>
    <s v="2/8/2023"/>
    <n v="998"/>
    <n v="30576.799999999999"/>
    <n v="2142.19"/>
    <n v="30515646.399999999"/>
    <s v="Lagos"/>
    <s v="Sea"/>
    <x v="3"/>
    <n v="2137905.62"/>
  </r>
  <r>
    <x v="0"/>
    <s v="Greenfield Agro Exporters Nigeria Limited"/>
    <x v="9"/>
    <s v="3/31/2023"/>
    <n v="278"/>
    <n v="28564.880000000001"/>
    <n v="8098.26"/>
    <n v="7941036.6399999997"/>
    <s v="Lagos"/>
    <s v="Sea"/>
    <x v="3"/>
    <n v="2251316.2800000003"/>
  </r>
  <r>
    <x v="0"/>
    <s v="Greenfield Agro Exporters Nigeria Limited"/>
    <x v="9"/>
    <s v="3/5/2023"/>
    <n v="315"/>
    <n v="42814.92"/>
    <n v="6620.22"/>
    <n v="13486699.800000001"/>
    <s v="Lagos"/>
    <s v="Sea"/>
    <x v="3"/>
    <n v="2085369.3"/>
  </r>
  <r>
    <x v="1"/>
    <s v="Farmgate Nigeria Limited"/>
    <x v="9"/>
    <s v="10/14/2020"/>
    <n v="702"/>
    <n v="18536.45"/>
    <n v="5105.01"/>
    <n v="13012587.9"/>
    <s v="Calabar"/>
    <s v="Sea"/>
    <x v="0"/>
    <n v="3583717.02"/>
  </r>
  <r>
    <x v="1"/>
    <s v="Agro Allied Exporters Nigeria Limited"/>
    <x v="7"/>
    <s v="10/14/2020"/>
    <n v="963"/>
    <n v="29641.1"/>
    <n v="7617.73"/>
    <n v="28544379.300000001"/>
    <s v="Calabar"/>
    <s v="Sea"/>
    <x v="0"/>
    <n v="7335873.9899999993"/>
  </r>
  <r>
    <x v="1"/>
    <s v="Prime Agro Exports Nigeria Limited"/>
    <x v="5"/>
    <s v="10/14/2020"/>
    <n v="405"/>
    <n v="49485.77"/>
    <n v="8763.98"/>
    <n v="20041736.850000001"/>
    <s v="Warri"/>
    <s v="Sea"/>
    <x v="0"/>
    <n v="3549411.9"/>
  </r>
  <r>
    <x v="1"/>
    <s v="Agriplus Nigeria Limited"/>
    <x v="9"/>
    <s v="10/8/2020"/>
    <n v="518"/>
    <n v="11462.7"/>
    <n v="9321.44"/>
    <n v="5937678.5999999996"/>
    <s v="Warri"/>
    <s v="Sea"/>
    <x v="0"/>
    <n v="4828505.92"/>
  </r>
  <r>
    <x v="1"/>
    <s v="Solid Agro Nigeria Limited"/>
    <x v="9"/>
    <s v="2/13/2020"/>
    <n v="531"/>
    <n v="16488.41"/>
    <n v="7791.27"/>
    <n v="8755345.7100000009"/>
    <s v="Warri"/>
    <s v="Sea"/>
    <x v="0"/>
    <n v="4137164.37"/>
  </r>
  <r>
    <x v="1"/>
    <s v="Nigeria Agro Export Company"/>
    <x v="9"/>
    <s v="7/2/2020"/>
    <n v="690"/>
    <n v="32888.269999999997"/>
    <n v="8503.9699999999993"/>
    <n v="22692906.300000001"/>
    <s v="Lagos"/>
    <s v="Sea"/>
    <x v="0"/>
    <n v="5867739.2999999998"/>
  </r>
  <r>
    <x v="1"/>
    <s v="Solid Agro Nigeria Limited"/>
    <x v="7"/>
    <s v="4/26/2020"/>
    <n v="566"/>
    <n v="10637.35"/>
    <n v="3020.33"/>
    <n v="6020740.0999999996"/>
    <s v="Calabar"/>
    <s v="Sea"/>
    <x v="0"/>
    <n v="1709506.78"/>
  </r>
  <r>
    <x v="1"/>
    <s v="Solid Agro Nigeria Limited"/>
    <x v="1"/>
    <s v="12/23/2020"/>
    <n v="395"/>
    <n v="10195.24"/>
    <n v="6032.84"/>
    <n v="4027119.8"/>
    <s v="Calabar"/>
    <s v="Sea"/>
    <x v="0"/>
    <n v="2382971.8000000003"/>
  </r>
  <r>
    <x v="1"/>
    <s v="Golden Farms Nigeria Limited"/>
    <x v="1"/>
    <s v="7/25/2020"/>
    <n v="765"/>
    <n v="38984.959999999999"/>
    <n v="8638.35"/>
    <n v="29823494.399999999"/>
    <s v="Warri"/>
    <s v="Sea"/>
    <x v="0"/>
    <n v="6608337.75"/>
  </r>
  <r>
    <x v="1"/>
    <s v="Nigeria Agro Export Company"/>
    <x v="1"/>
    <s v="8/9/2020"/>
    <n v="504"/>
    <n v="10656.58"/>
    <n v="9979.02"/>
    <n v="5370916.3200000003"/>
    <s v="Lagos"/>
    <s v="Sea"/>
    <x v="0"/>
    <n v="5029426.08"/>
  </r>
  <r>
    <x v="1"/>
    <s v="Agriplus Nigeria Limited"/>
    <x v="1"/>
    <s v="9/1/2020"/>
    <n v="302"/>
    <n v="19878.5"/>
    <n v="8056.92"/>
    <n v="6003307"/>
    <s v="Lagos"/>
    <s v="Sea"/>
    <x v="0"/>
    <n v="2433189.84"/>
  </r>
  <r>
    <x v="1"/>
    <s v="Agro Allied Exporters Nigeria Limited"/>
    <x v="0"/>
    <s v="10/24/2020"/>
    <n v="885"/>
    <n v="37238.519999999997"/>
    <n v="5263.08"/>
    <n v="32956090.199999999"/>
    <s v="Lagos"/>
    <s v="Sea"/>
    <x v="0"/>
    <n v="4657825.8"/>
  </r>
  <r>
    <x v="1"/>
    <s v="Nigeria Agro Export Company"/>
    <x v="0"/>
    <s v="11/13/2020"/>
    <n v="229"/>
    <n v="18212.59"/>
    <n v="3226.57"/>
    <n v="4170683.11"/>
    <s v="Warri"/>
    <s v="Sea"/>
    <x v="0"/>
    <n v="738884.53"/>
  </r>
  <r>
    <x v="1"/>
    <s v="Prime Agro Exports Nigeria Limited"/>
    <x v="0"/>
    <s v="3/26/2020"/>
    <n v="534"/>
    <n v="15831.82"/>
    <n v="3835.13"/>
    <n v="8454191.8800000008"/>
    <s v="Port Harcourt"/>
    <s v="Sea"/>
    <x v="0"/>
    <n v="2047959.4200000002"/>
  </r>
  <r>
    <x v="1"/>
    <s v="Prime Agro Exports Nigeria Limited"/>
    <x v="0"/>
    <s v="8/11/2020"/>
    <n v="158"/>
    <n v="24848.97"/>
    <n v="5426.09"/>
    <n v="3926137.26"/>
    <s v="Port Harcourt"/>
    <s v="Sea"/>
    <x v="0"/>
    <n v="857322.22"/>
  </r>
  <r>
    <x v="1"/>
    <s v="Farmgate Nigeria Limited"/>
    <x v="3"/>
    <s v="2/21/2020"/>
    <n v="312"/>
    <n v="29465.29"/>
    <n v="8310.14"/>
    <n v="9193170.4800000004"/>
    <s v="Lagos"/>
    <s v="Sea"/>
    <x v="0"/>
    <n v="2592763.6799999997"/>
  </r>
  <r>
    <x v="1"/>
    <s v="Solid Agro Nigeria Limited"/>
    <x v="3"/>
    <s v="6/26/2020"/>
    <n v="442"/>
    <n v="18782.89"/>
    <n v="5559.47"/>
    <n v="8302037.3799999999"/>
    <s v="Port Harcourt"/>
    <s v="Sea"/>
    <x v="0"/>
    <n v="2457285.7400000002"/>
  </r>
  <r>
    <x v="1"/>
    <s v="Agro Export Nigeria Ltd"/>
    <x v="5"/>
    <s v="5/13/2020"/>
    <n v="895"/>
    <n v="44627.31"/>
    <n v="6484.53"/>
    <n v="39941442.450000003"/>
    <s v="Calabar"/>
    <s v="Sea"/>
    <x v="0"/>
    <n v="5803654.3499999996"/>
  </r>
  <r>
    <x v="1"/>
    <s v="Prime Agro Exports Nigeria Limited"/>
    <x v="8"/>
    <s v="5/10/2020"/>
    <n v="871"/>
    <n v="41177"/>
    <n v="9144.43"/>
    <n v="35865167"/>
    <s v="Lagos"/>
    <s v="Sea"/>
    <x v="0"/>
    <n v="7964798.5300000003"/>
  </r>
  <r>
    <x v="1"/>
    <s v="Nigeria Agro Export Company"/>
    <x v="8"/>
    <s v="6/28/2020"/>
    <n v="427"/>
    <n v="29828.71"/>
    <n v="2279.98"/>
    <n v="12736859.17"/>
    <s v="Lagos"/>
    <s v="Sea"/>
    <x v="0"/>
    <n v="973551.46"/>
  </r>
  <r>
    <x v="1"/>
    <s v="Prime Agro Exports Nigeria Limited"/>
    <x v="8"/>
    <s v="9/10/2020"/>
    <n v="711"/>
    <n v="33178.93"/>
    <n v="7017.84"/>
    <n v="23590219.23"/>
    <s v="Lagos"/>
    <s v="Sea"/>
    <x v="0"/>
    <n v="4989684.24"/>
  </r>
  <r>
    <x v="1"/>
    <s v="Nigeria Agro Export Company"/>
    <x v="8"/>
    <s v="9/5/2020"/>
    <n v="242"/>
    <n v="31257.41"/>
    <n v="4475.9799999999996"/>
    <n v="7564293.2199999997"/>
    <s v="Lagos"/>
    <s v="Sea"/>
    <x v="0"/>
    <n v="1083187.1599999999"/>
  </r>
  <r>
    <x v="1"/>
    <s v="Nigerian Export Promotion Council (NEPC)"/>
    <x v="6"/>
    <s v="10/7/2020"/>
    <n v="144"/>
    <n v="19564.37"/>
    <n v="9750.77"/>
    <n v="2817269.28"/>
    <s v="Lagos"/>
    <s v="Sea"/>
    <x v="0"/>
    <n v="1404110.8800000001"/>
  </r>
  <r>
    <x v="1"/>
    <s v="Solid Agro Nigeria Limited"/>
    <x v="6"/>
    <s v="11/30/2020"/>
    <n v="165"/>
    <n v="30565.62"/>
    <n v="6590.04"/>
    <n v="5043327.3"/>
    <s v="Lagos"/>
    <s v="Sea"/>
    <x v="0"/>
    <n v="1087356.6000000001"/>
  </r>
  <r>
    <x v="1"/>
    <s v="Nigeria Agro Export Company"/>
    <x v="6"/>
    <s v="2/5/2020"/>
    <n v="385"/>
    <n v="49366.58"/>
    <n v="9252.64"/>
    <n v="19006133.300000001"/>
    <s v="Calabar"/>
    <s v="Sea"/>
    <x v="0"/>
    <n v="3562266.4"/>
  </r>
  <r>
    <x v="1"/>
    <s v="Nigerian Export Promotion Council (NEPC)"/>
    <x v="6"/>
    <s v="6/21/2020"/>
    <n v="467"/>
    <n v="13294.58"/>
    <n v="4013.08"/>
    <n v="6208568.8600000003"/>
    <s v="Lagos"/>
    <s v="Sea"/>
    <x v="0"/>
    <n v="1874108.3599999999"/>
  </r>
  <r>
    <x v="1"/>
    <s v="Agro Export Nigeria Ltd"/>
    <x v="6"/>
    <s v="8/10/2020"/>
    <n v="736"/>
    <n v="19997.900000000001"/>
    <n v="8920.82"/>
    <n v="14718454.4"/>
    <s v="Lagos"/>
    <s v="Sea"/>
    <x v="0"/>
    <n v="6565723.5199999996"/>
  </r>
  <r>
    <x v="1"/>
    <s v="Nigeria Agro Export Company"/>
    <x v="2"/>
    <s v="3/20/2020"/>
    <n v="137"/>
    <n v="22503.47"/>
    <n v="4193.51"/>
    <n v="3082975.39"/>
    <s v="Lagos"/>
    <s v="Sea"/>
    <x v="0"/>
    <n v="574510.87"/>
  </r>
  <r>
    <x v="1"/>
    <s v="Prime Agro Exports Nigeria Limited"/>
    <x v="2"/>
    <s v="5/2/2020"/>
    <n v="662"/>
    <n v="31310.98"/>
    <n v="6516.4"/>
    <n v="20727868.760000002"/>
    <s v="Lagos"/>
    <s v="Sea"/>
    <x v="0"/>
    <n v="4313856.8"/>
  </r>
  <r>
    <x v="1"/>
    <s v="Farmgate Nigeria Limited"/>
    <x v="4"/>
    <s v="4/17/2020"/>
    <n v="192"/>
    <n v="38775.730000000003"/>
    <n v="5076.82"/>
    <n v="7444940.1600000001"/>
    <s v="Lagos"/>
    <s v="Sea"/>
    <x v="0"/>
    <n v="974749.44"/>
  </r>
  <r>
    <x v="1"/>
    <s v="Nigerian Export Promotion Council (NEPC)"/>
    <x v="4"/>
    <s v="4/7/2020"/>
    <n v="825"/>
    <n v="44058.73"/>
    <n v="4559.3900000000003"/>
    <n v="36348452.25"/>
    <s v="Warri"/>
    <s v="Sea"/>
    <x v="0"/>
    <n v="3761496.7500000005"/>
  </r>
  <r>
    <x v="1"/>
    <s v="Solid Agro Nigeria Limited"/>
    <x v="4"/>
    <s v="6/4/2020"/>
    <n v="748"/>
    <n v="25682.21"/>
    <n v="9748.1200000000008"/>
    <n v="19210293.079999998"/>
    <s v="Lagos"/>
    <s v="Sea"/>
    <x v="0"/>
    <n v="7291593.7600000007"/>
  </r>
  <r>
    <x v="1"/>
    <s v="Prime Agro Exports Nigeria Limited"/>
    <x v="9"/>
    <s v="12/25/2021"/>
    <n v="584"/>
    <n v="44793.37"/>
    <n v="7045.51"/>
    <n v="26159328.079999998"/>
    <s v="Lagos"/>
    <s v="Sea"/>
    <x v="1"/>
    <n v="4114577.8400000003"/>
  </r>
  <r>
    <x v="1"/>
    <s v="Nigerian Export Promotion Council (NEPC)"/>
    <x v="9"/>
    <s v="3/16/2021"/>
    <n v="634"/>
    <n v="20602.990000000002"/>
    <n v="5428.66"/>
    <n v="13062295.66"/>
    <s v="Calabar"/>
    <s v="Sea"/>
    <x v="1"/>
    <n v="3441770.44"/>
  </r>
  <r>
    <x v="1"/>
    <s v="Agriplus Nigeria Limited"/>
    <x v="1"/>
    <s v="3/16/2021"/>
    <n v="275"/>
    <n v="21247.69"/>
    <n v="5273.59"/>
    <n v="5843114.75"/>
    <s v="Lagos"/>
    <s v="Sea"/>
    <x v="1"/>
    <n v="1450237.25"/>
  </r>
  <r>
    <x v="1"/>
    <s v="Agro Export Nigeria Ltd"/>
    <x v="9"/>
    <s v="6/23/2021"/>
    <n v="601"/>
    <n v="45644.07"/>
    <n v="4474.6400000000003"/>
    <n v="27432086.07"/>
    <s v="Warri"/>
    <s v="Sea"/>
    <x v="1"/>
    <n v="2689258.64"/>
  </r>
  <r>
    <x v="1"/>
    <s v="Golden Farms Nigeria Limited"/>
    <x v="9"/>
    <s v="6/9/2021"/>
    <n v="862"/>
    <n v="10713.54"/>
    <n v="4852.22"/>
    <n v="9235071.4800000004"/>
    <s v="Lagos"/>
    <s v="Sea"/>
    <x v="1"/>
    <n v="4182613.64"/>
  </r>
  <r>
    <x v="1"/>
    <s v="Golden Farms Nigeria Limited"/>
    <x v="7"/>
    <s v="12/27/2021"/>
    <n v="881"/>
    <n v="47757.87"/>
    <n v="6806.86"/>
    <n v="42074683.469999999"/>
    <s v="Port Harcourt"/>
    <s v="Sea"/>
    <x v="1"/>
    <n v="5996843.6600000001"/>
  </r>
  <r>
    <x v="1"/>
    <s v="Greenfield Agro Exporters Nigeria Limited"/>
    <x v="7"/>
    <s v="12/6/2021"/>
    <n v="364"/>
    <n v="20676.03"/>
    <n v="6076.57"/>
    <n v="7526074.9199999999"/>
    <s v="Lagos"/>
    <s v="Sea"/>
    <x v="1"/>
    <n v="2211871.48"/>
  </r>
  <r>
    <x v="1"/>
    <s v="Agro Export Nigeria Ltd"/>
    <x v="1"/>
    <s v="3/14/2021"/>
    <n v="641"/>
    <n v="22151.23"/>
    <n v="9884.51"/>
    <n v="14198938.43"/>
    <s v="Port Harcourt"/>
    <s v="Sea"/>
    <x v="1"/>
    <n v="6335970.9100000001"/>
  </r>
  <r>
    <x v="1"/>
    <s v="Golden Farms Nigeria Limited"/>
    <x v="1"/>
    <s v="4/19/2021"/>
    <n v="155"/>
    <n v="19830.810000000001"/>
    <n v="9336.83"/>
    <n v="3073775.55"/>
    <s v="Lagos"/>
    <s v="Sea"/>
    <x v="1"/>
    <n v="1447208.65"/>
  </r>
  <r>
    <x v="1"/>
    <s v="Greenfield Agro Exporters Nigeria Limited"/>
    <x v="1"/>
    <s v="4/2/2021"/>
    <n v="541"/>
    <n v="49593.68"/>
    <n v="5788.97"/>
    <n v="26830180.879999999"/>
    <s v="Lagos"/>
    <s v="Sea"/>
    <x v="1"/>
    <n v="3131832.77"/>
  </r>
  <r>
    <x v="1"/>
    <s v="Golden Farms Nigeria Limited"/>
    <x v="3"/>
    <s v="4/2/2021"/>
    <n v="960"/>
    <n v="42119.76"/>
    <n v="7291.26"/>
    <n v="40434969.600000001"/>
    <s v="Lagos"/>
    <s v="Sea"/>
    <x v="1"/>
    <n v="6999609.6000000006"/>
  </r>
  <r>
    <x v="1"/>
    <s v="Solid Agro Nigeria Limited"/>
    <x v="1"/>
    <s v="6/1/2021"/>
    <n v="501"/>
    <n v="39715.39"/>
    <n v="6170.93"/>
    <n v="19897410.390000001"/>
    <s v="Calabar"/>
    <s v="Sea"/>
    <x v="1"/>
    <n v="3091635.93"/>
  </r>
  <r>
    <x v="1"/>
    <s v="Golden Farms Nigeria Limited"/>
    <x v="0"/>
    <s v="8/6/2021"/>
    <n v="184"/>
    <n v="11548.45"/>
    <n v="4562.51"/>
    <n v="2124914.7999999998"/>
    <s v="Port Harcourt"/>
    <s v="Sea"/>
    <x v="1"/>
    <n v="839501.84000000008"/>
  </r>
  <r>
    <x v="1"/>
    <s v="Golden Farms Nigeria Limited"/>
    <x v="3"/>
    <s v="1/20/2021"/>
    <n v="766"/>
    <n v="13513.38"/>
    <n v="4155"/>
    <n v="10351249.08"/>
    <s v="Lagos"/>
    <s v="Sea"/>
    <x v="1"/>
    <n v="3182730"/>
  </r>
  <r>
    <x v="1"/>
    <s v="Prime Agro Exports Nigeria Limited"/>
    <x v="3"/>
    <s v="8/29/2021"/>
    <n v="493"/>
    <n v="26013.72"/>
    <n v="5430.98"/>
    <n v="12824763.960000001"/>
    <s v="Port Harcourt"/>
    <s v="Sea"/>
    <x v="1"/>
    <n v="2677473.1399999997"/>
  </r>
  <r>
    <x v="1"/>
    <s v="Farmgate Nigeria Limited"/>
    <x v="5"/>
    <s v="10/15/2021"/>
    <n v="987"/>
    <n v="42840.93"/>
    <n v="7044.67"/>
    <n v="42283997.909999996"/>
    <s v="Lagos"/>
    <s v="Sea"/>
    <x v="1"/>
    <n v="6953089.29"/>
  </r>
  <r>
    <x v="1"/>
    <s v="Prime Agro Exports Nigeria Limited"/>
    <x v="5"/>
    <s v="12/21/2021"/>
    <n v="243"/>
    <n v="29602.28"/>
    <n v="9786.18"/>
    <n v="7193354.04"/>
    <s v="Warri"/>
    <s v="Sea"/>
    <x v="1"/>
    <n v="2378041.7400000002"/>
  </r>
  <r>
    <x v="1"/>
    <s v="Solid Agro Nigeria Limited"/>
    <x v="8"/>
    <s v="3/26/2021"/>
    <n v="304"/>
    <n v="40982.46"/>
    <n v="9884.64"/>
    <n v="12458667.84"/>
    <s v="Lagos"/>
    <s v="Sea"/>
    <x v="1"/>
    <n v="3004930.5599999996"/>
  </r>
  <r>
    <x v="1"/>
    <s v="Nigeria Agro Export Company"/>
    <x v="8"/>
    <s v="5/18/2021"/>
    <n v="347"/>
    <n v="42921.85"/>
    <n v="8708.69"/>
    <n v="14893881.949999999"/>
    <s v="Warri"/>
    <s v="Sea"/>
    <x v="1"/>
    <n v="3021915.43"/>
  </r>
  <r>
    <x v="1"/>
    <s v="Golden Farms Nigeria Limited"/>
    <x v="8"/>
    <s v="6/8/2021"/>
    <n v="506"/>
    <n v="37983.199999999997"/>
    <n v="5305.54"/>
    <n v="19219499.199999999"/>
    <s v="Calabar"/>
    <s v="Sea"/>
    <x v="1"/>
    <n v="2684603.2399999998"/>
  </r>
  <r>
    <x v="1"/>
    <s v="Agro Export Nigeria Ltd"/>
    <x v="8"/>
    <s v="7/16/2021"/>
    <n v="182"/>
    <n v="11360.04"/>
    <n v="3424.28"/>
    <n v="2067527.28"/>
    <s v="Calabar"/>
    <s v="Sea"/>
    <x v="1"/>
    <n v="623218.96000000008"/>
  </r>
  <r>
    <x v="1"/>
    <s v="Prime Agro Exports Nigeria Limited"/>
    <x v="6"/>
    <s v="3/13/2021"/>
    <n v="928"/>
    <n v="38172.49"/>
    <n v="7185.46"/>
    <n v="35424070.719999999"/>
    <s v="Lagos"/>
    <s v="Sea"/>
    <x v="1"/>
    <n v="6668106.8799999999"/>
  </r>
  <r>
    <x v="1"/>
    <s v="Nigeria Agro Export Company"/>
    <x v="6"/>
    <s v="4/30/2021"/>
    <n v="377"/>
    <n v="38436.410000000003"/>
    <n v="7116.02"/>
    <n v="14490526.57"/>
    <s v="Lagos"/>
    <s v="Sea"/>
    <x v="1"/>
    <n v="2682739.54"/>
  </r>
  <r>
    <x v="1"/>
    <s v="Solid Agro Nigeria Limited"/>
    <x v="2"/>
    <s v="9/20/2021"/>
    <n v="194"/>
    <n v="13561.52"/>
    <n v="9366.61"/>
    <n v="2630934.88"/>
    <s v="Calabar"/>
    <s v="Sea"/>
    <x v="1"/>
    <n v="1817122.34"/>
  </r>
  <r>
    <x v="1"/>
    <s v="Solid Agro Nigeria Limited"/>
    <x v="4"/>
    <s v="12/20/2021"/>
    <n v="375"/>
    <n v="14459.63"/>
    <n v="7873.61"/>
    <n v="5422361.25"/>
    <s v="Lagos"/>
    <s v="Sea"/>
    <x v="1"/>
    <n v="2952603.75"/>
  </r>
  <r>
    <x v="1"/>
    <s v="Golden Farms Nigeria Limited"/>
    <x v="4"/>
    <s v="2/12/2021"/>
    <n v="793"/>
    <n v="45126.35"/>
    <n v="5472.16"/>
    <n v="35785195.549999997"/>
    <s v="Lagos"/>
    <s v="Sea"/>
    <x v="1"/>
    <n v="4339422.88"/>
  </r>
  <r>
    <x v="1"/>
    <s v="Golden Farms Nigeria Limited"/>
    <x v="4"/>
    <s v="2/6/2021"/>
    <n v="884"/>
    <n v="34327.58"/>
    <n v="7035.55"/>
    <n v="30345580.719999999"/>
    <s v="Lagos"/>
    <s v="Sea"/>
    <x v="1"/>
    <n v="6219426.2000000002"/>
  </r>
  <r>
    <x v="1"/>
    <s v="Agriplus Nigeria Limited"/>
    <x v="4"/>
    <s v="7/22/2021"/>
    <n v="394"/>
    <n v="10137.629999999999"/>
    <n v="9407.81"/>
    <n v="3994226.22"/>
    <s v="Lagos"/>
    <s v="Sea"/>
    <x v="1"/>
    <n v="3706677.1399999997"/>
  </r>
  <r>
    <x v="1"/>
    <s v="Golden Farms Nigeria Limited"/>
    <x v="4"/>
    <s v="7/5/2021"/>
    <n v="805"/>
    <n v="40476.83"/>
    <n v="9454.84"/>
    <n v="32583848.149999999"/>
    <s v="Port Harcourt"/>
    <s v="Sea"/>
    <x v="1"/>
    <n v="7611146.2000000002"/>
  </r>
  <r>
    <x v="1"/>
    <s v="Golden Farms Nigeria Limited"/>
    <x v="9"/>
    <s v="11/30/2022"/>
    <n v="276"/>
    <n v="11216.66"/>
    <n v="4708.95"/>
    <n v="3095798.16"/>
    <s v="Calabar"/>
    <s v="Sea"/>
    <x v="2"/>
    <n v="1299670.2"/>
  </r>
  <r>
    <x v="1"/>
    <s v="Solid Agro Nigeria Limited"/>
    <x v="9"/>
    <s v="12/18/2022"/>
    <n v="409"/>
    <n v="34153.61"/>
    <n v="9814.7199999999993"/>
    <n v="13968826.49"/>
    <s v="Lagos"/>
    <s v="Sea"/>
    <x v="2"/>
    <n v="4014220.4799999995"/>
  </r>
  <r>
    <x v="1"/>
    <s v="Agriplus Nigeria Limited"/>
    <x v="9"/>
    <s v="2/13/2022"/>
    <n v="965"/>
    <n v="36870"/>
    <n v="4666.84"/>
    <n v="35579550"/>
    <s v="Warri"/>
    <s v="Sea"/>
    <x v="2"/>
    <n v="4503500.6000000006"/>
  </r>
  <r>
    <x v="1"/>
    <s v="Greenfield Agro Exporters Nigeria Limited"/>
    <x v="9"/>
    <s v="3/16/2022"/>
    <n v="967"/>
    <n v="17287.05"/>
    <n v="9822.65"/>
    <n v="16716577.35"/>
    <s v="Lagos"/>
    <s v="Sea"/>
    <x v="2"/>
    <n v="9498502.5499999989"/>
  </r>
  <r>
    <x v="1"/>
    <s v="Agro Export Nigeria Ltd"/>
    <x v="9"/>
    <s v="3/29/2022"/>
    <n v="337"/>
    <n v="15499.43"/>
    <n v="3381.24"/>
    <n v="5223307.91"/>
    <s v="Lagos"/>
    <s v="Sea"/>
    <x v="2"/>
    <n v="1139477.8799999999"/>
  </r>
  <r>
    <x v="1"/>
    <s v="Farmgate Nigeria Limited"/>
    <x v="9"/>
    <s v="3/9/2022"/>
    <n v="907"/>
    <n v="17899.88"/>
    <n v="6976.49"/>
    <n v="16235191.16"/>
    <s v="Lagos"/>
    <s v="Sea"/>
    <x v="2"/>
    <n v="6327676.4299999997"/>
  </r>
  <r>
    <x v="1"/>
    <s v="Golden Farms Nigeria Limited"/>
    <x v="9"/>
    <s v="5/2/2022"/>
    <n v="928"/>
    <n v="22893.46"/>
    <n v="4425.03"/>
    <n v="21245130.879999999"/>
    <s v="Lagos"/>
    <s v="Sea"/>
    <x v="2"/>
    <n v="4106427.84"/>
  </r>
  <r>
    <x v="1"/>
    <s v="Agro Allied Exporters Nigeria Limited"/>
    <x v="9"/>
    <s v="7/27/2022"/>
    <n v="142"/>
    <n v="28251.37"/>
    <n v="7796.85"/>
    <n v="4011694.54"/>
    <s v="Lagos"/>
    <s v="Sea"/>
    <x v="2"/>
    <n v="1107152.7"/>
  </r>
  <r>
    <x v="1"/>
    <s v="Nigeria Agro Export Company"/>
    <x v="9"/>
    <s v="8/25/2022"/>
    <n v="204"/>
    <n v="17510.169999999998"/>
    <n v="9636.0400000000009"/>
    <n v="3572074.68"/>
    <s v="Port Harcourt"/>
    <s v="Sea"/>
    <x v="2"/>
    <n v="1965752.1600000001"/>
  </r>
  <r>
    <x v="1"/>
    <s v="Nigeria Agro Export Company"/>
    <x v="7"/>
    <s v="8/5/2022"/>
    <n v="261"/>
    <n v="18757.63"/>
    <n v="2017.08"/>
    <n v="4895741.43"/>
    <s v="Lagos"/>
    <s v="Sea"/>
    <x v="2"/>
    <n v="526457.88"/>
  </r>
  <r>
    <x v="1"/>
    <s v="Nigeria Agro Export Company"/>
    <x v="1"/>
    <s v="11/8/2022"/>
    <n v="323"/>
    <n v="41562.660000000003"/>
    <n v="7492.8"/>
    <n v="13424739.18"/>
    <s v="Lagos"/>
    <s v="Sea"/>
    <x v="2"/>
    <n v="2420174.4"/>
  </r>
  <r>
    <x v="1"/>
    <s v="Agriplus Nigeria Limited"/>
    <x v="1"/>
    <s v="2/1/2022"/>
    <n v="516"/>
    <n v="35244.870000000003"/>
    <n v="6455.99"/>
    <n v="18186352.920000002"/>
    <s v="Lagos"/>
    <s v="Sea"/>
    <x v="2"/>
    <n v="3331290.84"/>
  </r>
  <r>
    <x v="1"/>
    <s v="Golden Farms Nigeria Limited"/>
    <x v="1"/>
    <s v="4/26/2022"/>
    <n v="185"/>
    <n v="14847.32"/>
    <n v="3544.82"/>
    <n v="2746754.2"/>
    <s v="Port Harcourt"/>
    <s v="Sea"/>
    <x v="2"/>
    <n v="655791.70000000007"/>
  </r>
  <r>
    <x v="1"/>
    <s v="Solid Agro Nigeria Limited"/>
    <x v="1"/>
    <s v="7/26/2022"/>
    <n v="205"/>
    <n v="19635.919999999998"/>
    <n v="4458.43"/>
    <n v="4025363.6"/>
    <s v="Port Harcourt"/>
    <s v="Sea"/>
    <x v="2"/>
    <n v="913978.15"/>
  </r>
  <r>
    <x v="1"/>
    <s v="Farmgate Nigeria Limited"/>
    <x v="8"/>
    <s v="7/26/2022"/>
    <n v="370"/>
    <n v="11067.38"/>
    <n v="3708.85"/>
    <n v="4094930.6"/>
    <s v="Port Harcourt"/>
    <s v="Sea"/>
    <x v="2"/>
    <n v="1372274.5"/>
  </r>
  <r>
    <x v="1"/>
    <s v="Prime Agro Exports Nigeria Limited"/>
    <x v="1"/>
    <s v="9/29/2022"/>
    <n v="438"/>
    <n v="22625.33"/>
    <n v="6130.91"/>
    <n v="9909894.5399999991"/>
    <s v="Warri"/>
    <s v="Sea"/>
    <x v="2"/>
    <n v="2685338.58"/>
  </r>
  <r>
    <x v="1"/>
    <s v="Solid Agro Nigeria Limited"/>
    <x v="0"/>
    <s v="3/4/2022"/>
    <n v="500"/>
    <n v="48937.95"/>
    <n v="2835.78"/>
    <n v="24468975"/>
    <s v="Lagos"/>
    <s v="Sea"/>
    <x v="2"/>
    <n v="1417890"/>
  </r>
  <r>
    <x v="1"/>
    <s v="Prime Agro Exports Nigeria Limited"/>
    <x v="0"/>
    <s v="9/22/2022"/>
    <n v="326"/>
    <n v="36801.15"/>
    <n v="6544.27"/>
    <n v="11997174.9"/>
    <s v="Lagos"/>
    <s v="Sea"/>
    <x v="2"/>
    <n v="2133432.02"/>
  </r>
  <r>
    <x v="1"/>
    <s v="Nigeria Agro Export Company"/>
    <x v="3"/>
    <s v="3/15/2022"/>
    <n v="163"/>
    <n v="16244.54"/>
    <n v="9874.64"/>
    <n v="2647860.02"/>
    <s v="Lagos"/>
    <s v="Sea"/>
    <x v="2"/>
    <n v="1609566.3199999998"/>
  </r>
  <r>
    <x v="1"/>
    <s v="Agro Export Nigeria Ltd"/>
    <x v="5"/>
    <s v="9/10/2022"/>
    <n v="778"/>
    <n v="49985.86"/>
    <n v="8415.43"/>
    <n v="38888999.079999998"/>
    <s v="Warri"/>
    <s v="Sea"/>
    <x v="2"/>
    <n v="6547204.54"/>
  </r>
  <r>
    <x v="1"/>
    <s v="Farmgate Nigeria Limited"/>
    <x v="8"/>
    <s v="10/11/2022"/>
    <n v="150"/>
    <n v="23193.26"/>
    <n v="4943.25"/>
    <n v="3478989"/>
    <s v="Warri"/>
    <s v="Sea"/>
    <x v="2"/>
    <n v="741487.5"/>
  </r>
  <r>
    <x v="1"/>
    <s v="Nigerian Export Promotion Council (NEPC)"/>
    <x v="8"/>
    <s v="12/23/2022"/>
    <n v="795"/>
    <n v="11706.54"/>
    <n v="3838.45"/>
    <n v="9306699.3000000007"/>
    <s v="Lagos"/>
    <s v="Sea"/>
    <x v="2"/>
    <n v="3051567.75"/>
  </r>
  <r>
    <x v="1"/>
    <s v="Prime Agro Exports Nigeria Limited"/>
    <x v="6"/>
    <s v="10/1/2022"/>
    <n v="259"/>
    <n v="12895.17"/>
    <n v="8669.42"/>
    <n v="3339849.03"/>
    <s v="Port Harcourt"/>
    <s v="Sea"/>
    <x v="2"/>
    <n v="2245379.7799999998"/>
  </r>
  <r>
    <x v="1"/>
    <s v="Solid Agro Nigeria Limited"/>
    <x v="6"/>
    <s v="10/4/2022"/>
    <n v="269"/>
    <n v="28501.42"/>
    <n v="4486.79"/>
    <n v="7666881.9800000004"/>
    <s v="Lagos"/>
    <s v="Sea"/>
    <x v="2"/>
    <n v="1206946.51"/>
  </r>
  <r>
    <x v="1"/>
    <s v="Agro Allied Exporters Nigeria Limited"/>
    <x v="6"/>
    <s v="10/9/2022"/>
    <n v="738"/>
    <n v="39223.54"/>
    <n v="9221.4500000000007"/>
    <n v="28946972.52"/>
    <s v="Warri"/>
    <s v="Sea"/>
    <x v="2"/>
    <n v="6805430.1000000006"/>
  </r>
  <r>
    <x v="1"/>
    <s v="Nigerian Export Promotion Council (NEPC)"/>
    <x v="6"/>
    <s v="12/16/2022"/>
    <n v="786"/>
    <n v="16810.37"/>
    <n v="2778.06"/>
    <n v="13212950.82"/>
    <s v="Calabar"/>
    <s v="Sea"/>
    <x v="2"/>
    <n v="2183555.16"/>
  </r>
  <r>
    <x v="1"/>
    <s v="Golden Farms Nigeria Limited"/>
    <x v="2"/>
    <s v="5/9/2022"/>
    <n v="301"/>
    <n v="49306.9"/>
    <n v="7022.61"/>
    <n v="14841376.9"/>
    <s v="Lagos"/>
    <s v="Sea"/>
    <x v="2"/>
    <n v="2113805.61"/>
  </r>
  <r>
    <x v="1"/>
    <s v="Agro Allied Exporters Nigeria Limited"/>
    <x v="2"/>
    <s v="6/3/2022"/>
    <n v="926"/>
    <n v="41066.230000000003"/>
    <n v="7386.88"/>
    <n v="38027328.979999997"/>
    <s v="Calabar"/>
    <s v="Sea"/>
    <x v="2"/>
    <n v="6840250.8799999999"/>
  </r>
  <r>
    <x v="1"/>
    <s v="Nigeria Agro Export Company"/>
    <x v="4"/>
    <s v="3/23/2022"/>
    <n v="554"/>
    <n v="12910.73"/>
    <n v="6115.26"/>
    <n v="7152544.4199999999"/>
    <s v="Lagos"/>
    <s v="Sea"/>
    <x v="2"/>
    <n v="3387854.04"/>
  </r>
  <r>
    <x v="1"/>
    <s v="Agriplus Nigeria Limited"/>
    <x v="4"/>
    <s v="5/17/2022"/>
    <n v="780"/>
    <n v="22739.59"/>
    <n v="2869.67"/>
    <n v="17736880.199999999"/>
    <s v="Lagos"/>
    <s v="Sea"/>
    <x v="2"/>
    <n v="2238342.6"/>
  </r>
  <r>
    <x v="1"/>
    <s v="Nigeria Agro Export Company"/>
    <x v="4"/>
    <s v="9/12/2022"/>
    <n v="512"/>
    <n v="27999.61"/>
    <n v="8423.7999999999993"/>
    <n v="14335800.32"/>
    <s v="Lagos"/>
    <s v="Sea"/>
    <x v="2"/>
    <n v="4312985.5999999996"/>
  </r>
  <r>
    <x v="1"/>
    <s v="Greenfield Agro Exporters Nigeria Limited"/>
    <x v="9"/>
    <s v="12/30/2023"/>
    <n v="769"/>
    <n v="32821.57"/>
    <n v="8150.57"/>
    <n v="25239787.329999998"/>
    <s v="Lagos"/>
    <s v="Sea"/>
    <x v="3"/>
    <n v="6267788.3300000001"/>
  </r>
  <r>
    <x v="1"/>
    <s v="Agro Export Nigeria Ltd"/>
    <x v="9"/>
    <s v="3/9/2023"/>
    <n v="553"/>
    <n v="25956.06"/>
    <n v="4281.7700000000004"/>
    <n v="14353701.18"/>
    <s v="Lagos"/>
    <s v="Sea"/>
    <x v="3"/>
    <n v="2367818.81"/>
  </r>
  <r>
    <x v="1"/>
    <s v="Farmgate Nigeria Limited"/>
    <x v="5"/>
    <s v="3/9/2023"/>
    <n v="115"/>
    <n v="45869.9"/>
    <n v="7995.95"/>
    <n v="5275038.5"/>
    <s v="Lagos"/>
    <s v="Sea"/>
    <x v="3"/>
    <n v="919534.25"/>
  </r>
  <r>
    <x v="1"/>
    <s v="Solid Agro Nigeria Limited"/>
    <x v="9"/>
    <s v="8/21/2023"/>
    <n v="672"/>
    <n v="10006.540000000001"/>
    <n v="8641.69"/>
    <n v="6724394.8799999999"/>
    <s v="Port Harcourt"/>
    <s v="Sea"/>
    <x v="3"/>
    <n v="5807215.6800000006"/>
  </r>
  <r>
    <x v="1"/>
    <s v="Nigerian Export Promotion Council (NEPC)"/>
    <x v="7"/>
    <s v="11/28/2023"/>
    <n v="991"/>
    <n v="31527.16"/>
    <n v="3766.01"/>
    <n v="31243415.559999999"/>
    <s v="Calabar"/>
    <s v="Sea"/>
    <x v="3"/>
    <n v="3732115.91"/>
  </r>
  <r>
    <x v="1"/>
    <s v="Farmgate Nigeria Limited"/>
    <x v="7"/>
    <s v="11/28/2023"/>
    <n v="949"/>
    <n v="20213.71"/>
    <n v="6290.74"/>
    <n v="19182810.789999999"/>
    <s v="Lagos"/>
    <s v="Sea"/>
    <x v="3"/>
    <n v="5969912.2599999998"/>
  </r>
  <r>
    <x v="1"/>
    <s v="Golden Farms Nigeria Limited"/>
    <x v="7"/>
    <s v="12/3/2023"/>
    <n v="634"/>
    <n v="24679.19"/>
    <n v="3215.36"/>
    <n v="15646606.460000001"/>
    <s v="Lagos"/>
    <s v="Sea"/>
    <x v="3"/>
    <n v="2038538.24"/>
  </r>
  <r>
    <x v="1"/>
    <s v="Prime Agro Exports Nigeria Limited"/>
    <x v="7"/>
    <s v="4/15/2023"/>
    <n v="627"/>
    <n v="49380.09"/>
    <n v="3564.84"/>
    <n v="30961316.43"/>
    <s v="Lagos"/>
    <s v="Sea"/>
    <x v="3"/>
    <n v="2235154.6800000002"/>
  </r>
  <r>
    <x v="1"/>
    <s v="Agriplus Nigeria Limited"/>
    <x v="1"/>
    <s v="10/14/2023"/>
    <n v="823"/>
    <n v="14356.92"/>
    <n v="7452.1"/>
    <n v="11815745.16"/>
    <s v="Lagos"/>
    <s v="Sea"/>
    <x v="3"/>
    <n v="6133078.3000000007"/>
  </r>
  <r>
    <x v="1"/>
    <s v="Agro Allied Exporters Nigeria Limited"/>
    <x v="1"/>
    <s v="10/24/2023"/>
    <n v="920"/>
    <n v="44165.77"/>
    <n v="4422.3500000000004"/>
    <n v="40632508.399999999"/>
    <s v="Lagos"/>
    <s v="Sea"/>
    <x v="3"/>
    <n v="4068562.0000000005"/>
  </r>
  <r>
    <x v="1"/>
    <s v="Agriplus Nigeria Limited"/>
    <x v="1"/>
    <s v="4/11/2023"/>
    <n v="398"/>
    <n v="14862.53"/>
    <n v="2323.59"/>
    <n v="5915286.9400000004"/>
    <s v="Lagos"/>
    <s v="Sea"/>
    <x v="3"/>
    <n v="924788.82000000007"/>
  </r>
  <r>
    <x v="1"/>
    <s v="Greenfield Agro Exporters Nigeria Limited"/>
    <x v="1"/>
    <s v="7/24/2023"/>
    <n v="841"/>
    <n v="43215.55"/>
    <n v="9448.5499999999993"/>
    <n v="36344277.549999997"/>
    <s v="Lagos"/>
    <s v="Sea"/>
    <x v="3"/>
    <n v="7946230.5499999998"/>
  </r>
  <r>
    <x v="1"/>
    <s v="Prime Agro Exports Nigeria Limited"/>
    <x v="1"/>
    <s v="9/8/2023"/>
    <n v="205"/>
    <n v="26036.36"/>
    <n v="8100.15"/>
    <n v="5337453.8"/>
    <s v="Calabar"/>
    <s v="Sea"/>
    <x v="3"/>
    <n v="1660530.75"/>
  </r>
  <r>
    <x v="1"/>
    <s v="Agro Export Nigeria Ltd"/>
    <x v="0"/>
    <s v="5/15/2023"/>
    <n v="684"/>
    <n v="19040.759999999998"/>
    <n v="4601.97"/>
    <n v="13023879.84"/>
    <s v="Warri"/>
    <s v="Sea"/>
    <x v="3"/>
    <n v="3147747.48"/>
  </r>
  <r>
    <x v="1"/>
    <s v="Nigeria Agro Export Company"/>
    <x v="0"/>
    <s v="6/4/2023"/>
    <n v="314"/>
    <n v="33005.79"/>
    <n v="7392.48"/>
    <n v="10363818.060000001"/>
    <s v="Warri"/>
    <s v="Sea"/>
    <x v="3"/>
    <n v="2321238.7199999997"/>
  </r>
  <r>
    <x v="1"/>
    <s v="Greenfield Agro Exporters Nigeria Limited"/>
    <x v="0"/>
    <s v="9/10/2023"/>
    <n v="415"/>
    <n v="43916.15"/>
    <n v="2860.69"/>
    <n v="18225202.25"/>
    <s v="Lagos"/>
    <s v="Sea"/>
    <x v="3"/>
    <n v="1187186.3500000001"/>
  </r>
  <r>
    <x v="1"/>
    <s v="Farmgate Nigeria Limited"/>
    <x v="3"/>
    <s v="12/1/2023"/>
    <n v="540"/>
    <n v="40199.839999999997"/>
    <n v="9026.4"/>
    <n v="21707913.600000001"/>
    <s v="Lagos"/>
    <s v="Sea"/>
    <x v="3"/>
    <n v="4874256"/>
  </r>
  <r>
    <x v="1"/>
    <s v="Solid Agro Nigeria Limited"/>
    <x v="5"/>
    <s v="11/22/2023"/>
    <n v="118"/>
    <n v="48123.38"/>
    <n v="4260.18"/>
    <n v="5678558.8399999999"/>
    <s v="Lagos"/>
    <s v="Sea"/>
    <x v="3"/>
    <n v="502701.24000000005"/>
  </r>
  <r>
    <x v="1"/>
    <s v="Nigeria Agro Export Company"/>
    <x v="5"/>
    <s v="11/4/2023"/>
    <n v="635"/>
    <n v="46224.92"/>
    <n v="4473.09"/>
    <n v="29352824.199999999"/>
    <s v="Lagos"/>
    <s v="Sea"/>
    <x v="3"/>
    <n v="2840412.15"/>
  </r>
  <r>
    <x v="1"/>
    <s v="Agro Allied Exporters Nigeria Limited"/>
    <x v="5"/>
    <s v="4/14/2023"/>
    <n v="401"/>
    <n v="29722.65"/>
    <n v="9701.73"/>
    <n v="11918782.65"/>
    <s v="Lagos"/>
    <s v="Sea"/>
    <x v="3"/>
    <n v="3890393.73"/>
  </r>
  <r>
    <x v="1"/>
    <s v="Solid Agro Nigeria Limited"/>
    <x v="8"/>
    <s v="11/26/2023"/>
    <n v="939"/>
    <n v="47201.02"/>
    <n v="6623.62"/>
    <n v="44321757.780000001"/>
    <s v="Lagos"/>
    <s v="Sea"/>
    <x v="3"/>
    <n v="6219579.1799999997"/>
  </r>
  <r>
    <x v="1"/>
    <s v="Solid Agro Nigeria Limited"/>
    <x v="8"/>
    <s v="8/27/2023"/>
    <n v="341"/>
    <n v="49196.09"/>
    <n v="2640.45"/>
    <n v="16775866.689999999"/>
    <s v="Lagos"/>
    <s v="Sea"/>
    <x v="3"/>
    <n v="900393.45"/>
  </r>
  <r>
    <x v="1"/>
    <s v="Greenfield Agro Exporters Nigeria Limited"/>
    <x v="8"/>
    <s v="9/20/2023"/>
    <n v="681"/>
    <n v="26580.76"/>
    <n v="8722.94"/>
    <n v="18101497.559999999"/>
    <s v="Warri"/>
    <s v="Sea"/>
    <x v="3"/>
    <n v="5940322.1400000006"/>
  </r>
  <r>
    <x v="1"/>
    <s v="Agriplus Nigeria Limited"/>
    <x v="6"/>
    <s v="6/28/2023"/>
    <n v="778"/>
    <n v="15017.53"/>
    <n v="9283.59"/>
    <n v="11683638.34"/>
    <s v="Port Harcourt"/>
    <s v="Sea"/>
    <x v="3"/>
    <n v="7222633.0200000005"/>
  </r>
  <r>
    <x v="1"/>
    <s v="Prime Agro Exports Nigeria Limited"/>
    <x v="6"/>
    <s v="6/30/2023"/>
    <n v="206"/>
    <n v="23127.65"/>
    <n v="6971.83"/>
    <n v="4764295.9000000004"/>
    <s v="Calabar"/>
    <s v="Sea"/>
    <x v="3"/>
    <n v="1436196.98"/>
  </r>
  <r>
    <x v="1"/>
    <s v="Nigeria Agro Export Company"/>
    <x v="2"/>
    <s v="1/13/2023"/>
    <n v="787"/>
    <n v="28262.15"/>
    <n v="4658.3"/>
    <n v="22242312.050000001"/>
    <s v="Lagos"/>
    <s v="Sea"/>
    <x v="3"/>
    <n v="3666082.1"/>
  </r>
  <r>
    <x v="1"/>
    <s v="Agro Export Nigeria Ltd"/>
    <x v="2"/>
    <s v="11/12/2023"/>
    <n v="748"/>
    <n v="25065.32"/>
    <n v="7742.48"/>
    <n v="18748859.359999999"/>
    <s v="Lagos"/>
    <s v="Sea"/>
    <x v="3"/>
    <n v="5791375.04"/>
  </r>
  <r>
    <x v="1"/>
    <s v="Prime Agro Exports Nigeria Limited"/>
    <x v="4"/>
    <s v="2/17/2023"/>
    <n v="611"/>
    <n v="21839.94"/>
    <n v="7020.58"/>
    <n v="13344203.34"/>
    <s v="Calabar"/>
    <s v="Sea"/>
    <x v="3"/>
    <n v="4289574.38"/>
  </r>
  <r>
    <x v="2"/>
    <s v="Nigeria Agro Export Company"/>
    <x v="2"/>
    <s v="12/7/2020"/>
    <n v="464"/>
    <n v="17947.18"/>
    <n v="4171.95"/>
    <n v="8327491.5199999996"/>
    <s v="Lagos"/>
    <s v="Sea"/>
    <x v="0"/>
    <n v="1935784.7999999998"/>
  </r>
  <r>
    <x v="2"/>
    <s v="Agro Export Nigeria Ltd"/>
    <x v="2"/>
    <s v="2/3/2020"/>
    <n v="990"/>
    <n v="36777.32"/>
    <n v="8027.19"/>
    <n v="36409546.799999997"/>
    <s v="Lagos"/>
    <s v="Sea"/>
    <x v="0"/>
    <n v="7946918.0999999996"/>
  </r>
  <r>
    <x v="2"/>
    <s v="Nigerian Export Promotion Council (NEPC)"/>
    <x v="2"/>
    <s v="3/30/2020"/>
    <n v="941"/>
    <n v="27078.720000000001"/>
    <n v="4676.04"/>
    <n v="25481075.52"/>
    <s v="Lagos"/>
    <s v="Sea"/>
    <x v="0"/>
    <n v="4400153.6399999997"/>
  </r>
  <r>
    <x v="2"/>
    <s v="Agro Allied Exporters Nigeria Limited"/>
    <x v="2"/>
    <s v="6/14/2020"/>
    <n v="166"/>
    <n v="33789.42"/>
    <n v="7069.44"/>
    <n v="5609043.7199999997"/>
    <s v="Lagos"/>
    <s v="Sea"/>
    <x v="0"/>
    <n v="1173527.04"/>
  </r>
  <r>
    <x v="2"/>
    <s v="Nigeria Agro Export Company"/>
    <x v="2"/>
    <s v="8/18/2020"/>
    <n v="442"/>
    <n v="39909.449999999997"/>
    <n v="6492.45"/>
    <n v="17639976.899999999"/>
    <s v="Lagos"/>
    <s v="Sea"/>
    <x v="0"/>
    <n v="2869662.9"/>
  </r>
  <r>
    <x v="2"/>
    <s v="Nigerian Export Promotion Council (NEPC)"/>
    <x v="7"/>
    <s v="12/24/2020"/>
    <n v="989"/>
    <n v="24274.45"/>
    <n v="7019.72"/>
    <n v="24007431.050000001"/>
    <s v="Lagos"/>
    <s v="Sea"/>
    <x v="0"/>
    <n v="6942503.0800000001"/>
  </r>
  <r>
    <x v="2"/>
    <s v="Prime Agro Exports Nigeria Limited"/>
    <x v="7"/>
    <s v="7/19/2020"/>
    <n v="258"/>
    <n v="43253.51"/>
    <n v="3922.14"/>
    <n v="11159405.58"/>
    <s v="Warri"/>
    <s v="Sea"/>
    <x v="0"/>
    <n v="1011912.12"/>
  </r>
  <r>
    <x v="2"/>
    <s v="Solid Agro Nigeria Limited"/>
    <x v="9"/>
    <s v="10/7/2020"/>
    <n v="449"/>
    <n v="22573.52"/>
    <n v="5849.58"/>
    <n v="10135510.48"/>
    <s v="Lagos"/>
    <s v="Sea"/>
    <x v="0"/>
    <n v="2626461.42"/>
  </r>
  <r>
    <x v="2"/>
    <s v="Agriplus Nigeria Limited"/>
    <x v="9"/>
    <s v="3/13/2020"/>
    <n v="644"/>
    <n v="11922.17"/>
    <n v="2972.84"/>
    <n v="7677877.4800000004"/>
    <s v="Lagos"/>
    <s v="Sea"/>
    <x v="0"/>
    <n v="1914508.9600000002"/>
  </r>
  <r>
    <x v="2"/>
    <s v="Agriplus Nigeria Limited"/>
    <x v="0"/>
    <s v="4/5/2020"/>
    <n v="121"/>
    <n v="39676.69"/>
    <n v="4143.1899999999996"/>
    <n v="4800879.49"/>
    <s v="Lagos"/>
    <s v="Sea"/>
    <x v="0"/>
    <n v="501325.98999999993"/>
  </r>
  <r>
    <x v="2"/>
    <s v="Agro Allied Exporters Nigeria Limited"/>
    <x v="1"/>
    <s v="4/24/2020"/>
    <n v="482"/>
    <n v="34497.660000000003"/>
    <n v="2071.13"/>
    <n v="16627872.119999999"/>
    <s v="Port Harcourt"/>
    <s v="Sea"/>
    <x v="0"/>
    <n v="998284.66"/>
  </r>
  <r>
    <x v="2"/>
    <s v="Agro Export Nigeria Ltd"/>
    <x v="1"/>
    <s v="5/26/2020"/>
    <n v="798"/>
    <n v="43030.42"/>
    <n v="5718.02"/>
    <n v="34338275.159999996"/>
    <s v="Port Harcourt"/>
    <s v="Sea"/>
    <x v="0"/>
    <n v="4562979.96"/>
  </r>
  <r>
    <x v="2"/>
    <s v="Agro Allied Exporters Nigeria Limited"/>
    <x v="1"/>
    <s v="5/31/2020"/>
    <n v="216"/>
    <n v="25895.71"/>
    <n v="5588.44"/>
    <n v="5593473.3600000003"/>
    <s v="Lagos"/>
    <s v="Sea"/>
    <x v="0"/>
    <n v="1207103.0399999998"/>
  </r>
  <r>
    <x v="2"/>
    <s v="Greenfield Agro Exporters Nigeria Limited"/>
    <x v="1"/>
    <s v="6/30/2020"/>
    <n v="689"/>
    <n v="29393.13"/>
    <n v="3650.64"/>
    <n v="20251866.57"/>
    <s v="Lagos"/>
    <s v="Sea"/>
    <x v="0"/>
    <n v="2515290.96"/>
  </r>
  <r>
    <x v="2"/>
    <s v="Solid Agro Nigeria Limited"/>
    <x v="1"/>
    <s v="7/29/2020"/>
    <n v="723"/>
    <n v="24896.53"/>
    <n v="4266.1000000000004"/>
    <n v="18000191.190000001"/>
    <s v="Calabar"/>
    <s v="Sea"/>
    <x v="0"/>
    <n v="3084390.3000000003"/>
  </r>
  <r>
    <x v="2"/>
    <s v="Agriplus Nigeria Limited"/>
    <x v="8"/>
    <s v="7/29/2020"/>
    <n v="355"/>
    <n v="19246.61"/>
    <n v="2599.13"/>
    <n v="6832546.5499999998"/>
    <s v="Lagos"/>
    <s v="Sea"/>
    <x v="0"/>
    <n v="922691.15"/>
  </r>
  <r>
    <x v="2"/>
    <s v="Golden Farms Nigeria Limited"/>
    <x v="1"/>
    <s v="9/2/2020"/>
    <n v="997"/>
    <n v="23337.7"/>
    <n v="5441.12"/>
    <n v="23267686.899999999"/>
    <s v="Lagos"/>
    <s v="Sea"/>
    <x v="0"/>
    <n v="5424796.6399999997"/>
  </r>
  <r>
    <x v="2"/>
    <s v="Farmgate Nigeria Limited"/>
    <x v="6"/>
    <s v="10/29/2020"/>
    <n v="181"/>
    <n v="42649.85"/>
    <n v="4580.5200000000004"/>
    <n v="7719622.8499999996"/>
    <s v="Lagos"/>
    <s v="Sea"/>
    <x v="0"/>
    <n v="829074.12000000011"/>
  </r>
  <r>
    <x v="2"/>
    <s v="Prime Agro Exports Nigeria Limited"/>
    <x v="4"/>
    <s v="10/29/2020"/>
    <n v="953"/>
    <n v="30715.74"/>
    <n v="7323.65"/>
    <n v="29272100.219999999"/>
    <s v="Warri"/>
    <s v="Sea"/>
    <x v="0"/>
    <n v="6979438.4499999993"/>
  </r>
  <r>
    <x v="2"/>
    <s v="Farmgate Nigeria Limited"/>
    <x v="3"/>
    <s v="11/11/2020"/>
    <n v="839"/>
    <n v="20194.91"/>
    <n v="4050.93"/>
    <n v="16943529.489999998"/>
    <s v="Port Harcourt"/>
    <s v="Sea"/>
    <x v="0"/>
    <n v="3398730.27"/>
  </r>
  <r>
    <x v="2"/>
    <s v="Nigerian Export Promotion Council (NEPC)"/>
    <x v="3"/>
    <s v="3/27/2020"/>
    <n v="435"/>
    <n v="15057.51"/>
    <n v="5455.6"/>
    <n v="6550016.8499999996"/>
    <s v="Calabar"/>
    <s v="Sea"/>
    <x v="0"/>
    <n v="2373186"/>
  </r>
  <r>
    <x v="2"/>
    <s v="Golden Farms Nigeria Limited"/>
    <x v="3"/>
    <s v="8/17/2020"/>
    <n v="167"/>
    <n v="24405.81"/>
    <n v="5557.46"/>
    <n v="4075770.27"/>
    <s v="Lagos"/>
    <s v="Sea"/>
    <x v="0"/>
    <n v="928095.82"/>
  </r>
  <r>
    <x v="2"/>
    <s v="Prime Agro Exports Nigeria Limited"/>
    <x v="3"/>
    <s v="8/31/2020"/>
    <n v="118"/>
    <n v="22796.67"/>
    <n v="4784.42"/>
    <n v="2690007.06"/>
    <s v="Lagos"/>
    <s v="Sea"/>
    <x v="0"/>
    <n v="564561.56000000006"/>
  </r>
  <r>
    <x v="2"/>
    <s v="Greenfield Agro Exporters Nigeria Limited"/>
    <x v="5"/>
    <s v="1/16/2020"/>
    <n v="207"/>
    <n v="14501.74"/>
    <n v="4713.01"/>
    <n v="3001860.18"/>
    <s v="Lagos"/>
    <s v="Sea"/>
    <x v="0"/>
    <n v="975593.07000000007"/>
  </r>
  <r>
    <x v="2"/>
    <s v="Agriplus Nigeria Limited"/>
    <x v="5"/>
    <s v="12/14/2020"/>
    <n v="332"/>
    <n v="42678.9"/>
    <n v="2935.51"/>
    <n v="14169394.800000001"/>
    <s v="Lagos"/>
    <s v="Sea"/>
    <x v="0"/>
    <n v="974589.32000000007"/>
  </r>
  <r>
    <x v="2"/>
    <s v="Greenfield Agro Exporters Nigeria Limited"/>
    <x v="5"/>
    <s v="4/10/2020"/>
    <n v="741"/>
    <n v="47745.33"/>
    <n v="7767.31"/>
    <n v="35379289.530000001"/>
    <s v="Lagos"/>
    <s v="Sea"/>
    <x v="0"/>
    <n v="5755576.71"/>
  </r>
  <r>
    <x v="2"/>
    <s v="Agro Export Nigeria Ltd"/>
    <x v="5"/>
    <s v="4/20/2020"/>
    <n v="276"/>
    <n v="35183.879999999997"/>
    <n v="7272.88"/>
    <n v="9710750.8800000008"/>
    <s v="Port Harcourt"/>
    <s v="Sea"/>
    <x v="0"/>
    <n v="2007314.8800000001"/>
  </r>
  <r>
    <x v="2"/>
    <s v="Golden Farms Nigeria Limited"/>
    <x v="5"/>
    <s v="7/14/2020"/>
    <n v="360"/>
    <n v="26607.040000000001"/>
    <n v="3144.34"/>
    <n v="9578534.4000000004"/>
    <s v="Warri"/>
    <s v="Sea"/>
    <x v="0"/>
    <n v="1131962.4000000001"/>
  </r>
  <r>
    <x v="2"/>
    <s v="Agriplus Nigeria Limited"/>
    <x v="5"/>
    <s v="7/31/2020"/>
    <n v="410"/>
    <n v="42063.46"/>
    <n v="8620.2000000000007"/>
    <n v="17246018.600000001"/>
    <s v="Port Harcourt"/>
    <s v="Sea"/>
    <x v="0"/>
    <n v="3534282.0000000005"/>
  </r>
  <r>
    <x v="2"/>
    <s v="Golden Farms Nigeria Limited"/>
    <x v="4"/>
    <s v="1/24/2020"/>
    <n v="847"/>
    <n v="19595.099999999999"/>
    <n v="8836.6200000000008"/>
    <n v="16597049.699999999"/>
    <s v="Calabar"/>
    <s v="Sea"/>
    <x v="0"/>
    <n v="7484617.1400000006"/>
  </r>
  <r>
    <x v="2"/>
    <s v="Golden Farms Nigeria Limited"/>
    <x v="4"/>
    <s v="1/6/2020"/>
    <n v="492"/>
    <n v="33982.230000000003"/>
    <n v="3031.16"/>
    <n v="16719257.16"/>
    <s v="Lagos"/>
    <s v="Sea"/>
    <x v="0"/>
    <n v="1491330.72"/>
  </r>
  <r>
    <x v="2"/>
    <s v="Greenfield Agro Exporters Nigeria Limited"/>
    <x v="4"/>
    <s v="12/16/2020"/>
    <n v="579"/>
    <n v="40723.75"/>
    <n v="7020.3"/>
    <n v="23579051.25"/>
    <s v="Calabar"/>
    <s v="Sea"/>
    <x v="0"/>
    <n v="4064753.7"/>
  </r>
  <r>
    <x v="2"/>
    <s v="Farmgate Nigeria Limited"/>
    <x v="2"/>
    <s v="3/23/2021"/>
    <n v="864"/>
    <n v="40976.449999999997"/>
    <n v="3472.61"/>
    <n v="35403652.799999997"/>
    <s v="Lagos"/>
    <s v="Sea"/>
    <x v="1"/>
    <n v="3000335.04"/>
  </r>
  <r>
    <x v="2"/>
    <s v="Greenfield Agro Exporters Nigeria Limited"/>
    <x v="2"/>
    <s v="5/19/2021"/>
    <n v="743"/>
    <n v="20825.009999999998"/>
    <n v="2879.25"/>
    <n v="15472982.43"/>
    <s v="Calabar"/>
    <s v="Sea"/>
    <x v="1"/>
    <n v="2139282.75"/>
  </r>
  <r>
    <x v="2"/>
    <s v="Prime Agro Exports Nigeria Limited"/>
    <x v="2"/>
    <s v="6/3/2021"/>
    <n v="157"/>
    <n v="11352.41"/>
    <n v="6556.99"/>
    <n v="1782328.37"/>
    <s v="Lagos"/>
    <s v="Sea"/>
    <x v="1"/>
    <n v="1029447.4299999999"/>
  </r>
  <r>
    <x v="2"/>
    <s v="Nigeria Agro Export Company"/>
    <x v="7"/>
    <s v="10/25/2021"/>
    <n v="978"/>
    <n v="42445.04"/>
    <n v="4024.2"/>
    <n v="41511249.119999997"/>
    <s v="Lagos"/>
    <s v="Sea"/>
    <x v="1"/>
    <n v="3935667.5999999996"/>
  </r>
  <r>
    <x v="2"/>
    <s v="Agriplus Nigeria Limited"/>
    <x v="7"/>
    <s v="4/15/2021"/>
    <n v="262"/>
    <n v="27644.22"/>
    <n v="2134.1799999999998"/>
    <n v="7242785.6399999997"/>
    <s v="Lagos"/>
    <s v="Sea"/>
    <x v="1"/>
    <n v="559155.15999999992"/>
  </r>
  <r>
    <x v="2"/>
    <s v="Greenfield Agro Exporters Nigeria Limited"/>
    <x v="7"/>
    <s v="8/7/2021"/>
    <n v="232"/>
    <n v="40443.449999999997"/>
    <n v="8390.75"/>
    <n v="9382880.4000000004"/>
    <s v="Port Harcourt"/>
    <s v="Sea"/>
    <x v="1"/>
    <n v="1946654"/>
  </r>
  <r>
    <x v="2"/>
    <s v="Agro Allied Exporters Nigeria Limited"/>
    <x v="7"/>
    <s v="8/7/2021"/>
    <n v="231"/>
    <n v="37383.65"/>
    <n v="6025.9"/>
    <n v="8635623.1500000004"/>
    <s v="Lagos"/>
    <s v="Sea"/>
    <x v="1"/>
    <n v="1391982.9"/>
  </r>
  <r>
    <x v="2"/>
    <s v="Agro Allied Exporters Nigeria Limited"/>
    <x v="9"/>
    <s v="3/24/2021"/>
    <n v="564"/>
    <n v="23783.54"/>
    <n v="5997.33"/>
    <n v="13413916.560000001"/>
    <s v="Warri"/>
    <s v="Sea"/>
    <x v="1"/>
    <n v="3382494.12"/>
  </r>
  <r>
    <x v="2"/>
    <s v="Nigerian Export Promotion Council (NEPC)"/>
    <x v="9"/>
    <s v="6/30/2021"/>
    <n v="741"/>
    <n v="29609.45"/>
    <n v="7089.59"/>
    <n v="21940602.449999999"/>
    <s v="Port Harcourt"/>
    <s v="Sea"/>
    <x v="1"/>
    <n v="5253386.1900000004"/>
  </r>
  <r>
    <x v="2"/>
    <s v="Farmgate Nigeria Limited"/>
    <x v="0"/>
    <s v="10/2/2021"/>
    <n v="310"/>
    <n v="27530.43"/>
    <n v="2895.68"/>
    <n v="8534433.3000000007"/>
    <s v="Lagos"/>
    <s v="Sea"/>
    <x v="1"/>
    <n v="897660.79999999993"/>
  </r>
  <r>
    <x v="2"/>
    <s v="Golden Farms Nigeria Limited"/>
    <x v="0"/>
    <s v="2/26/2021"/>
    <n v="999"/>
    <n v="35396.620000000003"/>
    <n v="6036.55"/>
    <n v="35361223.380000003"/>
    <s v="Warri"/>
    <s v="Sea"/>
    <x v="1"/>
    <n v="6030513.4500000002"/>
  </r>
  <r>
    <x v="2"/>
    <s v="Agro Allied Exporters Nigeria Limited"/>
    <x v="1"/>
    <s v="10/1/2021"/>
    <n v="815"/>
    <n v="12663.48"/>
    <n v="6749.3"/>
    <n v="10320736.199999999"/>
    <s v="Port Harcourt"/>
    <s v="Sea"/>
    <x v="1"/>
    <n v="5500679.5"/>
  </r>
  <r>
    <x v="2"/>
    <s v="Greenfield Agro Exporters Nigeria Limited"/>
    <x v="1"/>
    <s v="8/17/2021"/>
    <n v="573"/>
    <n v="47666.720000000001"/>
    <n v="9323.9"/>
    <n v="27313030.559999999"/>
    <s v="Lagos"/>
    <s v="Sea"/>
    <x v="1"/>
    <n v="5342594.7"/>
  </r>
  <r>
    <x v="2"/>
    <s v="Prime Agro Exports Nigeria Limited"/>
    <x v="6"/>
    <s v="11/4/2021"/>
    <n v="871"/>
    <n v="44322.34"/>
    <n v="4441.17"/>
    <n v="38604758.140000001"/>
    <s v="Lagos"/>
    <s v="Sea"/>
    <x v="1"/>
    <n v="3868259.07"/>
  </r>
  <r>
    <x v="2"/>
    <s v="Golden Farms Nigeria Limited"/>
    <x v="6"/>
    <s v="11/8/2021"/>
    <n v="385"/>
    <n v="42207.48"/>
    <n v="2035.1"/>
    <n v="16249879.800000001"/>
    <s v="Lagos"/>
    <s v="Sea"/>
    <x v="1"/>
    <n v="783513.5"/>
  </r>
  <r>
    <x v="2"/>
    <s v="Nigerian Export Promotion Council (NEPC)"/>
    <x v="6"/>
    <s v="3/18/2021"/>
    <n v="619"/>
    <n v="35120.03"/>
    <n v="4158.59"/>
    <n v="21739298.57"/>
    <s v="Calabar"/>
    <s v="Sea"/>
    <x v="1"/>
    <n v="2574167.21"/>
  </r>
  <r>
    <x v="2"/>
    <s v="Greenfield Agro Exporters Nigeria Limited"/>
    <x v="6"/>
    <s v="3/19/2021"/>
    <n v="673"/>
    <n v="49924.06"/>
    <n v="9726.7900000000009"/>
    <n v="33598892.380000003"/>
    <s v="Lagos"/>
    <s v="Sea"/>
    <x v="1"/>
    <n v="6546129.6700000009"/>
  </r>
  <r>
    <x v="2"/>
    <s v="Nigerian Export Promotion Council (NEPC)"/>
    <x v="6"/>
    <s v="3/31/2021"/>
    <n v="673"/>
    <n v="45974"/>
    <n v="7313.46"/>
    <n v="30940502"/>
    <s v="Lagos"/>
    <s v="Sea"/>
    <x v="1"/>
    <n v="4921958.58"/>
  </r>
  <r>
    <x v="2"/>
    <s v="Golden Farms Nigeria Limited"/>
    <x v="6"/>
    <s v="5/27/2021"/>
    <n v="480"/>
    <n v="12519.37"/>
    <n v="8790.94"/>
    <n v="6009297.5999999996"/>
    <s v="Lagos"/>
    <s v="Sea"/>
    <x v="1"/>
    <n v="4219651.2"/>
  </r>
  <r>
    <x v="2"/>
    <s v="Farmgate Nigeria Limited"/>
    <x v="6"/>
    <s v="8/31/2021"/>
    <n v="296"/>
    <n v="15129.48"/>
    <n v="8612.34"/>
    <n v="4478326.08"/>
    <s v="Lagos"/>
    <s v="Sea"/>
    <x v="1"/>
    <n v="2549252.64"/>
  </r>
  <r>
    <x v="2"/>
    <s v="Nigerian Export Promotion Council (NEPC)"/>
    <x v="3"/>
    <s v="7/2/2021"/>
    <n v="648"/>
    <n v="32276.01"/>
    <n v="3180.07"/>
    <n v="20914854.48"/>
    <s v="Lagos"/>
    <s v="Sea"/>
    <x v="1"/>
    <n v="2060685.36"/>
  </r>
  <r>
    <x v="2"/>
    <s v="Nigeria Agro Export Company"/>
    <x v="3"/>
    <s v="7/7/2021"/>
    <n v="571"/>
    <n v="27712.14"/>
    <n v="6221.24"/>
    <n v="15823631.939999999"/>
    <s v="Lagos"/>
    <s v="Sea"/>
    <x v="1"/>
    <n v="3552328.04"/>
  </r>
  <r>
    <x v="2"/>
    <s v="Agro Export Nigeria Ltd"/>
    <x v="5"/>
    <s v="10/6/2021"/>
    <n v="660"/>
    <n v="29898.29"/>
    <n v="3852.77"/>
    <n v="19732871.399999999"/>
    <s v="Lagos"/>
    <s v="Sea"/>
    <x v="1"/>
    <n v="2542828.2000000002"/>
  </r>
  <r>
    <x v="2"/>
    <s v="Agriplus Nigeria Limited"/>
    <x v="5"/>
    <s v="12/13/2021"/>
    <n v="564"/>
    <n v="18024.78"/>
    <n v="9857.8700000000008"/>
    <n v="10165975.92"/>
    <s v="Lagos"/>
    <s v="Sea"/>
    <x v="1"/>
    <n v="5559838.6800000006"/>
  </r>
  <r>
    <x v="2"/>
    <s v="Nigerian Export Promotion Council (NEPC)"/>
    <x v="5"/>
    <s v="12/31/2021"/>
    <n v="544"/>
    <n v="31992.21"/>
    <n v="6314.66"/>
    <n v="17403762.239999998"/>
    <s v="Warri"/>
    <s v="Sea"/>
    <x v="1"/>
    <n v="3435175.04"/>
  </r>
  <r>
    <x v="2"/>
    <s v="Nigerian Export Promotion Council (NEPC)"/>
    <x v="4"/>
    <s v="12/14/2021"/>
    <n v="605"/>
    <n v="32275.27"/>
    <n v="4331.41"/>
    <n v="19526538.350000001"/>
    <s v="Lagos"/>
    <s v="Sea"/>
    <x v="1"/>
    <n v="2620503.0499999998"/>
  </r>
  <r>
    <x v="2"/>
    <s v="Agriplus Nigeria Limited"/>
    <x v="4"/>
    <s v="2/15/2021"/>
    <n v="520"/>
    <n v="25128.16"/>
    <n v="3894.72"/>
    <n v="13066643.199999999"/>
    <s v="Lagos"/>
    <s v="Sea"/>
    <x v="1"/>
    <n v="2025254.4"/>
  </r>
  <r>
    <x v="2"/>
    <s v="Agro Export Nigeria Ltd"/>
    <x v="8"/>
    <s v="3/7/2021"/>
    <n v="820"/>
    <n v="15596.18"/>
    <n v="8725.66"/>
    <n v="12788867.6"/>
    <s v="Lagos"/>
    <s v="Sea"/>
    <x v="1"/>
    <n v="7155041.2000000002"/>
  </r>
  <r>
    <x v="2"/>
    <s v="Greenfield Agro Exporters Nigeria Limited"/>
    <x v="2"/>
    <s v="10/1/2022"/>
    <n v="199"/>
    <n v="46862.07"/>
    <n v="7340.8"/>
    <n v="9325551.9299999997"/>
    <s v="Calabar"/>
    <s v="Sea"/>
    <x v="2"/>
    <n v="1460819.2"/>
  </r>
  <r>
    <x v="2"/>
    <s v="Greenfield Agro Exporters Nigeria Limited"/>
    <x v="2"/>
    <s v="10/14/2022"/>
    <n v="604"/>
    <n v="37692.51"/>
    <n v="5514.53"/>
    <n v="22766276.039999999"/>
    <s v="Port Harcourt"/>
    <s v="Sea"/>
    <x v="2"/>
    <n v="3330776.1199999996"/>
  </r>
  <r>
    <x v="2"/>
    <s v="Agro Allied Exporters Nigeria Limited"/>
    <x v="2"/>
    <s v="12/10/2022"/>
    <n v="270"/>
    <n v="14740.11"/>
    <n v="4400.0600000000004"/>
    <n v="3979829.7"/>
    <s v="Lagos"/>
    <s v="Sea"/>
    <x v="2"/>
    <n v="1188016.2000000002"/>
  </r>
  <r>
    <x v="2"/>
    <s v="Agriplus Nigeria Limited"/>
    <x v="2"/>
    <s v="6/2/2022"/>
    <n v="438"/>
    <n v="43305.68"/>
    <n v="9195.7199999999993"/>
    <n v="18967887.84"/>
    <s v="Lagos"/>
    <s v="Sea"/>
    <x v="2"/>
    <n v="4027725.36"/>
  </r>
  <r>
    <x v="2"/>
    <s v="Solid Agro Nigeria Limited"/>
    <x v="2"/>
    <s v="6/9/2022"/>
    <n v="930"/>
    <n v="40089.03"/>
    <n v="8651.1200000000008"/>
    <n v="37282797.899999999"/>
    <s v="Port Harcourt"/>
    <s v="Sea"/>
    <x v="2"/>
    <n v="8045541.6000000006"/>
  </r>
  <r>
    <x v="2"/>
    <s v="Golden Farms Nigeria Limited"/>
    <x v="2"/>
    <s v="7/16/2022"/>
    <n v="930"/>
    <n v="10155.64"/>
    <n v="7680.1"/>
    <n v="9444745.1999999993"/>
    <s v="Lagos"/>
    <s v="Sea"/>
    <x v="2"/>
    <n v="7142493"/>
  </r>
  <r>
    <x v="2"/>
    <s v="Solid Agro Nigeria Limited"/>
    <x v="2"/>
    <s v="9/6/2022"/>
    <n v="752"/>
    <n v="33682.199999999997"/>
    <n v="2116.71"/>
    <n v="25329014.399999999"/>
    <s v="Lagos"/>
    <s v="Sea"/>
    <x v="2"/>
    <n v="1591765.92"/>
  </r>
  <r>
    <x v="2"/>
    <s v="Prime Agro Exports Nigeria Limited"/>
    <x v="7"/>
    <s v="12/15/2022"/>
    <n v="285"/>
    <n v="31583.71"/>
    <n v="7018.27"/>
    <n v="9001357.3499999996"/>
    <s v="Lagos"/>
    <s v="Sea"/>
    <x v="2"/>
    <n v="2000206.9500000002"/>
  </r>
  <r>
    <x v="2"/>
    <s v="Agro Allied Exporters Nigeria Limited"/>
    <x v="7"/>
    <s v="2/6/2022"/>
    <n v="881"/>
    <n v="26436.880000000001"/>
    <n v="3810.84"/>
    <n v="23290891.280000001"/>
    <s v="Port Harcourt"/>
    <s v="Sea"/>
    <x v="2"/>
    <n v="3357350.04"/>
  </r>
  <r>
    <x v="2"/>
    <s v="Farmgate Nigeria Limited"/>
    <x v="7"/>
    <s v="3/23/2022"/>
    <n v="340"/>
    <n v="26117.99"/>
    <n v="2018.73"/>
    <n v="8880116.5999999996"/>
    <s v="Lagos"/>
    <s v="Sea"/>
    <x v="2"/>
    <n v="686368.2"/>
  </r>
  <r>
    <x v="2"/>
    <s v="Prime Agro Exports Nigeria Limited"/>
    <x v="7"/>
    <s v="6/13/2022"/>
    <n v="980"/>
    <n v="36784.33"/>
    <n v="3862.81"/>
    <n v="36048643.399999999"/>
    <s v="Lagos"/>
    <s v="Sea"/>
    <x v="2"/>
    <n v="3785553.8"/>
  </r>
  <r>
    <x v="2"/>
    <s v="Agriplus Nigeria Limited"/>
    <x v="7"/>
    <s v="7/2/2022"/>
    <n v="640"/>
    <n v="37592.199999999997"/>
    <n v="7882.03"/>
    <n v="24059008"/>
    <s v="Lagos"/>
    <s v="Sea"/>
    <x v="2"/>
    <n v="5044499.2"/>
  </r>
  <r>
    <x v="2"/>
    <s v="Agro Allied Exporters Nigeria Limited"/>
    <x v="3"/>
    <s v="7/2/2022"/>
    <n v="331"/>
    <n v="40975.54"/>
    <n v="5778.24"/>
    <n v="13562903.74"/>
    <s v="Calabar"/>
    <s v="Sea"/>
    <x v="2"/>
    <n v="1912597.44"/>
  </r>
  <r>
    <x v="2"/>
    <s v="Nigeria Agro Export Company"/>
    <x v="7"/>
    <s v="8/21/2022"/>
    <n v="337"/>
    <n v="12898.06"/>
    <n v="2443.4"/>
    <n v="4346646.22"/>
    <s v="Lagos"/>
    <s v="Sea"/>
    <x v="2"/>
    <n v="823425.8"/>
  </r>
  <r>
    <x v="2"/>
    <s v="Agro Allied Exporters Nigeria Limited"/>
    <x v="9"/>
    <s v="11/25/2022"/>
    <n v="273"/>
    <n v="29358.38"/>
    <n v="5452.34"/>
    <n v="8014837.7400000002"/>
    <s v="Warri"/>
    <s v="Sea"/>
    <x v="2"/>
    <n v="1488488.82"/>
  </r>
  <r>
    <x v="2"/>
    <s v="Agro Allied Exporters Nigeria Limited"/>
    <x v="9"/>
    <s v="2/12/2022"/>
    <n v="778"/>
    <n v="24299.4"/>
    <n v="7503.95"/>
    <n v="18904933.199999999"/>
    <s v="Lagos"/>
    <s v="Sea"/>
    <x v="2"/>
    <n v="5838073.0999999996"/>
  </r>
  <r>
    <x v="2"/>
    <s v="Farmgate Nigeria Limited"/>
    <x v="9"/>
    <s v="2/16/2022"/>
    <n v="972"/>
    <n v="12391.17"/>
    <n v="4739.75"/>
    <n v="12044217.24"/>
    <s v="Lagos"/>
    <s v="Sea"/>
    <x v="2"/>
    <n v="4607037"/>
  </r>
  <r>
    <x v="2"/>
    <s v="Golden Farms Nigeria Limited"/>
    <x v="9"/>
    <s v="6/7/2022"/>
    <n v="775"/>
    <n v="13645.3"/>
    <n v="6202.53"/>
    <n v="10575107.5"/>
    <s v="Warri"/>
    <s v="Sea"/>
    <x v="2"/>
    <n v="4806960.75"/>
  </r>
  <r>
    <x v="2"/>
    <s v="Golden Farms Nigeria Limited"/>
    <x v="0"/>
    <s v="6/7/2022"/>
    <n v="181"/>
    <n v="46007.28"/>
    <n v="9692.49"/>
    <n v="8327317.6799999997"/>
    <s v="Lagos"/>
    <s v="Sea"/>
    <x v="2"/>
    <n v="1754340.69"/>
  </r>
  <r>
    <x v="2"/>
    <s v="Farmgate Nigeria Limited"/>
    <x v="9"/>
    <s v="8/18/2022"/>
    <n v="583"/>
    <n v="31350.91"/>
    <n v="7272.46"/>
    <n v="18277580.530000001"/>
    <s v="Lagos"/>
    <s v="Sea"/>
    <x v="2"/>
    <n v="4239844.18"/>
  </r>
  <r>
    <x v="2"/>
    <s v="Agriplus Nigeria Limited"/>
    <x v="0"/>
    <s v="2/7/2022"/>
    <n v="113"/>
    <n v="47220.35"/>
    <n v="6292.5"/>
    <n v="5335899.55"/>
    <s v="Lagos"/>
    <s v="Sea"/>
    <x v="2"/>
    <n v="711052.5"/>
  </r>
  <r>
    <x v="2"/>
    <s v="Farmgate Nigeria Limited"/>
    <x v="0"/>
    <s v="4/29/2022"/>
    <n v="339"/>
    <n v="45625.14"/>
    <n v="4973.87"/>
    <n v="15466922.460000001"/>
    <s v="Lagos"/>
    <s v="Sea"/>
    <x v="2"/>
    <n v="1686141.93"/>
  </r>
  <r>
    <x v="2"/>
    <s v="Farmgate Nigeria Limited"/>
    <x v="0"/>
    <s v="5/26/2022"/>
    <n v="651"/>
    <n v="23667.26"/>
    <n v="6606.14"/>
    <n v="15407386.26"/>
    <s v="Lagos"/>
    <s v="Sea"/>
    <x v="2"/>
    <n v="4300597.1400000006"/>
  </r>
  <r>
    <x v="2"/>
    <s v="Agriplus Nigeria Limited"/>
    <x v="0"/>
    <s v="9/18/2022"/>
    <n v="512"/>
    <n v="40616.94"/>
    <n v="8997.44"/>
    <n v="20795873.280000001"/>
    <s v="Lagos"/>
    <s v="Sea"/>
    <x v="2"/>
    <n v="4606689.2800000003"/>
  </r>
  <r>
    <x v="2"/>
    <s v="Golden Farms Nigeria Limited"/>
    <x v="6"/>
    <s v="1/12/2022"/>
    <n v="994"/>
    <n v="38992.61"/>
    <n v="8142.85"/>
    <n v="38758654.340000004"/>
    <s v="Lagos"/>
    <s v="Sea"/>
    <x v="2"/>
    <n v="8093992.9000000004"/>
  </r>
  <r>
    <x v="2"/>
    <s v="Nigeria Agro Export Company"/>
    <x v="6"/>
    <s v="3/17/2022"/>
    <n v="746"/>
    <n v="11537.24"/>
    <n v="4261.71"/>
    <n v="8606781.0399999991"/>
    <s v="Calabar"/>
    <s v="Sea"/>
    <x v="2"/>
    <n v="3179235.66"/>
  </r>
  <r>
    <x v="2"/>
    <s v="Nigerian Export Promotion Council (NEPC)"/>
    <x v="6"/>
    <s v="3/5/2022"/>
    <n v="371"/>
    <n v="36210.54"/>
    <n v="3101.99"/>
    <n v="13434110.34"/>
    <s v="Calabar"/>
    <s v="Sea"/>
    <x v="2"/>
    <n v="1150838.2899999998"/>
  </r>
  <r>
    <x v="2"/>
    <s v="Greenfield Agro Exporters Nigeria Limited"/>
    <x v="6"/>
    <s v="7/18/2022"/>
    <n v="945"/>
    <n v="32510.05"/>
    <n v="5669.22"/>
    <n v="30721997.25"/>
    <s v="Warri"/>
    <s v="Sea"/>
    <x v="2"/>
    <n v="5357412.9000000004"/>
  </r>
  <r>
    <x v="2"/>
    <s v="Solid Agro Nigeria Limited"/>
    <x v="4"/>
    <s v="7/18/2022"/>
    <n v="357"/>
    <n v="46900.29"/>
    <n v="2786.12"/>
    <n v="16743403.529999999"/>
    <s v="Port Harcourt"/>
    <s v="Sea"/>
    <x v="2"/>
    <n v="994644.84"/>
  </r>
  <r>
    <x v="2"/>
    <s v="Agro Allied Exporters Nigeria Limited"/>
    <x v="6"/>
    <s v="7/7/2022"/>
    <n v="954"/>
    <n v="32313.86"/>
    <n v="6873.64"/>
    <n v="30827422.440000001"/>
    <s v="Port Harcourt"/>
    <s v="Sea"/>
    <x v="2"/>
    <n v="6557452.5600000005"/>
  </r>
  <r>
    <x v="2"/>
    <s v="Solid Agro Nigeria Limited"/>
    <x v="6"/>
    <s v="8/10/2022"/>
    <n v="248"/>
    <n v="47005.31"/>
    <n v="9451.99"/>
    <n v="11657316.880000001"/>
    <s v="Lagos"/>
    <s v="Sea"/>
    <x v="2"/>
    <n v="2344093.52"/>
  </r>
  <r>
    <x v="2"/>
    <s v="Solid Agro Nigeria Limited"/>
    <x v="3"/>
    <s v="1/9/2022"/>
    <n v="394"/>
    <n v="32556.2"/>
    <n v="8455.9699999999993"/>
    <n v="12827142.800000001"/>
    <s v="Warri"/>
    <s v="Sea"/>
    <x v="2"/>
    <n v="3331652.1799999997"/>
  </r>
  <r>
    <x v="2"/>
    <s v="Nigerian Export Promotion Council (NEPC)"/>
    <x v="3"/>
    <s v="4/24/2022"/>
    <n v="951"/>
    <n v="49548.71"/>
    <n v="5274.5"/>
    <n v="47120823.210000001"/>
    <s v="Lagos"/>
    <s v="Sea"/>
    <x v="2"/>
    <n v="5016049.5"/>
  </r>
  <r>
    <x v="2"/>
    <s v="Golden Farms Nigeria Limited"/>
    <x v="4"/>
    <s v="12/6/2022"/>
    <n v="285"/>
    <n v="15478.05"/>
    <n v="4402.63"/>
    <n v="4411244.25"/>
    <s v="Calabar"/>
    <s v="Sea"/>
    <x v="2"/>
    <n v="1254749.55"/>
  </r>
  <r>
    <x v="2"/>
    <s v="Nigeria Agro Export Company"/>
    <x v="4"/>
    <s v="3/7/2022"/>
    <n v="305"/>
    <n v="21673.21"/>
    <n v="7611.27"/>
    <n v="6610329.0499999998"/>
    <s v="Lagos"/>
    <s v="Sea"/>
    <x v="2"/>
    <n v="2321437.35"/>
  </r>
  <r>
    <x v="2"/>
    <s v="Agro Allied Exporters Nigeria Limited"/>
    <x v="4"/>
    <s v="8/23/2022"/>
    <n v="639"/>
    <n v="35392.97"/>
    <n v="6671.2"/>
    <n v="22616107.829999998"/>
    <s v="Warri"/>
    <s v="Sea"/>
    <x v="2"/>
    <n v="4262896.8"/>
  </r>
  <r>
    <x v="2"/>
    <s v="Agro Allied Exporters Nigeria Limited"/>
    <x v="2"/>
    <s v="2/18/2023"/>
    <n v="172"/>
    <n v="19594.66"/>
    <n v="9712"/>
    <n v="3370281.52"/>
    <s v="Warri"/>
    <s v="Sea"/>
    <x v="3"/>
    <n v="1670464"/>
  </r>
  <r>
    <x v="2"/>
    <s v="Nigeria Agro Export Company"/>
    <x v="2"/>
    <s v="2/21/2023"/>
    <n v="938"/>
    <n v="29055.81"/>
    <n v="3557.94"/>
    <n v="27254349.780000001"/>
    <s v="Calabar"/>
    <s v="Sea"/>
    <x v="3"/>
    <n v="3337347.72"/>
  </r>
  <r>
    <x v="2"/>
    <s v="Agriplus Nigeria Limited"/>
    <x v="2"/>
    <s v="6/7/2023"/>
    <n v="540"/>
    <n v="45317.85"/>
    <n v="7712.76"/>
    <n v="24471639"/>
    <s v="Warri"/>
    <s v="Sea"/>
    <x v="3"/>
    <n v="4164890.4"/>
  </r>
  <r>
    <x v="2"/>
    <s v="Solid Agro Nigeria Limited"/>
    <x v="2"/>
    <s v="7/18/2023"/>
    <n v="238"/>
    <n v="26925.18"/>
    <n v="2901.45"/>
    <n v="6408192.8399999999"/>
    <s v="Lagos"/>
    <s v="Sea"/>
    <x v="3"/>
    <n v="690545.1"/>
  </r>
  <r>
    <x v="2"/>
    <s v="Golden Farms Nigeria Limited"/>
    <x v="9"/>
    <s v="7/18/2023"/>
    <n v="948"/>
    <n v="14062.61"/>
    <n v="7842.17"/>
    <n v="13331354.279999999"/>
    <s v="Warri"/>
    <s v="Sea"/>
    <x v="3"/>
    <n v="7434377.1600000001"/>
  </r>
  <r>
    <x v="2"/>
    <s v="Solid Agro Nigeria Limited"/>
    <x v="2"/>
    <s v="9/15/2023"/>
    <n v="222"/>
    <n v="28231.62"/>
    <n v="7367.68"/>
    <n v="6267419.6399999997"/>
    <s v="Lagos"/>
    <s v="Sea"/>
    <x v="3"/>
    <n v="1635624.96"/>
  </r>
  <r>
    <x v="2"/>
    <s v="Nigeria Agro Export Company"/>
    <x v="2"/>
    <s v="9/20/2023"/>
    <n v="264"/>
    <n v="49192.22"/>
    <n v="4003.23"/>
    <n v="12986746.08"/>
    <s v="Port Harcourt"/>
    <s v="Sea"/>
    <x v="3"/>
    <n v="1056852.72"/>
  </r>
  <r>
    <x v="2"/>
    <s v="Farmgate Nigeria Limited"/>
    <x v="2"/>
    <s v="9/26/2023"/>
    <n v="250"/>
    <n v="39171.51"/>
    <n v="5314.78"/>
    <n v="9792877.5"/>
    <s v="Port Harcourt"/>
    <s v="Sea"/>
    <x v="3"/>
    <n v="1328695"/>
  </r>
  <r>
    <x v="2"/>
    <s v="Golden Farms Nigeria Limited"/>
    <x v="7"/>
    <s v="10/23/2023"/>
    <n v="657"/>
    <n v="42148.94"/>
    <n v="5773.97"/>
    <n v="27691853.579999998"/>
    <s v="Calabar"/>
    <s v="Sea"/>
    <x v="3"/>
    <n v="3793498.29"/>
  </r>
  <r>
    <x v="2"/>
    <s v="Nigerian Export Promotion Council (NEPC)"/>
    <x v="7"/>
    <s v="12/23/2023"/>
    <n v="354"/>
    <n v="16810.169999999998"/>
    <n v="7303.36"/>
    <n v="5950800.1799999997"/>
    <s v="Port Harcourt"/>
    <s v="Sea"/>
    <x v="3"/>
    <n v="2585389.44"/>
  </r>
  <r>
    <x v="2"/>
    <s v="Agro Allied Exporters Nigeria Limited"/>
    <x v="7"/>
    <s v="2/23/2023"/>
    <n v="981"/>
    <n v="39948.71"/>
    <n v="5611.36"/>
    <n v="39189684.509999998"/>
    <s v="Warri"/>
    <s v="Sea"/>
    <x v="3"/>
    <n v="5504744.1599999992"/>
  </r>
  <r>
    <x v="2"/>
    <s v="Solid Agro Nigeria Limited"/>
    <x v="7"/>
    <s v="5/23/2023"/>
    <n v="708"/>
    <n v="34554.94"/>
    <n v="4062.57"/>
    <n v="24464897.52"/>
    <s v="Lagos"/>
    <s v="Sea"/>
    <x v="3"/>
    <n v="2876299.56"/>
  </r>
  <r>
    <x v="2"/>
    <s v="Agriplus Nigeria Limited"/>
    <x v="9"/>
    <s v="4/1/2023"/>
    <n v="366"/>
    <n v="37718.550000000003"/>
    <n v="3056.13"/>
    <n v="13804989.300000001"/>
    <s v="Lagos"/>
    <s v="Sea"/>
    <x v="3"/>
    <n v="1118543.58"/>
  </r>
  <r>
    <x v="2"/>
    <s v="Nigerian Export Promotion Council (NEPC)"/>
    <x v="8"/>
    <s v="4/1/2023"/>
    <n v="902"/>
    <n v="26139.97"/>
    <n v="4595.3900000000003"/>
    <n v="23578252.940000001"/>
    <s v="Warri"/>
    <s v="Sea"/>
    <x v="3"/>
    <n v="4145041.7800000003"/>
  </r>
  <r>
    <x v="2"/>
    <s v="Farmgate Nigeria Limited"/>
    <x v="9"/>
    <s v="4/14/2023"/>
    <n v="166"/>
    <n v="21132.81"/>
    <n v="7252.84"/>
    <n v="3508046.46"/>
    <s v="Lagos"/>
    <s v="Sea"/>
    <x v="3"/>
    <n v="1203971.44"/>
  </r>
  <r>
    <x v="2"/>
    <s v="Greenfield Agro Exporters Nigeria Limited"/>
    <x v="9"/>
    <s v="8/17/2023"/>
    <n v="164"/>
    <n v="44326.559999999998"/>
    <n v="5980.31"/>
    <n v="7269555.8399999999"/>
    <s v="Calabar"/>
    <s v="Sea"/>
    <x v="3"/>
    <n v="980770.84000000008"/>
  </r>
  <r>
    <x v="2"/>
    <s v="Agro Allied Exporters Nigeria Limited"/>
    <x v="0"/>
    <s v="1/18/2023"/>
    <n v="179"/>
    <n v="13561.99"/>
    <n v="7189.28"/>
    <n v="2427596.21"/>
    <s v="Lagos"/>
    <s v="Sea"/>
    <x v="3"/>
    <n v="1286881.1199999999"/>
  </r>
  <r>
    <x v="2"/>
    <s v="Agriplus Nigeria Limited"/>
    <x v="6"/>
    <s v="1/18/2023"/>
    <n v="507"/>
    <n v="25077"/>
    <n v="4342.1899999999996"/>
    <n v="12714039"/>
    <s v="Calabar"/>
    <s v="Sea"/>
    <x v="3"/>
    <n v="2201490.3299999996"/>
  </r>
  <r>
    <x v="2"/>
    <s v="Greenfield Agro Exporters Nigeria Limited"/>
    <x v="0"/>
    <s v="10/12/2023"/>
    <n v="997"/>
    <n v="32753.279999999999"/>
    <n v="8951.58"/>
    <n v="32655020.16"/>
    <s v="Calabar"/>
    <s v="Sea"/>
    <x v="3"/>
    <n v="8924725.2599999998"/>
  </r>
  <r>
    <x v="2"/>
    <s v="Solid Agro Nigeria Limited"/>
    <x v="0"/>
    <s v="2/5/2023"/>
    <n v="813"/>
    <n v="17261.98"/>
    <n v="4878.03"/>
    <n v="14033989.74"/>
    <s v="Lagos"/>
    <s v="Sea"/>
    <x v="3"/>
    <n v="3965838.3899999997"/>
  </r>
  <r>
    <x v="2"/>
    <s v="Prime Agro Exports Nigeria Limited"/>
    <x v="0"/>
    <s v="3/20/2023"/>
    <n v="383"/>
    <n v="10974.92"/>
    <n v="2308.7800000000002"/>
    <n v="4203394.3600000003"/>
    <s v="Warri"/>
    <s v="Sea"/>
    <x v="3"/>
    <n v="884262.74000000011"/>
  </r>
  <r>
    <x v="2"/>
    <s v="Prime Agro Exports Nigeria Limited"/>
    <x v="0"/>
    <s v="6/21/2023"/>
    <n v="212"/>
    <n v="18804.84"/>
    <n v="4332.0200000000004"/>
    <n v="3986626.08"/>
    <s v="Lagos"/>
    <s v="Sea"/>
    <x v="3"/>
    <n v="918388.24000000011"/>
  </r>
  <r>
    <x v="2"/>
    <s v="Nigeria Agro Export Company"/>
    <x v="1"/>
    <s v="1/12/2023"/>
    <n v="295"/>
    <n v="15255.06"/>
    <n v="5692.82"/>
    <n v="4500242.7"/>
    <s v="Warri"/>
    <s v="Sea"/>
    <x v="3"/>
    <n v="1679381.9"/>
  </r>
  <r>
    <x v="2"/>
    <s v="Nigerian Export Promotion Council (NEPC)"/>
    <x v="1"/>
    <s v="1/20/2023"/>
    <n v="839"/>
    <n v="42307.64"/>
    <n v="2725.48"/>
    <n v="35496109.960000001"/>
    <s v="Lagos"/>
    <s v="Sea"/>
    <x v="3"/>
    <n v="2286677.7200000002"/>
  </r>
  <r>
    <x v="2"/>
    <s v="Agro Export Nigeria Ltd"/>
    <x v="1"/>
    <s v="1/5/2023"/>
    <n v="639"/>
    <n v="46793.26"/>
    <n v="2626.29"/>
    <n v="29900893.140000001"/>
    <s v="Calabar"/>
    <s v="Sea"/>
    <x v="3"/>
    <n v="1678199.31"/>
  </r>
  <r>
    <x v="2"/>
    <s v="Golden Farms Nigeria Limited"/>
    <x v="1"/>
    <s v="12/17/2023"/>
    <n v="856"/>
    <n v="25955.18"/>
    <n v="8075.39"/>
    <n v="22217634.079999998"/>
    <s v="Warri"/>
    <s v="Sea"/>
    <x v="3"/>
    <n v="6912533.8399999999"/>
  </r>
  <r>
    <x v="2"/>
    <s v="Prime Agro Exports Nigeria Limited"/>
    <x v="1"/>
    <s v="2/24/2023"/>
    <n v="696"/>
    <n v="29398.99"/>
    <n v="4816.3"/>
    <n v="20461697.039999999"/>
    <s v="Lagos"/>
    <s v="Sea"/>
    <x v="3"/>
    <n v="3352144.8000000003"/>
  </r>
  <r>
    <x v="2"/>
    <s v="Solid Agro Nigeria Limited"/>
    <x v="6"/>
    <s v="11/30/2023"/>
    <n v="896"/>
    <n v="37856.44"/>
    <n v="8880.76"/>
    <n v="33919370.240000002"/>
    <s v="Lagos"/>
    <s v="Sea"/>
    <x v="3"/>
    <n v="7957160.96"/>
  </r>
  <r>
    <x v="2"/>
    <s v="Prime Agro Exports Nigeria Limited"/>
    <x v="6"/>
    <s v="12/9/2023"/>
    <n v="800"/>
    <n v="44815.63"/>
    <n v="8719.48"/>
    <n v="35852504"/>
    <s v="Warri"/>
    <s v="Sea"/>
    <x v="3"/>
    <n v="6975584"/>
  </r>
  <r>
    <x v="2"/>
    <s v="Agro Export Nigeria Ltd"/>
    <x v="6"/>
    <s v="8/11/2023"/>
    <n v="581"/>
    <n v="36715.879999999997"/>
    <n v="9369.14"/>
    <n v="21331926.280000001"/>
    <s v="Lagos"/>
    <s v="Sea"/>
    <x v="3"/>
    <n v="5443470.3399999999"/>
  </r>
  <r>
    <x v="2"/>
    <s v="Agro Export Nigeria Ltd"/>
    <x v="3"/>
    <s v="3/4/2023"/>
    <n v="513"/>
    <n v="40829.589999999997"/>
    <n v="5780.88"/>
    <n v="20945579.670000002"/>
    <s v="Calabar"/>
    <s v="Sea"/>
    <x v="3"/>
    <n v="2965591.44"/>
  </r>
  <r>
    <x v="2"/>
    <s v="Agro Export Nigeria Ltd"/>
    <x v="3"/>
    <s v="7/29/2023"/>
    <n v="283"/>
    <n v="24034.1"/>
    <n v="8798.82"/>
    <n v="6801650.2999999998"/>
    <s v="Lagos"/>
    <s v="Sea"/>
    <x v="3"/>
    <n v="2490066.06"/>
  </r>
  <r>
    <x v="2"/>
    <s v="Prime Agro Exports Nigeria Limited"/>
    <x v="3"/>
    <s v="9/21/2023"/>
    <n v="499"/>
    <n v="39950.239999999998"/>
    <n v="6053.8"/>
    <n v="19935169.760000002"/>
    <s v="Lagos"/>
    <s v="Sea"/>
    <x v="3"/>
    <n v="3020846.2"/>
  </r>
  <r>
    <x v="2"/>
    <s v="Farmgate Nigeria Limited"/>
    <x v="5"/>
    <s v="6/16/2023"/>
    <n v="513"/>
    <n v="39875.46"/>
    <n v="4915.93"/>
    <n v="20456110.98"/>
    <s v="Port Harcourt"/>
    <s v="Sea"/>
    <x v="3"/>
    <n v="2521872.0900000003"/>
  </r>
  <r>
    <x v="2"/>
    <s v="Greenfield Agro Exporters Nigeria Limited"/>
    <x v="5"/>
    <s v="8/23/2023"/>
    <n v="858"/>
    <n v="41834.28"/>
    <n v="2100.66"/>
    <n v="35893812.240000002"/>
    <s v="Lagos"/>
    <s v="Sea"/>
    <x v="3"/>
    <n v="1802366.2799999998"/>
  </r>
  <r>
    <x v="2"/>
    <s v="Prime Agro Exports Nigeria Limited"/>
    <x v="4"/>
    <s v="1/21/2023"/>
    <n v="906"/>
    <n v="32575.54"/>
    <n v="9617.59"/>
    <n v="29513439.239999998"/>
    <s v="Lagos"/>
    <s v="Sea"/>
    <x v="3"/>
    <n v="8713536.540000001"/>
  </r>
  <r>
    <x v="2"/>
    <s v="Golden Farms Nigeria Limited"/>
    <x v="4"/>
    <s v="11/25/2023"/>
    <n v="881"/>
    <n v="41023.599999999999"/>
    <n v="9427.2999999999993"/>
    <n v="36141791.600000001"/>
    <s v="Port Harcourt"/>
    <s v="Sea"/>
    <x v="3"/>
    <n v="8305451.2999999998"/>
  </r>
  <r>
    <x v="2"/>
    <s v="Farmgate Nigeria Limited"/>
    <x v="4"/>
    <s v="9/16/2023"/>
    <n v="989"/>
    <n v="31752.95"/>
    <n v="7600.6"/>
    <n v="31403667.550000001"/>
    <s v="Warri"/>
    <s v="Sea"/>
    <x v="3"/>
    <n v="7516993.4000000004"/>
  </r>
  <r>
    <x v="2"/>
    <s v="Agro Allied Exporters Nigeria Limited"/>
    <x v="8"/>
    <s v="11/16/2023"/>
    <n v="410"/>
    <n v="33864.480000000003"/>
    <n v="7060.48"/>
    <n v="13884436.800000001"/>
    <s v="Lagos"/>
    <s v="Sea"/>
    <x v="3"/>
    <n v="2894796.7999999998"/>
  </r>
  <r>
    <x v="2"/>
    <s v="Prime Agro Exports Nigeria Limited"/>
    <x v="8"/>
    <s v="11/20/2023"/>
    <n v="372"/>
    <n v="43946.38"/>
    <n v="6638.27"/>
    <n v="16348053.359999999"/>
    <s v="Lagos"/>
    <s v="Sea"/>
    <x v="3"/>
    <n v="2469436.44"/>
  </r>
  <r>
    <x v="3"/>
    <s v="Agro Export Nigeria Ltd"/>
    <x v="5"/>
    <s v="1/8/2020"/>
    <n v="866"/>
    <n v="37209.43"/>
    <n v="8028.81"/>
    <n v="32223366.379999999"/>
    <s v="Lagos"/>
    <s v="Sea"/>
    <x v="0"/>
    <n v="6952949.46"/>
  </r>
  <r>
    <x v="3"/>
    <s v="Agro Export Nigeria Ltd"/>
    <x v="5"/>
    <s v="10/15/2020"/>
    <n v="686"/>
    <n v="20272.96"/>
    <n v="8833.6299999999992"/>
    <n v="13907250.560000001"/>
    <s v="Lagos"/>
    <s v="Sea"/>
    <x v="0"/>
    <n v="6059870.1799999997"/>
  </r>
  <r>
    <x v="3"/>
    <s v="Agro Allied Exporters Nigeria Limited"/>
    <x v="5"/>
    <s v="11/13/2020"/>
    <n v="419"/>
    <n v="11329.85"/>
    <n v="3545.89"/>
    <n v="4747207.1500000004"/>
    <s v="Lagos"/>
    <s v="Sea"/>
    <x v="0"/>
    <n v="1485727.91"/>
  </r>
  <r>
    <x v="3"/>
    <s v="Agro Export Nigeria Ltd"/>
    <x v="0"/>
    <s v="3/25/2020"/>
    <n v="372"/>
    <n v="20678.919999999998"/>
    <n v="6836.12"/>
    <n v="7692558.2400000002"/>
    <s v="Warri"/>
    <s v="Sea"/>
    <x v="0"/>
    <n v="2543036.64"/>
  </r>
  <r>
    <x v="3"/>
    <s v="Agriplus Nigeria Limited"/>
    <x v="0"/>
    <s v="6/13/2020"/>
    <n v="525"/>
    <n v="33769.46"/>
    <n v="4015.3"/>
    <n v="17728966.5"/>
    <s v="Lagos"/>
    <s v="Sea"/>
    <x v="0"/>
    <n v="2108032.5"/>
  </r>
  <r>
    <x v="3"/>
    <s v="Nigerian Export Promotion Council (NEPC)"/>
    <x v="0"/>
    <s v="6/16/2020"/>
    <n v="115"/>
    <n v="25006.63"/>
    <n v="5301.73"/>
    <n v="2875762.45"/>
    <s v="Warri"/>
    <s v="Sea"/>
    <x v="0"/>
    <n v="609698.94999999995"/>
  </r>
  <r>
    <x v="3"/>
    <s v="Farmgate Nigeria Limited"/>
    <x v="1"/>
    <s v="6/16/2020"/>
    <n v="647"/>
    <n v="40768.559999999998"/>
    <n v="8852.0499999999993"/>
    <n v="26377258.32"/>
    <s v="Port Harcourt"/>
    <s v="Sea"/>
    <x v="0"/>
    <n v="5727276.3499999996"/>
  </r>
  <r>
    <x v="3"/>
    <s v="Nigeria Agro Export Company"/>
    <x v="0"/>
    <s v="7/25/2020"/>
    <n v="443"/>
    <n v="27640.45"/>
    <n v="7433.24"/>
    <n v="12244719.35"/>
    <s v="Calabar"/>
    <s v="Sea"/>
    <x v="0"/>
    <n v="3292925.32"/>
  </r>
  <r>
    <x v="3"/>
    <s v="Golden Farms Nigeria Limited"/>
    <x v="7"/>
    <s v="1/13/2020"/>
    <n v="472"/>
    <n v="15687.36"/>
    <n v="2000.3"/>
    <n v="7404433.9199999999"/>
    <s v="Calabar"/>
    <s v="Sea"/>
    <x v="0"/>
    <n v="944141.6"/>
  </r>
  <r>
    <x v="3"/>
    <s v="Golden Farms Nigeria Limited"/>
    <x v="3"/>
    <s v="1/13/2020"/>
    <n v="967"/>
    <n v="22317.21"/>
    <n v="8745.61"/>
    <n v="21580742.07"/>
    <s v="Calabar"/>
    <s v="Sea"/>
    <x v="0"/>
    <n v="8457004.870000001"/>
  </r>
  <r>
    <x v="3"/>
    <s v="Agriplus Nigeria Limited"/>
    <x v="7"/>
    <s v="12/12/2020"/>
    <n v="568"/>
    <n v="39056.870000000003"/>
    <n v="7655.01"/>
    <n v="22184302.16"/>
    <s v="Lagos"/>
    <s v="Sea"/>
    <x v="0"/>
    <n v="4348045.68"/>
  </r>
  <r>
    <x v="3"/>
    <s v="Farmgate Nigeria Limited"/>
    <x v="7"/>
    <s v="6/28/2020"/>
    <n v="371"/>
    <n v="15691.82"/>
    <n v="6331.62"/>
    <n v="5821665.2199999997"/>
    <s v="Lagos"/>
    <s v="Sea"/>
    <x v="0"/>
    <n v="2349031.02"/>
  </r>
  <r>
    <x v="3"/>
    <s v="Agro Export Nigeria Ltd"/>
    <x v="7"/>
    <s v="8/11/2020"/>
    <n v="467"/>
    <n v="17621.38"/>
    <n v="4867.75"/>
    <n v="8229184.46"/>
    <s v="Lagos"/>
    <s v="Sea"/>
    <x v="0"/>
    <n v="2273239.25"/>
  </r>
  <r>
    <x v="3"/>
    <s v="Nigerian Export Promotion Council (NEPC)"/>
    <x v="4"/>
    <s v="12/2/2020"/>
    <n v="295"/>
    <n v="37960.85"/>
    <n v="4804.0200000000004"/>
    <n v="11198450.75"/>
    <s v="Warri"/>
    <s v="Sea"/>
    <x v="0"/>
    <n v="1417185.9000000001"/>
  </r>
  <r>
    <x v="3"/>
    <s v="Prime Agro Exports Nigeria Limited"/>
    <x v="4"/>
    <s v="12/25/2020"/>
    <n v="925"/>
    <n v="13785.14"/>
    <n v="8374.84"/>
    <n v="12751254.5"/>
    <s v="Lagos"/>
    <s v="Sea"/>
    <x v="0"/>
    <n v="7746727"/>
  </r>
  <r>
    <x v="3"/>
    <s v="Solid Agro Nigeria Limited"/>
    <x v="4"/>
    <s v="3/5/2020"/>
    <n v="224"/>
    <n v="45093.4"/>
    <n v="7090.2"/>
    <n v="10100921.6"/>
    <s v="Lagos"/>
    <s v="Sea"/>
    <x v="0"/>
    <n v="1588204.8"/>
  </r>
  <r>
    <x v="3"/>
    <s v="Agro Export Nigeria Ltd"/>
    <x v="8"/>
    <s v="3/5/2020"/>
    <n v="303"/>
    <n v="16552.77"/>
    <n v="2426.6999999999998"/>
    <n v="5015489.3099999996"/>
    <s v="Lagos"/>
    <s v="Sea"/>
    <x v="0"/>
    <n v="735290.1"/>
  </r>
  <r>
    <x v="3"/>
    <s v="Agriplus Nigeria Limited"/>
    <x v="4"/>
    <s v="7/18/2020"/>
    <n v="361"/>
    <n v="23661.98"/>
    <n v="2145.5700000000002"/>
    <n v="8541974.7799999993"/>
    <s v="Lagos"/>
    <s v="Sea"/>
    <x v="0"/>
    <n v="774550.77"/>
  </r>
  <r>
    <x v="3"/>
    <s v="Nigerian Export Promotion Council (NEPC)"/>
    <x v="1"/>
    <s v="4/23/2020"/>
    <n v="525"/>
    <n v="45333.56"/>
    <n v="8558.6200000000008"/>
    <n v="23800119"/>
    <s v="Lagos"/>
    <s v="Sea"/>
    <x v="0"/>
    <n v="4493275.5"/>
  </r>
  <r>
    <x v="3"/>
    <s v="Prime Agro Exports Nigeria Limited"/>
    <x v="8"/>
    <s v="2/8/2020"/>
    <n v="459"/>
    <n v="30252.46"/>
    <n v="2958.05"/>
    <n v="13885879.140000001"/>
    <s v="Port Harcourt"/>
    <s v="Sea"/>
    <x v="0"/>
    <n v="1357744.9500000002"/>
  </r>
  <r>
    <x v="3"/>
    <s v="Greenfield Agro Exporters Nigeria Limited"/>
    <x v="8"/>
    <s v="4/15/2020"/>
    <n v="175"/>
    <n v="15018.73"/>
    <n v="9030.94"/>
    <n v="2628277.75"/>
    <s v="Lagos"/>
    <s v="Sea"/>
    <x v="0"/>
    <n v="1580414.5"/>
  </r>
  <r>
    <x v="3"/>
    <s v="Farmgate Nigeria Limited"/>
    <x v="8"/>
    <s v="7/17/2020"/>
    <n v="499"/>
    <n v="20654.53"/>
    <n v="9398.3799999999992"/>
    <n v="10306610.470000001"/>
    <s v="Lagos"/>
    <s v="Sea"/>
    <x v="0"/>
    <n v="4689791.6199999992"/>
  </r>
  <r>
    <x v="3"/>
    <s v="Agro Export Nigeria Ltd"/>
    <x v="8"/>
    <s v="7/23/2020"/>
    <n v="522"/>
    <n v="38587.910000000003"/>
    <n v="7291.1"/>
    <n v="20142889.02"/>
    <s v="Lagos"/>
    <s v="Sea"/>
    <x v="0"/>
    <n v="3805954.2"/>
  </r>
  <r>
    <x v="3"/>
    <s v="Nigerian Export Promotion Council (NEPC)"/>
    <x v="3"/>
    <s v="6/2/2020"/>
    <n v="732"/>
    <n v="11168.28"/>
    <n v="6791.68"/>
    <n v="8175180.96"/>
    <s v="Warri"/>
    <s v="Sea"/>
    <x v="0"/>
    <n v="4971509.7599999998"/>
  </r>
  <r>
    <x v="3"/>
    <s v="Nigerian Export Promotion Council (NEPC)"/>
    <x v="2"/>
    <s v="12/15/2020"/>
    <n v="824"/>
    <n v="25390.880000000001"/>
    <n v="8773"/>
    <n v="20922085.120000001"/>
    <s v="Lagos"/>
    <s v="Sea"/>
    <x v="0"/>
    <n v="7228952"/>
  </r>
  <r>
    <x v="3"/>
    <s v="Agriplus Nigeria Limited"/>
    <x v="5"/>
    <s v="6/21/2021"/>
    <n v="566"/>
    <n v="15516.87"/>
    <n v="3043.78"/>
    <n v="8782548.4199999999"/>
    <s v="Warri"/>
    <s v="Sea"/>
    <x v="1"/>
    <n v="1722779.4800000002"/>
  </r>
  <r>
    <x v="3"/>
    <s v="Farmgate Nigeria Limited"/>
    <x v="0"/>
    <s v="1/29/2021"/>
    <n v="307"/>
    <n v="20303.59"/>
    <n v="7637.18"/>
    <n v="6233202.1299999999"/>
    <s v="Lagos"/>
    <s v="Sea"/>
    <x v="1"/>
    <n v="2344614.2600000002"/>
  </r>
  <r>
    <x v="3"/>
    <s v="Farmgate Nigeria Limited"/>
    <x v="0"/>
    <s v="5/10/2021"/>
    <n v="568"/>
    <n v="37507.870000000003"/>
    <n v="4346.03"/>
    <n v="21304470.16"/>
    <s v="Lagos"/>
    <s v="Sea"/>
    <x v="1"/>
    <n v="2468545.04"/>
  </r>
  <r>
    <x v="3"/>
    <s v="Farmgate Nigeria Limited"/>
    <x v="0"/>
    <s v="6/23/2021"/>
    <n v="414"/>
    <n v="26446.32"/>
    <n v="9849.4500000000007"/>
    <n v="10948776.48"/>
    <s v="Warri"/>
    <s v="Sea"/>
    <x v="1"/>
    <n v="4077672.3000000003"/>
  </r>
  <r>
    <x v="3"/>
    <s v="Agro Export Nigeria Ltd"/>
    <x v="7"/>
    <s v="11/13/2021"/>
    <n v="385"/>
    <n v="21988.74"/>
    <n v="2986.5"/>
    <n v="8465664.9000000004"/>
    <s v="Lagos"/>
    <s v="Sea"/>
    <x v="1"/>
    <n v="1149802.5"/>
  </r>
  <r>
    <x v="3"/>
    <s v="Greenfield Agro Exporters Nigeria Limited"/>
    <x v="7"/>
    <s v="12/15/2021"/>
    <n v="525"/>
    <n v="21719.7"/>
    <n v="9485.0499999999993"/>
    <n v="11402842.5"/>
    <s v="Lagos"/>
    <s v="Sea"/>
    <x v="1"/>
    <n v="4979651.25"/>
  </r>
  <r>
    <x v="3"/>
    <s v="Agro Allied Exporters Nigeria Limited"/>
    <x v="7"/>
    <s v="4/22/2021"/>
    <n v="985"/>
    <n v="22041.82"/>
    <n v="9336.1200000000008"/>
    <n v="21711192.699999999"/>
    <s v="Port Harcourt"/>
    <s v="Sea"/>
    <x v="1"/>
    <n v="9196078.2000000011"/>
  </r>
  <r>
    <x v="3"/>
    <s v="Solid Agro Nigeria Limited"/>
    <x v="7"/>
    <s v="5/9/2021"/>
    <n v="539"/>
    <n v="44640.26"/>
    <n v="6879.9"/>
    <n v="24061100.140000001"/>
    <s v="Lagos"/>
    <s v="Sea"/>
    <x v="1"/>
    <n v="3708266.0999999996"/>
  </r>
  <r>
    <x v="3"/>
    <s v="Agriplus Nigeria Limited"/>
    <x v="7"/>
    <s v="7/6/2021"/>
    <n v="631"/>
    <n v="13405.98"/>
    <n v="9333.15"/>
    <n v="8459173.3800000008"/>
    <s v="Lagos"/>
    <s v="Sea"/>
    <x v="1"/>
    <n v="5889217.6499999994"/>
  </r>
  <r>
    <x v="3"/>
    <s v="Nigeria Agro Export Company"/>
    <x v="9"/>
    <s v="12/30/2021"/>
    <n v="823"/>
    <n v="44241.93"/>
    <n v="3183.41"/>
    <n v="36411108.390000001"/>
    <s v="Lagos"/>
    <s v="Sea"/>
    <x v="1"/>
    <n v="2619946.4299999997"/>
  </r>
  <r>
    <x v="3"/>
    <s v="Agro Export Nigeria Ltd"/>
    <x v="9"/>
    <s v="2/7/2021"/>
    <n v="554"/>
    <n v="40655.79"/>
    <n v="3828.59"/>
    <n v="22523307.66"/>
    <s v="Port Harcourt"/>
    <s v="Sea"/>
    <x v="1"/>
    <n v="2121038.86"/>
  </r>
  <r>
    <x v="3"/>
    <s v="Farmgate Nigeria Limited"/>
    <x v="9"/>
    <s v="6/18/2021"/>
    <n v="892"/>
    <n v="30720.69"/>
    <n v="8022.12"/>
    <n v="27402855.48"/>
    <s v="Warri"/>
    <s v="Sea"/>
    <x v="1"/>
    <n v="7155731.04"/>
  </r>
  <r>
    <x v="3"/>
    <s v="Agriplus Nigeria Limited"/>
    <x v="4"/>
    <s v="11/24/2021"/>
    <n v="604"/>
    <n v="10944.17"/>
    <n v="5479.31"/>
    <n v="6610278.6799999997"/>
    <s v="Lagos"/>
    <s v="Sea"/>
    <x v="1"/>
    <n v="3309503.24"/>
  </r>
  <r>
    <x v="3"/>
    <s v="Agro Export Nigeria Ltd"/>
    <x v="4"/>
    <s v="6/9/2021"/>
    <n v="651"/>
    <n v="10926.4"/>
    <n v="2904.18"/>
    <n v="7113086.4000000004"/>
    <s v="Warri"/>
    <s v="Sea"/>
    <x v="1"/>
    <n v="1890621.18"/>
  </r>
  <r>
    <x v="3"/>
    <s v="Golden Farms Nigeria Limited"/>
    <x v="4"/>
    <s v="7/13/2021"/>
    <n v="999"/>
    <n v="16092.91"/>
    <n v="5565.11"/>
    <n v="16076817.09"/>
    <s v="Warri"/>
    <s v="Sea"/>
    <x v="1"/>
    <n v="5559544.8899999997"/>
  </r>
  <r>
    <x v="3"/>
    <s v="Greenfield Agro Exporters Nigeria Limited"/>
    <x v="1"/>
    <s v="11/2/2021"/>
    <n v="775"/>
    <n v="33127.43"/>
    <n v="2179.1799999999998"/>
    <n v="25673758.25"/>
    <s v="Port Harcourt"/>
    <s v="Sea"/>
    <x v="1"/>
    <n v="1688864.4999999998"/>
  </r>
  <r>
    <x v="3"/>
    <s v="Nigerian Export Promotion Council (NEPC)"/>
    <x v="1"/>
    <s v="12/25/2021"/>
    <n v="965"/>
    <n v="27453.95"/>
    <n v="3730.14"/>
    <n v="26493061.75"/>
    <s v="Warri"/>
    <s v="Sea"/>
    <x v="1"/>
    <n v="3599585.1"/>
  </r>
  <r>
    <x v="3"/>
    <s v="Agro Export Nigeria Ltd"/>
    <x v="8"/>
    <s v="11/5/2021"/>
    <n v="618"/>
    <n v="12028.51"/>
    <n v="9967.48"/>
    <n v="7433619.1799999997"/>
    <s v="Calabar"/>
    <s v="Sea"/>
    <x v="1"/>
    <n v="6159902.6399999997"/>
  </r>
  <r>
    <x v="3"/>
    <s v="Nigeria Agro Export Company"/>
    <x v="8"/>
    <s v="4/1/2021"/>
    <n v="808"/>
    <n v="36102.120000000003"/>
    <n v="4257.5"/>
    <n v="29170512.960000001"/>
    <s v="Calabar"/>
    <s v="Sea"/>
    <x v="1"/>
    <n v="3440060"/>
  </r>
  <r>
    <x v="3"/>
    <s v="Prime Agro Exports Nigeria Limited"/>
    <x v="8"/>
    <s v="4/19/2021"/>
    <n v="763"/>
    <n v="42458.7"/>
    <n v="6325.82"/>
    <n v="32395988.100000001"/>
    <s v="Calabar"/>
    <s v="Sea"/>
    <x v="1"/>
    <n v="4826600.66"/>
  </r>
  <r>
    <x v="3"/>
    <s v="Solid Agro Nigeria Limited"/>
    <x v="8"/>
    <s v="5/15/2021"/>
    <n v="511"/>
    <n v="31655.61"/>
    <n v="8956.6"/>
    <n v="16176016.710000001"/>
    <s v="Lagos"/>
    <s v="Sea"/>
    <x v="1"/>
    <n v="4576822.6000000006"/>
  </r>
  <r>
    <x v="3"/>
    <s v="Agro Allied Exporters Nigeria Limited"/>
    <x v="8"/>
    <s v="5/25/2021"/>
    <n v="715"/>
    <n v="36611.18"/>
    <n v="9363.9500000000007"/>
    <n v="26176993.699999999"/>
    <s v="Warri"/>
    <s v="Sea"/>
    <x v="1"/>
    <n v="6695224.2500000009"/>
  </r>
  <r>
    <x v="3"/>
    <s v="Agro Export Nigeria Ltd"/>
    <x v="6"/>
    <s v="5/6/2021"/>
    <n v="727"/>
    <n v="21997.05"/>
    <n v="7782.56"/>
    <n v="15991855.35"/>
    <s v="Lagos"/>
    <s v="Sea"/>
    <x v="1"/>
    <n v="5657921.1200000001"/>
  </r>
  <r>
    <x v="3"/>
    <s v="Greenfield Agro Exporters Nigeria Limited"/>
    <x v="6"/>
    <s v="7/30/2021"/>
    <n v="350"/>
    <n v="47157.35"/>
    <n v="3777.28"/>
    <n v="16505072.5"/>
    <s v="Lagos"/>
    <s v="Sea"/>
    <x v="1"/>
    <n v="1322048"/>
  </r>
  <r>
    <x v="3"/>
    <s v="Golden Farms Nigeria Limited"/>
    <x v="2"/>
    <s v="1/28/2021"/>
    <n v="218"/>
    <n v="18450.310000000001"/>
    <n v="3273.85"/>
    <n v="4022167.58"/>
    <s v="Lagos"/>
    <s v="Sea"/>
    <x v="1"/>
    <n v="713699.29999999993"/>
  </r>
  <r>
    <x v="3"/>
    <s v="Prime Agro Exports Nigeria Limited"/>
    <x v="0"/>
    <s v="1/12/2022"/>
    <n v="740"/>
    <n v="49218.64"/>
    <n v="3231.87"/>
    <n v="36421793.600000001"/>
    <s v="Lagos"/>
    <s v="Sea"/>
    <x v="2"/>
    <n v="2391583.7999999998"/>
  </r>
  <r>
    <x v="3"/>
    <s v="Agriplus Nigeria Limited"/>
    <x v="0"/>
    <s v="1/21/2022"/>
    <n v="536"/>
    <n v="10387.59"/>
    <n v="9458.2199999999993"/>
    <n v="5567748.2400000002"/>
    <s v="Lagos"/>
    <s v="Sea"/>
    <x v="2"/>
    <n v="5069605.92"/>
  </r>
  <r>
    <x v="3"/>
    <s v="Agriplus Nigeria Limited"/>
    <x v="0"/>
    <s v="1/27/2022"/>
    <n v="563"/>
    <n v="41130.94"/>
    <n v="6706.05"/>
    <n v="23156719.219999999"/>
    <s v="Lagos"/>
    <s v="Sea"/>
    <x v="2"/>
    <n v="3775506.15"/>
  </r>
  <r>
    <x v="3"/>
    <s v="Farmgate Nigeria Limited"/>
    <x v="0"/>
    <s v="12/30/2022"/>
    <n v="519"/>
    <n v="46462.39"/>
    <n v="7563.66"/>
    <n v="24113980.41"/>
    <s v="Calabar"/>
    <s v="Sea"/>
    <x v="2"/>
    <n v="3925539.54"/>
  </r>
  <r>
    <x v="3"/>
    <s v="Agro Export Nigeria Ltd"/>
    <x v="0"/>
    <s v="4/24/2022"/>
    <n v="276"/>
    <n v="47090.73"/>
    <n v="7019.4"/>
    <n v="12997041.48"/>
    <s v="Lagos"/>
    <s v="Sea"/>
    <x v="2"/>
    <n v="1937354.4"/>
  </r>
  <r>
    <x v="3"/>
    <s v="Greenfield Agro Exporters Nigeria Limited"/>
    <x v="9"/>
    <s v="4/24/2022"/>
    <n v="706"/>
    <n v="47962.400000000001"/>
    <n v="8161.97"/>
    <n v="33861454.399999999"/>
    <s v="Port Harcourt"/>
    <s v="Sea"/>
    <x v="2"/>
    <n v="5762350.8200000003"/>
  </r>
  <r>
    <x v="3"/>
    <s v="Golden Farms Nigeria Limited"/>
    <x v="7"/>
    <s v="4/4/2022"/>
    <n v="296"/>
    <n v="10142.15"/>
    <n v="6846.41"/>
    <n v="3002076.4"/>
    <s v="Lagos"/>
    <s v="Sea"/>
    <x v="2"/>
    <n v="2026537.3599999999"/>
  </r>
  <r>
    <x v="3"/>
    <s v="Agro Export Nigeria Ltd"/>
    <x v="7"/>
    <s v="5/5/2022"/>
    <n v="606"/>
    <n v="48515.519999999997"/>
    <n v="6441.57"/>
    <n v="29400405.120000001"/>
    <s v="Lagos"/>
    <s v="Sea"/>
    <x v="2"/>
    <n v="3903591.42"/>
  </r>
  <r>
    <x v="3"/>
    <s v="Nigerian Export Promotion Council (NEPC)"/>
    <x v="7"/>
    <s v="6/29/2022"/>
    <n v="105"/>
    <n v="47676.69"/>
    <n v="6392.49"/>
    <n v="5006052.45"/>
    <s v="Lagos"/>
    <s v="Sea"/>
    <x v="2"/>
    <n v="671211.45"/>
  </r>
  <r>
    <x v="3"/>
    <s v="Farmgate Nigeria Limited"/>
    <x v="9"/>
    <s v="2/2/2022"/>
    <n v="306"/>
    <n v="28489.69"/>
    <n v="5983.88"/>
    <n v="8717845.1400000006"/>
    <s v="Lagos"/>
    <s v="Sea"/>
    <x v="2"/>
    <n v="1831067.28"/>
  </r>
  <r>
    <x v="3"/>
    <s v="Nigerian Export Promotion Council (NEPC)"/>
    <x v="9"/>
    <s v="9/12/2022"/>
    <n v="471"/>
    <n v="11415.43"/>
    <n v="8345.6"/>
    <n v="5376667.5300000003"/>
    <s v="Lagos"/>
    <s v="Sea"/>
    <x v="2"/>
    <n v="3930777.6000000001"/>
  </r>
  <r>
    <x v="3"/>
    <s v="Greenfield Agro Exporters Nigeria Limited"/>
    <x v="4"/>
    <s v="11/22/2022"/>
    <n v="129"/>
    <n v="18817.41"/>
    <n v="4803.29"/>
    <n v="2427445.89"/>
    <s v="Lagos"/>
    <s v="Sea"/>
    <x v="2"/>
    <n v="619624.41"/>
  </r>
  <r>
    <x v="3"/>
    <s v="Agro Export Nigeria Ltd"/>
    <x v="4"/>
    <s v="11/4/2022"/>
    <n v="787"/>
    <n v="35424.54"/>
    <n v="7667.6"/>
    <n v="27879112.98"/>
    <s v="Lagos"/>
    <s v="Sea"/>
    <x v="2"/>
    <n v="6034401.2000000002"/>
  </r>
  <r>
    <x v="3"/>
    <s v="Nigeria Agro Export Company"/>
    <x v="4"/>
    <s v="12/9/2022"/>
    <n v="115"/>
    <n v="37857.65"/>
    <n v="2928.51"/>
    <n v="4353629.75"/>
    <s v="Port Harcourt"/>
    <s v="Sea"/>
    <x v="2"/>
    <n v="336778.65"/>
  </r>
  <r>
    <x v="3"/>
    <s v="Prime Agro Exports Nigeria Limited"/>
    <x v="4"/>
    <s v="4/17/2022"/>
    <n v="329"/>
    <n v="37602.339999999997"/>
    <n v="5086.95"/>
    <n v="12371169.859999999"/>
    <s v="Lagos"/>
    <s v="Sea"/>
    <x v="2"/>
    <n v="1673606.55"/>
  </r>
  <r>
    <x v="3"/>
    <s v="Agriplus Nigeria Limited"/>
    <x v="1"/>
    <s v="10/4/2022"/>
    <n v="427"/>
    <n v="18212.38"/>
    <n v="3741.87"/>
    <n v="7776686.2599999998"/>
    <s v="Lagos"/>
    <s v="Sea"/>
    <x v="2"/>
    <n v="1597778.49"/>
  </r>
  <r>
    <x v="3"/>
    <s v="Solid Agro Nigeria Limited"/>
    <x v="1"/>
    <s v="5/8/2022"/>
    <n v="825"/>
    <n v="42082.19"/>
    <n v="5341.84"/>
    <n v="34717806.75"/>
    <s v="Lagos"/>
    <s v="Sea"/>
    <x v="2"/>
    <n v="4407018"/>
  </r>
  <r>
    <x v="3"/>
    <s v="Agro Allied Exporters Nigeria Limited"/>
    <x v="1"/>
    <s v="9/2/2022"/>
    <n v="359"/>
    <n v="39185.03"/>
    <n v="5876.48"/>
    <n v="14067425.77"/>
    <s v="Warri"/>
    <s v="Sea"/>
    <x v="2"/>
    <n v="2109656.3199999998"/>
  </r>
  <r>
    <x v="3"/>
    <s v="Farmgate Nigeria Limited"/>
    <x v="8"/>
    <s v="5/4/2022"/>
    <n v="899"/>
    <n v="27430.43"/>
    <n v="9404.06"/>
    <n v="24659956.57"/>
    <s v="Calabar"/>
    <s v="Sea"/>
    <x v="2"/>
    <n v="8454249.9399999995"/>
  </r>
  <r>
    <x v="3"/>
    <s v="Greenfield Agro Exporters Nigeria Limited"/>
    <x v="3"/>
    <s v="10/1/2022"/>
    <n v="556"/>
    <n v="46687.6"/>
    <n v="6872.49"/>
    <n v="25958305.600000001"/>
    <s v="Lagos"/>
    <s v="Sea"/>
    <x v="2"/>
    <n v="3821104.44"/>
  </r>
  <r>
    <x v="3"/>
    <s v="Agriplus Nigeria Limited"/>
    <x v="3"/>
    <s v="10/6/2022"/>
    <n v="710"/>
    <n v="30593.52"/>
    <n v="8558.98"/>
    <n v="21721399.199999999"/>
    <s v="Lagos"/>
    <s v="Sea"/>
    <x v="2"/>
    <n v="6076875.7999999998"/>
  </r>
  <r>
    <x v="3"/>
    <s v="Nigerian Export Promotion Council (NEPC)"/>
    <x v="3"/>
    <s v="2/21/2022"/>
    <n v="331"/>
    <n v="27941.06"/>
    <n v="2011.49"/>
    <n v="9248490.8599999994"/>
    <s v="Port Harcourt"/>
    <s v="Sea"/>
    <x v="2"/>
    <n v="665803.19000000006"/>
  </r>
  <r>
    <x v="3"/>
    <s v="Farmgate Nigeria Limited"/>
    <x v="3"/>
    <s v="3/15/2022"/>
    <n v="173"/>
    <n v="14946.11"/>
    <n v="3265.19"/>
    <n v="2585677.0299999998"/>
    <s v="Lagos"/>
    <s v="Sea"/>
    <x v="2"/>
    <n v="564877.87"/>
  </r>
  <r>
    <x v="3"/>
    <s v="Agro Allied Exporters Nigeria Limited"/>
    <x v="3"/>
    <s v="5/30/2022"/>
    <n v="115"/>
    <n v="20772.650000000001"/>
    <n v="2751.58"/>
    <n v="2388854.75"/>
    <s v="Port Harcourt"/>
    <s v="Sea"/>
    <x v="2"/>
    <n v="316431.7"/>
  </r>
  <r>
    <x v="3"/>
    <s v="Golden Farms Nigeria Limited"/>
    <x v="3"/>
    <s v="7/2/2022"/>
    <n v="313"/>
    <n v="21553.66"/>
    <n v="7531.22"/>
    <n v="6746295.5800000001"/>
    <s v="Warri"/>
    <s v="Sea"/>
    <x v="2"/>
    <n v="2357271.86"/>
  </r>
  <r>
    <x v="3"/>
    <s v="Golden Farms Nigeria Limited"/>
    <x v="2"/>
    <s v="3/24/2022"/>
    <n v="196"/>
    <n v="31132.11"/>
    <n v="5678.06"/>
    <n v="6101893.5599999996"/>
    <s v="Lagos"/>
    <s v="Sea"/>
    <x v="2"/>
    <n v="1112899.76"/>
  </r>
  <r>
    <x v="3"/>
    <s v="Nigeria Agro Export Company"/>
    <x v="2"/>
    <s v="4/8/2022"/>
    <n v="315"/>
    <n v="30068.36"/>
    <n v="5296.72"/>
    <n v="9471533.4000000004"/>
    <s v="Lagos"/>
    <s v="Sea"/>
    <x v="2"/>
    <n v="1668466.8"/>
  </r>
  <r>
    <x v="3"/>
    <s v="Prime Agro Exports Nigeria Limited"/>
    <x v="5"/>
    <s v="1/10/2023"/>
    <n v="435"/>
    <n v="41081.230000000003"/>
    <n v="5890.73"/>
    <n v="17870335.050000001"/>
    <s v="Lagos"/>
    <s v="Sea"/>
    <x v="3"/>
    <n v="2562467.5499999998"/>
  </r>
  <r>
    <x v="3"/>
    <s v="Nigerian Export Promotion Council (NEPC)"/>
    <x v="5"/>
    <s v="11/18/2023"/>
    <n v="198"/>
    <n v="31390.01"/>
    <n v="5406.99"/>
    <n v="6215221.9800000004"/>
    <s v="Port Harcourt"/>
    <s v="Sea"/>
    <x v="3"/>
    <n v="1070584.02"/>
  </r>
  <r>
    <x v="3"/>
    <s v="Farmgate Nigeria Limited"/>
    <x v="5"/>
    <s v="5/9/2023"/>
    <n v="684"/>
    <n v="32847.980000000003"/>
    <n v="4767"/>
    <n v="22468018.32"/>
    <s v="Port Harcourt"/>
    <s v="Sea"/>
    <x v="3"/>
    <n v="3260628"/>
  </r>
  <r>
    <x v="3"/>
    <s v="Agro Export Nigeria Ltd"/>
    <x v="0"/>
    <s v="7/10/2023"/>
    <n v="996"/>
    <n v="17208.419999999998"/>
    <n v="6502.15"/>
    <n v="17139586.32"/>
    <s v="Lagos"/>
    <s v="Sea"/>
    <x v="3"/>
    <n v="6476141.3999999994"/>
  </r>
  <r>
    <x v="3"/>
    <s v="Golden Farms Nigeria Limited"/>
    <x v="0"/>
    <s v="9/7/2023"/>
    <n v="511"/>
    <n v="25221.34"/>
    <n v="4876.26"/>
    <n v="12888104.74"/>
    <s v="Lagos"/>
    <s v="Sea"/>
    <x v="3"/>
    <n v="2491768.8600000003"/>
  </r>
  <r>
    <x v="3"/>
    <s v="Prime Agro Exports Nigeria Limited"/>
    <x v="7"/>
    <s v="6/16/2023"/>
    <n v="589"/>
    <n v="38608.54"/>
    <n v="2144.4699999999998"/>
    <n v="22740430.059999999"/>
    <s v="Lagos"/>
    <s v="Sea"/>
    <x v="3"/>
    <n v="1263092.8299999998"/>
  </r>
  <r>
    <x v="3"/>
    <s v="Agro Export Nigeria Ltd"/>
    <x v="9"/>
    <s v="1/28/2023"/>
    <n v="391"/>
    <n v="40770.5"/>
    <n v="4126.1400000000003"/>
    <n v="15941265.5"/>
    <s v="Port Harcourt"/>
    <s v="Sea"/>
    <x v="3"/>
    <n v="1613320.7400000002"/>
  </r>
  <r>
    <x v="3"/>
    <s v="Prime Agro Exports Nigeria Limited"/>
    <x v="9"/>
    <s v="7/30/2023"/>
    <n v="315"/>
    <n v="48540.47"/>
    <n v="2187.98"/>
    <n v="15290248.050000001"/>
    <s v="Lagos"/>
    <s v="Sea"/>
    <x v="3"/>
    <n v="689213.7"/>
  </r>
  <r>
    <x v="3"/>
    <s v="Nigeria Agro Export Company"/>
    <x v="4"/>
    <s v="10/17/2023"/>
    <n v="345"/>
    <n v="40531.919999999998"/>
    <n v="8482.65"/>
    <n v="13983512.4"/>
    <s v="Lagos"/>
    <s v="Sea"/>
    <x v="3"/>
    <n v="2926514.25"/>
  </r>
  <r>
    <x v="3"/>
    <s v="Solid Agro Nigeria Limited"/>
    <x v="1"/>
    <s v="10/31/2023"/>
    <n v="912"/>
    <n v="36518.14"/>
    <n v="7764.13"/>
    <n v="33304543.68"/>
    <s v="Lagos"/>
    <s v="Sea"/>
    <x v="3"/>
    <n v="7080886.5600000005"/>
  </r>
  <r>
    <x v="3"/>
    <s v="Agro Export Nigeria Ltd"/>
    <x v="1"/>
    <s v="4/2/2023"/>
    <n v="671"/>
    <n v="47059.63"/>
    <n v="2744.68"/>
    <n v="31577011.73"/>
    <s v="Port Harcourt"/>
    <s v="Sea"/>
    <x v="3"/>
    <n v="1841680.2799999998"/>
  </r>
  <r>
    <x v="3"/>
    <s v="Agriplus Nigeria Limited"/>
    <x v="1"/>
    <s v="5/21/2023"/>
    <n v="181"/>
    <n v="24434.41"/>
    <n v="5026.9799999999996"/>
    <n v="4422628.21"/>
    <s v="Warri"/>
    <s v="Sea"/>
    <x v="3"/>
    <n v="909883.37999999989"/>
  </r>
  <r>
    <x v="3"/>
    <s v="Agriplus Nigeria Limited"/>
    <x v="8"/>
    <s v="10/29/2023"/>
    <n v="931"/>
    <n v="44314.68"/>
    <n v="7504.88"/>
    <n v="41256967.079999998"/>
    <s v="Lagos"/>
    <s v="Sea"/>
    <x v="3"/>
    <n v="6987043.2800000003"/>
  </r>
  <r>
    <x v="3"/>
    <s v="Agro Export Nigeria Ltd"/>
    <x v="8"/>
    <s v="10/7/2023"/>
    <n v="967"/>
    <n v="40625.11"/>
    <n v="2102.62"/>
    <n v="39284481.369999997"/>
    <s v="Port Harcourt"/>
    <s v="Sea"/>
    <x v="3"/>
    <n v="2033233.5399999998"/>
  </r>
  <r>
    <x v="3"/>
    <s v="Golden Farms Nigeria Limited"/>
    <x v="8"/>
    <s v="12/14/2023"/>
    <n v="475"/>
    <n v="12470.79"/>
    <n v="4281.38"/>
    <n v="5923625.25"/>
    <s v="Lagos"/>
    <s v="Sea"/>
    <x v="3"/>
    <n v="2033655.5"/>
  </r>
  <r>
    <x v="3"/>
    <s v="Agro Allied Exporters Nigeria Limited"/>
    <x v="8"/>
    <s v="12/4/2023"/>
    <n v="378"/>
    <n v="12746.62"/>
    <n v="6086.46"/>
    <n v="4818222.3600000003"/>
    <s v="Lagos"/>
    <s v="Sea"/>
    <x v="3"/>
    <n v="2300681.88"/>
  </r>
  <r>
    <x v="3"/>
    <s v="Solid Agro Nigeria Limited"/>
    <x v="6"/>
    <s v="4/5/2023"/>
    <n v="347"/>
    <n v="17266.349999999999"/>
    <n v="8076.81"/>
    <n v="5991423.4500000002"/>
    <s v="Calabar"/>
    <s v="Sea"/>
    <x v="3"/>
    <n v="2802653.0700000003"/>
  </r>
  <r>
    <x v="3"/>
    <s v="Solid Agro Nigeria Limited"/>
    <x v="6"/>
    <s v="6/13/2023"/>
    <n v="891"/>
    <n v="35087.339999999997"/>
    <n v="5489.92"/>
    <n v="31262819.940000001"/>
    <s v="Lagos"/>
    <s v="Sea"/>
    <x v="3"/>
    <n v="4891518.72"/>
  </r>
  <r>
    <x v="3"/>
    <s v="Agro Export Nigeria Ltd"/>
    <x v="3"/>
    <s v="3/10/2023"/>
    <n v="699"/>
    <n v="26065.73"/>
    <n v="7877.61"/>
    <n v="18219945.27"/>
    <s v="Lagos"/>
    <s v="Sea"/>
    <x v="3"/>
    <n v="5506449.3899999997"/>
  </r>
  <r>
    <x v="3"/>
    <s v="Farmgate Nigeria Limited"/>
    <x v="2"/>
    <s v="12/24/2023"/>
    <n v="457"/>
    <n v="16150.42"/>
    <n v="9986.08"/>
    <n v="7380741.9400000004"/>
    <s v="Calabar"/>
    <s v="Sea"/>
    <x v="3"/>
    <n v="4563638.5599999996"/>
  </r>
  <r>
    <x v="3"/>
    <s v="Nigerian Export Promotion Council (NEPC)"/>
    <x v="2"/>
    <s v="2/2/2023"/>
    <n v="794"/>
    <n v="22692.69"/>
    <n v="4559.66"/>
    <n v="18017995.859999999"/>
    <s v="Lagos"/>
    <s v="Sea"/>
    <x v="3"/>
    <n v="3620370.04"/>
  </r>
  <r>
    <x v="3"/>
    <s v="Agro Allied Exporters Nigeria Limited"/>
    <x v="2"/>
    <s v="3/31/2023"/>
    <n v="132"/>
    <n v="19176.7"/>
    <n v="2330.1799999999998"/>
    <n v="2531324.4"/>
    <s v="Lagos"/>
    <s v="Sea"/>
    <x v="3"/>
    <n v="307583.75999999995"/>
  </r>
  <r>
    <x v="3"/>
    <s v="Greenfield Agro Exporters Nigeria Limited"/>
    <x v="2"/>
    <s v="4/30/2023"/>
    <n v="559"/>
    <n v="30415.41"/>
    <n v="2103.4"/>
    <n v="17002214.190000001"/>
    <s v="Lagos"/>
    <s v="Sea"/>
    <x v="3"/>
    <n v="1175800.6000000001"/>
  </r>
  <r>
    <x v="3"/>
    <s v="Greenfield Agro Exporters Nigeria Limited"/>
    <x v="2"/>
    <s v="9/25/2023"/>
    <n v="877"/>
    <n v="30508.22"/>
    <n v="7705.96"/>
    <n v="26755708.940000001"/>
    <s v="Lagos"/>
    <s v="Sea"/>
    <x v="3"/>
    <n v="6758126.9199999999"/>
  </r>
  <r>
    <x v="4"/>
    <s v="Agro Allied Exporters Nigeria Limited"/>
    <x v="9"/>
    <s v="5/25/2020"/>
    <n v="246"/>
    <n v="28229.09"/>
    <n v="2527.7600000000002"/>
    <n v="6944356.1399999997"/>
    <s v="Lagos"/>
    <s v="Sea"/>
    <x v="0"/>
    <n v="621828.96000000008"/>
  </r>
  <r>
    <x v="4"/>
    <s v="Agro Allied Exporters Nigeria Limited"/>
    <x v="0"/>
    <s v="1/30/2020"/>
    <n v="595"/>
    <n v="30005.57"/>
    <n v="7039.46"/>
    <n v="17853314.149999999"/>
    <s v="Lagos"/>
    <s v="Sea"/>
    <x v="0"/>
    <n v="4188478.7"/>
  </r>
  <r>
    <x v="4"/>
    <s v="Solid Agro Nigeria Limited"/>
    <x v="0"/>
    <s v="11/18/2020"/>
    <n v="617"/>
    <n v="10920.48"/>
    <n v="7123.67"/>
    <n v="6737936.1600000001"/>
    <s v="Port Harcourt"/>
    <s v="Sea"/>
    <x v="0"/>
    <n v="4395304.3899999997"/>
  </r>
  <r>
    <x v="4"/>
    <s v="Agro Export Nigeria Ltd"/>
    <x v="0"/>
    <s v="2/18/2020"/>
    <n v="322"/>
    <n v="44206.36"/>
    <n v="2884.76"/>
    <n v="14234447.92"/>
    <s v="Lagos"/>
    <s v="Sea"/>
    <x v="0"/>
    <n v="928892.72000000009"/>
  </r>
  <r>
    <x v="4"/>
    <s v="Agro Export Nigeria Ltd"/>
    <x v="0"/>
    <s v="5/20/2020"/>
    <n v="316"/>
    <n v="17819.75"/>
    <n v="9927.7999999999993"/>
    <n v="5631041"/>
    <s v="Lagos"/>
    <s v="Sea"/>
    <x v="0"/>
    <n v="3137184.8"/>
  </r>
  <r>
    <x v="4"/>
    <s v="Agriplus Nigeria Limited"/>
    <x v="0"/>
    <s v="8/12/2020"/>
    <n v="988"/>
    <n v="41728.32"/>
    <n v="4505.7"/>
    <n v="41227580.159999996"/>
    <s v="Lagos"/>
    <s v="Sea"/>
    <x v="0"/>
    <n v="4451631.5999999996"/>
  </r>
  <r>
    <x v="4"/>
    <s v="Solid Agro Nigeria Limited"/>
    <x v="0"/>
    <s v="8/4/2020"/>
    <n v="390"/>
    <n v="42865.760000000002"/>
    <n v="8235.34"/>
    <n v="16717646.4"/>
    <s v="Lagos"/>
    <s v="Sea"/>
    <x v="0"/>
    <n v="3211782.6"/>
  </r>
  <r>
    <x v="4"/>
    <s v="Greenfield Agro Exporters Nigeria Limited"/>
    <x v="3"/>
    <s v="7/20/2020"/>
    <n v="698"/>
    <n v="36248.769999999997"/>
    <n v="3758.47"/>
    <n v="25301641.460000001"/>
    <s v="Lagos"/>
    <s v="Sea"/>
    <x v="0"/>
    <n v="2623412.06"/>
  </r>
  <r>
    <x v="4"/>
    <s v="Agro Allied Exporters Nigeria Limited"/>
    <x v="3"/>
    <s v="7/6/2020"/>
    <n v="579"/>
    <n v="24022.55"/>
    <n v="4183.58"/>
    <n v="13909056.449999999"/>
    <s v="Port Harcourt"/>
    <s v="Sea"/>
    <x v="0"/>
    <n v="2422292.8199999998"/>
  </r>
  <r>
    <x v="4"/>
    <s v="Farmgate Nigeria Limited"/>
    <x v="3"/>
    <s v="9/4/2020"/>
    <n v="851"/>
    <n v="33435.72"/>
    <n v="7910.73"/>
    <n v="28453797.719999999"/>
    <s v="Lagos"/>
    <s v="Sea"/>
    <x v="0"/>
    <n v="6732031.2299999995"/>
  </r>
  <r>
    <x v="4"/>
    <s v="Greenfield Agro Exporters Nigeria Limited"/>
    <x v="4"/>
    <s v="9/4/2020"/>
    <n v="258"/>
    <n v="38709.410000000003"/>
    <n v="6434.73"/>
    <n v="9987027.7799999993"/>
    <s v="Lagos"/>
    <s v="Sea"/>
    <x v="0"/>
    <n v="1660160.3399999999"/>
  </r>
  <r>
    <x v="4"/>
    <s v="Agro Allied Exporters Nigeria Limited"/>
    <x v="2"/>
    <s v="2/20/2020"/>
    <n v="298"/>
    <n v="29848.18"/>
    <n v="2491.8200000000002"/>
    <n v="8894757.6400000006"/>
    <s v="Calabar"/>
    <s v="Sea"/>
    <x v="0"/>
    <n v="742562.3600000001"/>
  </r>
  <r>
    <x v="4"/>
    <s v="Agriplus Nigeria Limited"/>
    <x v="2"/>
    <s v="7/26/2020"/>
    <n v="396"/>
    <n v="29664"/>
    <n v="6786.45"/>
    <n v="11746944"/>
    <s v="Port Harcourt"/>
    <s v="Sea"/>
    <x v="0"/>
    <n v="2687434.1999999997"/>
  </r>
  <r>
    <x v="4"/>
    <s v="Solid Agro Nigeria Limited"/>
    <x v="1"/>
    <s v="7/26/2020"/>
    <n v="663"/>
    <n v="11700.02"/>
    <n v="5979.08"/>
    <n v="7757113.2599999998"/>
    <s v="Port Harcourt"/>
    <s v="Sea"/>
    <x v="0"/>
    <n v="3964130.04"/>
  </r>
  <r>
    <x v="4"/>
    <s v="Greenfield Agro Exporters Nigeria Limited"/>
    <x v="2"/>
    <s v="9/11/2020"/>
    <n v="187"/>
    <n v="26876.43"/>
    <n v="7122.88"/>
    <n v="5025892.41"/>
    <s v="Port Harcourt"/>
    <s v="Sea"/>
    <x v="0"/>
    <n v="1331978.56"/>
  </r>
  <r>
    <x v="4"/>
    <s v="Greenfield Agro Exporters Nigeria Limited"/>
    <x v="5"/>
    <s v="7/18/2020"/>
    <n v="814"/>
    <n v="45418.18"/>
    <n v="2352.81"/>
    <n v="36970398.520000003"/>
    <s v="Lagos"/>
    <s v="Sea"/>
    <x v="0"/>
    <n v="1915187.3399999999"/>
  </r>
  <r>
    <x v="4"/>
    <s v="Nigeria Agro Export Company"/>
    <x v="4"/>
    <s v="1/20/2020"/>
    <n v="489"/>
    <n v="28847.43"/>
    <n v="7921.57"/>
    <n v="14106393.27"/>
    <s v="Lagos"/>
    <s v="Sea"/>
    <x v="0"/>
    <n v="3873647.73"/>
  </r>
  <r>
    <x v="4"/>
    <s v="Golden Farms Nigeria Limited"/>
    <x v="4"/>
    <s v="11/10/2020"/>
    <n v="596"/>
    <n v="30068.44"/>
    <n v="2819.55"/>
    <n v="17920790.239999998"/>
    <s v="Lagos"/>
    <s v="Sea"/>
    <x v="0"/>
    <n v="1680451.8"/>
  </r>
  <r>
    <x v="4"/>
    <s v="Agriplus Nigeria Limited"/>
    <x v="4"/>
    <s v="11/27/2020"/>
    <n v="641"/>
    <n v="36577.96"/>
    <n v="7500.75"/>
    <n v="23446472.359999999"/>
    <s v="Warri"/>
    <s v="Sea"/>
    <x v="0"/>
    <n v="4807980.75"/>
  </r>
  <r>
    <x v="4"/>
    <s v="Agriplus Nigeria Limited"/>
    <x v="4"/>
    <s v="2/15/2020"/>
    <n v="448"/>
    <n v="22088.53"/>
    <n v="2968.57"/>
    <n v="9895661.4399999995"/>
    <s v="Calabar"/>
    <s v="Sea"/>
    <x v="0"/>
    <n v="1329919.3600000001"/>
  </r>
  <r>
    <x v="4"/>
    <s v="Agro Export Nigeria Ltd"/>
    <x v="4"/>
    <s v="4/3/2020"/>
    <n v="859"/>
    <n v="20798.68"/>
    <n v="9677.49"/>
    <n v="17866066.120000001"/>
    <s v="Port Harcourt"/>
    <s v="Sea"/>
    <x v="0"/>
    <n v="8312963.9100000001"/>
  </r>
  <r>
    <x v="4"/>
    <s v="Farmgate Nigeria Limited"/>
    <x v="7"/>
    <s v="10/19/2020"/>
    <n v="395"/>
    <n v="16150.3"/>
    <n v="9981.99"/>
    <n v="6379368.5"/>
    <s v="Lagos"/>
    <s v="Sea"/>
    <x v="0"/>
    <n v="3942886.05"/>
  </r>
  <r>
    <x v="4"/>
    <s v="Farmgate Nigeria Limited"/>
    <x v="7"/>
    <s v="3/17/2020"/>
    <n v="783"/>
    <n v="46845.94"/>
    <n v="7199.79"/>
    <n v="36680371.020000003"/>
    <s v="Lagos"/>
    <s v="Sea"/>
    <x v="0"/>
    <n v="5637435.5700000003"/>
  </r>
  <r>
    <x v="4"/>
    <s v="Farmgate Nigeria Limited"/>
    <x v="6"/>
    <s v="1/11/2020"/>
    <n v="586"/>
    <n v="11765.54"/>
    <n v="6000.81"/>
    <n v="6894606.4400000004"/>
    <s v="Lagos"/>
    <s v="Sea"/>
    <x v="0"/>
    <n v="3516474.66"/>
  </r>
  <r>
    <x v="4"/>
    <s v="Golden Farms Nigeria Limited"/>
    <x v="6"/>
    <s v="1/7/2020"/>
    <n v="656"/>
    <n v="15181.46"/>
    <n v="8490.1200000000008"/>
    <n v="9959037.7599999998"/>
    <s v="Port Harcourt"/>
    <s v="Sea"/>
    <x v="0"/>
    <n v="5569518.7200000007"/>
  </r>
  <r>
    <x v="4"/>
    <s v="Prime Agro Exports Nigeria Limited"/>
    <x v="6"/>
    <s v="12/13/2020"/>
    <n v="906"/>
    <n v="42689.17"/>
    <n v="3042.07"/>
    <n v="38676388.020000003"/>
    <s v="Lagos"/>
    <s v="Sea"/>
    <x v="0"/>
    <n v="2756115.42"/>
  </r>
  <r>
    <x v="4"/>
    <s v="Agro Allied Exporters Nigeria Limited"/>
    <x v="6"/>
    <s v="7/15/2020"/>
    <n v="797"/>
    <n v="44352.82"/>
    <n v="8523.69"/>
    <n v="35349197.539999999"/>
    <s v="Port Harcourt"/>
    <s v="Sea"/>
    <x v="0"/>
    <n v="6793380.9300000006"/>
  </r>
  <r>
    <x v="4"/>
    <s v="Solid Agro Nigeria Limited"/>
    <x v="1"/>
    <s v="10/9/2020"/>
    <n v="170"/>
    <n v="20351.669999999998"/>
    <n v="3702.17"/>
    <n v="3459783.9"/>
    <s v="Port Harcourt"/>
    <s v="Sea"/>
    <x v="0"/>
    <n v="629368.9"/>
  </r>
  <r>
    <x v="4"/>
    <s v="Nigeria Agro Export Company"/>
    <x v="1"/>
    <s v="11/2/2020"/>
    <n v="469"/>
    <n v="28403.99"/>
    <n v="4747.66"/>
    <n v="13321471.310000001"/>
    <s v="Port Harcourt"/>
    <s v="Sea"/>
    <x v="0"/>
    <n v="2226652.54"/>
  </r>
  <r>
    <x v="4"/>
    <s v="Agro Allied Exporters Nigeria Limited"/>
    <x v="8"/>
    <s v="1/5/2020"/>
    <n v="289"/>
    <n v="42097.15"/>
    <n v="6008.62"/>
    <n v="12166076.35"/>
    <s v="Lagos"/>
    <s v="Sea"/>
    <x v="0"/>
    <n v="1736491.18"/>
  </r>
  <r>
    <x v="4"/>
    <s v="Prime Agro Exports Nigeria Limited"/>
    <x v="8"/>
    <s v="5/4/2020"/>
    <n v="193"/>
    <n v="31525.279999999999"/>
    <n v="7795.99"/>
    <n v="6084379.04"/>
    <s v="Warri"/>
    <s v="Sea"/>
    <x v="0"/>
    <n v="1504626.07"/>
  </r>
  <r>
    <x v="4"/>
    <s v="Prime Agro Exports Nigeria Limited"/>
    <x v="9"/>
    <s v="1/8/2021"/>
    <n v="881"/>
    <n v="23151.97"/>
    <n v="5868.73"/>
    <n v="20396885.57"/>
    <s v="Lagos"/>
    <s v="Sea"/>
    <x v="1"/>
    <n v="5170351.13"/>
  </r>
  <r>
    <x v="4"/>
    <s v="Nigeria Agro Export Company"/>
    <x v="0"/>
    <s v="1/8/2021"/>
    <n v="283"/>
    <n v="18829.439999999999"/>
    <n v="3188.06"/>
    <n v="5328731.5199999996"/>
    <s v="Lagos"/>
    <s v="Sea"/>
    <x v="1"/>
    <n v="902220.98"/>
  </r>
  <r>
    <x v="4"/>
    <s v="Solid Agro Nigeria Limited"/>
    <x v="9"/>
    <s v="11/24/2021"/>
    <n v="840"/>
    <n v="49351.45"/>
    <n v="4574.66"/>
    <n v="41455218"/>
    <s v="Lagos"/>
    <s v="Sea"/>
    <x v="1"/>
    <n v="3842714.4"/>
  </r>
  <r>
    <x v="4"/>
    <s v="Nigeria Agro Export Company"/>
    <x v="9"/>
    <s v="12/5/2021"/>
    <n v="568"/>
    <n v="37168.160000000003"/>
    <n v="8052.61"/>
    <n v="21111514.879999999"/>
    <s v="Lagos"/>
    <s v="Sea"/>
    <x v="1"/>
    <n v="4573882.4799999995"/>
  </r>
  <r>
    <x v="4"/>
    <s v="Greenfield Agro Exporters Nigeria Limited"/>
    <x v="9"/>
    <s v="7/24/2021"/>
    <n v="169"/>
    <n v="36340.15"/>
    <n v="4211.5"/>
    <n v="6141485.3499999996"/>
    <s v="Calabar"/>
    <s v="Sea"/>
    <x v="1"/>
    <n v="711743.5"/>
  </r>
  <r>
    <x v="4"/>
    <s v="Nigeria Agro Export Company"/>
    <x v="0"/>
    <s v="10/27/2021"/>
    <n v="391"/>
    <n v="19901.91"/>
    <n v="2594.44"/>
    <n v="7781646.8099999996"/>
    <s v="Lagos"/>
    <s v="Sea"/>
    <x v="1"/>
    <n v="1014426.04"/>
  </r>
  <r>
    <x v="4"/>
    <s v="Farmgate Nigeria Limited"/>
    <x v="0"/>
    <s v="10/9/2021"/>
    <n v="428"/>
    <n v="33222.480000000003"/>
    <n v="9269.51"/>
    <n v="14219221.439999999"/>
    <s v="Warri"/>
    <s v="Sea"/>
    <x v="1"/>
    <n v="3967350.2800000003"/>
  </r>
  <r>
    <x v="4"/>
    <s v="Agriplus Nigeria Limited"/>
    <x v="0"/>
    <s v="5/28/2021"/>
    <n v="375"/>
    <n v="47026.19"/>
    <n v="3721.51"/>
    <n v="17634821.25"/>
    <s v="Warri"/>
    <s v="Sea"/>
    <x v="1"/>
    <n v="1395566.25"/>
  </r>
  <r>
    <x v="4"/>
    <s v="Greenfield Agro Exporters Nigeria Limited"/>
    <x v="0"/>
    <s v="7/13/2021"/>
    <n v="593"/>
    <n v="44749.95"/>
    <n v="4498.4799999999996"/>
    <n v="26536720.350000001"/>
    <s v="Lagos"/>
    <s v="Sea"/>
    <x v="1"/>
    <n v="2667598.6399999997"/>
  </r>
  <r>
    <x v="4"/>
    <s v="Prime Agro Exports Nigeria Limited"/>
    <x v="0"/>
    <s v="9/10/2021"/>
    <n v="248"/>
    <n v="49335.1"/>
    <n v="4909.96"/>
    <n v="12235104.800000001"/>
    <s v="Lagos"/>
    <s v="Sea"/>
    <x v="1"/>
    <n v="1217670.08"/>
  </r>
  <r>
    <x v="4"/>
    <s v="Golden Farms Nigeria Limited"/>
    <x v="3"/>
    <s v="11/7/2021"/>
    <n v="873"/>
    <n v="35948.04"/>
    <n v="8000.9"/>
    <n v="31382638.920000002"/>
    <s v="Lagos"/>
    <s v="Sea"/>
    <x v="1"/>
    <n v="6984785.6999999993"/>
  </r>
  <r>
    <x v="4"/>
    <s v="Solid Agro Nigeria Limited"/>
    <x v="2"/>
    <s v="2/13/2021"/>
    <n v="726"/>
    <n v="24759.94"/>
    <n v="3878.78"/>
    <n v="17975716.440000001"/>
    <s v="Lagos"/>
    <s v="Sea"/>
    <x v="1"/>
    <n v="2815994.2800000003"/>
  </r>
  <r>
    <x v="4"/>
    <s v="Prime Agro Exports Nigeria Limited"/>
    <x v="2"/>
    <s v="3/21/2021"/>
    <n v="397"/>
    <n v="22969.040000000001"/>
    <n v="2260.4499999999998"/>
    <n v="9118708.8800000008"/>
    <s v="Lagos"/>
    <s v="Sea"/>
    <x v="1"/>
    <n v="897398.64999999991"/>
  </r>
  <r>
    <x v="4"/>
    <s v="Prime Agro Exports Nigeria Limited"/>
    <x v="2"/>
    <s v="3/3/2021"/>
    <n v="676"/>
    <n v="22251.72"/>
    <n v="5992.39"/>
    <n v="15042162.720000001"/>
    <s v="Lagos"/>
    <s v="Sea"/>
    <x v="1"/>
    <n v="4050855.64"/>
  </r>
  <r>
    <x v="4"/>
    <s v="Farmgate Nigeria Limited"/>
    <x v="5"/>
    <s v="10/10/2021"/>
    <n v="537"/>
    <n v="48105.59"/>
    <n v="5191.38"/>
    <n v="25832701.829999998"/>
    <s v="Lagos"/>
    <s v="Sea"/>
    <x v="1"/>
    <n v="2787771.06"/>
  </r>
  <r>
    <x v="4"/>
    <s v="Solid Agro Nigeria Limited"/>
    <x v="5"/>
    <s v="11/20/2021"/>
    <n v="487"/>
    <n v="48839.39"/>
    <n v="6529.26"/>
    <n v="23784782.93"/>
    <s v="Calabar"/>
    <s v="Sea"/>
    <x v="1"/>
    <n v="3179749.62"/>
  </r>
  <r>
    <x v="4"/>
    <s v="Nigeria Agro Export Company"/>
    <x v="5"/>
    <s v="4/13/2021"/>
    <n v="326"/>
    <n v="13973.69"/>
    <n v="7279.87"/>
    <n v="4555422.9400000004"/>
    <s v="Lagos"/>
    <s v="Sea"/>
    <x v="1"/>
    <n v="2373237.62"/>
  </r>
  <r>
    <x v="4"/>
    <s v="Solid Agro Nigeria Limited"/>
    <x v="4"/>
    <s v="2/18/2021"/>
    <n v="292"/>
    <n v="27482.77"/>
    <n v="3727.66"/>
    <n v="8024968.8399999999"/>
    <s v="Lagos"/>
    <s v="Sea"/>
    <x v="1"/>
    <n v="1088476.72"/>
  </r>
  <r>
    <x v="4"/>
    <s v="Greenfield Agro Exporters Nigeria Limited"/>
    <x v="4"/>
    <s v="3/29/2021"/>
    <n v="586"/>
    <n v="24919.56"/>
    <n v="9611.18"/>
    <n v="14602862.16"/>
    <s v="Warri"/>
    <s v="Sea"/>
    <x v="1"/>
    <n v="5632151.4800000004"/>
  </r>
  <r>
    <x v="4"/>
    <s v="Nigerian Export Promotion Council (NEPC)"/>
    <x v="4"/>
    <s v="5/2/2021"/>
    <n v="655"/>
    <n v="45931.66"/>
    <n v="6251.45"/>
    <n v="30085237.300000001"/>
    <s v="Lagos"/>
    <s v="Sea"/>
    <x v="1"/>
    <n v="4094699.75"/>
  </r>
  <r>
    <x v="4"/>
    <s v="Agro Export Nigeria Ltd"/>
    <x v="7"/>
    <s v="10/7/2021"/>
    <n v="795"/>
    <n v="39866.44"/>
    <n v="8970.09"/>
    <n v="31693819.800000001"/>
    <s v="Port Harcourt"/>
    <s v="Sea"/>
    <x v="1"/>
    <n v="7131221.5499999998"/>
  </r>
  <r>
    <x v="4"/>
    <s v="Agriplus Nigeria Limited"/>
    <x v="7"/>
    <s v="4/25/2021"/>
    <n v="498"/>
    <n v="10454.43"/>
    <n v="7341.9"/>
    <n v="5206306.1399999997"/>
    <s v="Lagos"/>
    <s v="Sea"/>
    <x v="1"/>
    <n v="3656266.1999999997"/>
  </r>
  <r>
    <x v="4"/>
    <s v="Farmgate Nigeria Limited"/>
    <x v="7"/>
    <s v="4/28/2021"/>
    <n v="437"/>
    <n v="34043.56"/>
    <n v="9211.58"/>
    <n v="14877035.720000001"/>
    <s v="Lagos"/>
    <s v="Sea"/>
    <x v="1"/>
    <n v="4025460.46"/>
  </r>
  <r>
    <x v="4"/>
    <s v="Agro Allied Exporters Nigeria Limited"/>
    <x v="7"/>
    <s v="7/30/2021"/>
    <n v="367"/>
    <n v="41045.83"/>
    <n v="2057.84"/>
    <n v="15063819.609999999"/>
    <s v="Port Harcourt"/>
    <s v="Sea"/>
    <x v="1"/>
    <n v="755227.28"/>
  </r>
  <r>
    <x v="4"/>
    <s v="Nigerian Export Promotion Council (NEPC)"/>
    <x v="6"/>
    <s v="10/4/2021"/>
    <n v="535"/>
    <n v="48301.99"/>
    <n v="9496.39"/>
    <n v="25841564.649999999"/>
    <s v="Calabar"/>
    <s v="Sea"/>
    <x v="1"/>
    <n v="5080568.6499999994"/>
  </r>
  <r>
    <x v="4"/>
    <s v="Golden Farms Nigeria Limited"/>
    <x v="6"/>
    <s v="11/14/2021"/>
    <n v="323"/>
    <n v="17650.490000000002"/>
    <n v="7102.23"/>
    <n v="5701108.2699999996"/>
    <s v="Lagos"/>
    <s v="Sea"/>
    <x v="1"/>
    <n v="2294020.29"/>
  </r>
  <r>
    <x v="4"/>
    <s v="Farmgate Nigeria Limited"/>
    <x v="6"/>
    <s v="11/30/2021"/>
    <n v="809"/>
    <n v="22118.5"/>
    <n v="3485.39"/>
    <n v="17893866.5"/>
    <s v="Port Harcourt"/>
    <s v="Sea"/>
    <x v="1"/>
    <n v="2819680.51"/>
  </r>
  <r>
    <x v="4"/>
    <s v="Agro Export Nigeria Ltd"/>
    <x v="6"/>
    <s v="7/31/2021"/>
    <n v="407"/>
    <n v="46822.22"/>
    <n v="6834.45"/>
    <n v="19056643.539999999"/>
    <s v="Calabar"/>
    <s v="Sea"/>
    <x v="1"/>
    <n v="2781621.15"/>
  </r>
  <r>
    <x v="4"/>
    <s v="Agriplus Nigeria Limited"/>
    <x v="1"/>
    <s v="2/24/2021"/>
    <n v="517"/>
    <n v="35729.89"/>
    <n v="7932.64"/>
    <n v="18472353.129999999"/>
    <s v="Lagos"/>
    <s v="Sea"/>
    <x v="1"/>
    <n v="4101174.8800000004"/>
  </r>
  <r>
    <x v="4"/>
    <s v="Agro Allied Exporters Nigeria Limited"/>
    <x v="1"/>
    <s v="2/27/2021"/>
    <n v="919"/>
    <n v="12736.81"/>
    <n v="5369.17"/>
    <n v="11705128.390000001"/>
    <s v="Lagos"/>
    <s v="Sea"/>
    <x v="1"/>
    <n v="4934267.2300000004"/>
  </r>
  <r>
    <x v="4"/>
    <s v="Nigeria Agro Export Company"/>
    <x v="1"/>
    <s v="5/10/2021"/>
    <n v="215"/>
    <n v="17273.349999999999"/>
    <n v="8601.77"/>
    <n v="3713770.25"/>
    <s v="Lagos"/>
    <s v="Sea"/>
    <x v="1"/>
    <n v="1849380.55"/>
  </r>
  <r>
    <x v="4"/>
    <s v="Agro Allied Exporters Nigeria Limited"/>
    <x v="1"/>
    <s v="8/19/2021"/>
    <n v="474"/>
    <n v="18544.439999999999"/>
    <n v="5802.97"/>
    <n v="8790064.5600000005"/>
    <s v="Lagos"/>
    <s v="Sea"/>
    <x v="1"/>
    <n v="2750607.7800000003"/>
  </r>
  <r>
    <x v="4"/>
    <s v="Farmgate Nigeria Limited"/>
    <x v="8"/>
    <s v="6/9/2021"/>
    <n v="666"/>
    <n v="16418.88"/>
    <n v="5763.85"/>
    <n v="10934974.08"/>
    <s v="Lagos"/>
    <s v="Sea"/>
    <x v="1"/>
    <n v="3838724.1"/>
  </r>
  <r>
    <x v="4"/>
    <s v="Solid Agro Nigeria Limited"/>
    <x v="8"/>
    <s v="8/5/2021"/>
    <n v="493"/>
    <n v="40539.5"/>
    <n v="2449.86"/>
    <n v="19985973.5"/>
    <s v="Lagos"/>
    <s v="Sea"/>
    <x v="1"/>
    <n v="1207780.98"/>
  </r>
  <r>
    <x v="4"/>
    <s v="Agro Export Nigeria Ltd"/>
    <x v="9"/>
    <s v="11/7/2022"/>
    <n v="184"/>
    <n v="13442.51"/>
    <n v="6666.22"/>
    <n v="2473421.84"/>
    <s v="Lagos"/>
    <s v="Sea"/>
    <x v="2"/>
    <n v="1226584.48"/>
  </r>
  <r>
    <x v="4"/>
    <s v="Prime Agro Exports Nigeria Limited"/>
    <x v="9"/>
    <s v="12/19/2022"/>
    <n v="387"/>
    <n v="48052.05"/>
    <n v="4922.24"/>
    <n v="18596143.350000001"/>
    <s v="Warri"/>
    <s v="Sea"/>
    <x v="2"/>
    <n v="1904906.88"/>
  </r>
  <r>
    <x v="4"/>
    <s v="Agro Export Nigeria Ltd"/>
    <x v="0"/>
    <s v="7/13/2022"/>
    <n v="324"/>
    <n v="21715.79"/>
    <n v="5623.25"/>
    <n v="7035915.96"/>
    <s v="Warri"/>
    <s v="Sea"/>
    <x v="2"/>
    <n v="1821933"/>
  </r>
  <r>
    <x v="4"/>
    <s v="Greenfield Agro Exporters Nigeria Limited"/>
    <x v="3"/>
    <s v="7/13/2022"/>
    <n v="305"/>
    <n v="11804.84"/>
    <n v="5226.45"/>
    <n v="3600476.2"/>
    <s v="Lagos"/>
    <s v="Sea"/>
    <x v="2"/>
    <n v="1594067.25"/>
  </r>
  <r>
    <x v="4"/>
    <s v="Prime Agro Exports Nigeria Limited"/>
    <x v="3"/>
    <s v="7/9/2022"/>
    <n v="485"/>
    <n v="25387.8"/>
    <n v="8532.36"/>
    <n v="12313083"/>
    <s v="Lagos"/>
    <s v="Sea"/>
    <x v="2"/>
    <n v="4138194.6"/>
  </r>
  <r>
    <x v="4"/>
    <s v="Agro Allied Exporters Nigeria Limited"/>
    <x v="3"/>
    <s v="8/24/2022"/>
    <n v="194"/>
    <n v="24659.84"/>
    <n v="5943.96"/>
    <n v="4784008.96"/>
    <s v="Port Harcourt"/>
    <s v="Sea"/>
    <x v="2"/>
    <n v="1153128.24"/>
  </r>
  <r>
    <x v="4"/>
    <s v="Nigeria Agro Export Company"/>
    <x v="2"/>
    <s v="3/12/2022"/>
    <n v="421"/>
    <n v="30096.76"/>
    <n v="2841.69"/>
    <n v="12670735.960000001"/>
    <s v="Lagos"/>
    <s v="Sea"/>
    <x v="2"/>
    <n v="1196351.49"/>
  </r>
  <r>
    <x v="4"/>
    <s v="Agro Allied Exporters Nigeria Limited"/>
    <x v="2"/>
    <s v="6/2/2022"/>
    <n v="322"/>
    <n v="24656.86"/>
    <n v="9823.39"/>
    <n v="7939508.9199999999"/>
    <s v="Lagos"/>
    <s v="Sea"/>
    <x v="2"/>
    <n v="3163131.5799999996"/>
  </r>
  <r>
    <x v="4"/>
    <s v="Farmgate Nigeria Limited"/>
    <x v="2"/>
    <s v="8/15/2022"/>
    <n v="595"/>
    <n v="33805.15"/>
    <n v="8217.57"/>
    <n v="20114064.25"/>
    <s v="Lagos"/>
    <s v="Sea"/>
    <x v="2"/>
    <n v="4889454.1499999994"/>
  </r>
  <r>
    <x v="4"/>
    <s v="Agro Export Nigeria Ltd"/>
    <x v="5"/>
    <s v="11/16/2022"/>
    <n v="565"/>
    <n v="39969.300000000003"/>
    <n v="7847.11"/>
    <n v="22582654.5"/>
    <s v="Lagos"/>
    <s v="Sea"/>
    <x v="2"/>
    <n v="4433617.1499999994"/>
  </r>
  <r>
    <x v="4"/>
    <s v="Farmgate Nigeria Limited"/>
    <x v="5"/>
    <s v="3/16/2022"/>
    <n v="922"/>
    <n v="41854.17"/>
    <n v="4970.7299999999996"/>
    <n v="38589544.740000002"/>
    <s v="Lagos"/>
    <s v="Sea"/>
    <x v="2"/>
    <n v="4583013.0599999996"/>
  </r>
  <r>
    <x v="4"/>
    <s v="Golden Farms Nigeria Limited"/>
    <x v="5"/>
    <s v="7/30/2022"/>
    <n v="493"/>
    <n v="39934.19"/>
    <n v="4981.33"/>
    <n v="19687555.670000002"/>
    <s v="Calabar"/>
    <s v="Sea"/>
    <x v="2"/>
    <n v="2455795.69"/>
  </r>
  <r>
    <x v="4"/>
    <s v="Solid Agro Nigeria Limited"/>
    <x v="5"/>
    <s v="8/18/2022"/>
    <n v="282"/>
    <n v="44740.94"/>
    <n v="5574.34"/>
    <n v="12616945.08"/>
    <s v="Lagos"/>
    <s v="Sea"/>
    <x v="2"/>
    <n v="1571963.8800000001"/>
  </r>
  <r>
    <x v="4"/>
    <s v="Prime Agro Exports Nigeria Limited"/>
    <x v="5"/>
    <s v="8/3/2022"/>
    <n v="796"/>
    <n v="49695.31"/>
    <n v="6588.39"/>
    <n v="39557466.759999998"/>
    <s v="Warri"/>
    <s v="Sea"/>
    <x v="2"/>
    <n v="5244358.4400000004"/>
  </r>
  <r>
    <x v="4"/>
    <s v="Solid Agro Nigeria Limited"/>
    <x v="4"/>
    <s v="10/24/2022"/>
    <n v="301"/>
    <n v="15004.45"/>
    <n v="9281.36"/>
    <n v="4516339.45"/>
    <s v="Lagos"/>
    <s v="Sea"/>
    <x v="2"/>
    <n v="2793689.3600000003"/>
  </r>
  <r>
    <x v="4"/>
    <s v="Greenfield Agro Exporters Nigeria Limited"/>
    <x v="7"/>
    <s v="10/28/2022"/>
    <n v="485"/>
    <n v="21156.93"/>
    <n v="3688.43"/>
    <n v="10261111.050000001"/>
    <s v="Calabar"/>
    <s v="Sea"/>
    <x v="2"/>
    <n v="1788888.5499999998"/>
  </r>
  <r>
    <x v="4"/>
    <s v="Golden Farms Nigeria Limited"/>
    <x v="7"/>
    <s v="5/19/2022"/>
    <n v="708"/>
    <n v="45286.58"/>
    <n v="5659.91"/>
    <n v="32062898.640000001"/>
    <s v="Lagos"/>
    <s v="Sea"/>
    <x v="2"/>
    <n v="4007216.28"/>
  </r>
  <r>
    <x v="4"/>
    <s v="Prime Agro Exports Nigeria Limited"/>
    <x v="6"/>
    <s v="1/10/2022"/>
    <n v="304"/>
    <n v="41022.879999999997"/>
    <n v="3565.88"/>
    <n v="12470955.52"/>
    <s v="Port Harcourt"/>
    <s v="Sea"/>
    <x v="2"/>
    <n v="1084027.52"/>
  </r>
  <r>
    <x v="4"/>
    <s v="Nigerian Export Promotion Council (NEPC)"/>
    <x v="6"/>
    <s v="1/8/2022"/>
    <n v="461"/>
    <n v="17111.71"/>
    <n v="4498.67"/>
    <n v="7888498.3099999996"/>
    <s v="Lagos"/>
    <s v="Sea"/>
    <x v="2"/>
    <n v="2073886.87"/>
  </r>
  <r>
    <x v="4"/>
    <s v="Agro Export Nigeria Ltd"/>
    <x v="6"/>
    <s v="2/8/2022"/>
    <n v="659"/>
    <n v="49156.21"/>
    <n v="8159.59"/>
    <n v="32393942.390000001"/>
    <s v="Lagos"/>
    <s v="Sea"/>
    <x v="2"/>
    <n v="5377169.8100000005"/>
  </r>
  <r>
    <x v="4"/>
    <s v="Agro Export Nigeria Ltd"/>
    <x v="1"/>
    <s v="11/29/2022"/>
    <n v="807"/>
    <n v="26045.19"/>
    <n v="3752.77"/>
    <n v="21018468.329999998"/>
    <s v="Lagos"/>
    <s v="Sea"/>
    <x v="2"/>
    <n v="3028485.39"/>
  </r>
  <r>
    <x v="4"/>
    <s v="Golden Farms Nigeria Limited"/>
    <x v="1"/>
    <s v="11/29/2022"/>
    <n v="519"/>
    <n v="10348.61"/>
    <n v="4190.3100000000004"/>
    <n v="5370928.5899999999"/>
    <s v="Lagos"/>
    <s v="Sea"/>
    <x v="2"/>
    <n v="2174770.89"/>
  </r>
  <r>
    <x v="4"/>
    <s v="Golden Farms Nigeria Limited"/>
    <x v="1"/>
    <s v="12/18/2022"/>
    <n v="357"/>
    <n v="18747.68"/>
    <n v="6313.93"/>
    <n v="6692921.7599999998"/>
    <s v="Lagos"/>
    <s v="Sea"/>
    <x v="2"/>
    <n v="2254073.0100000002"/>
  </r>
  <r>
    <x v="4"/>
    <s v="Nigeria Agro Export Company"/>
    <x v="1"/>
    <s v="2/19/2022"/>
    <n v="508"/>
    <n v="31225.599999999999"/>
    <n v="8159.69"/>
    <n v="15862604.800000001"/>
    <s v="Warri"/>
    <s v="Sea"/>
    <x v="2"/>
    <n v="4145122.52"/>
  </r>
  <r>
    <x v="4"/>
    <s v="Agriplus Nigeria Limited"/>
    <x v="8"/>
    <s v="11/4/2022"/>
    <n v="961"/>
    <n v="35793.54"/>
    <n v="2956.63"/>
    <n v="34397591.939999998"/>
    <s v="Lagos"/>
    <s v="Sea"/>
    <x v="2"/>
    <n v="2841321.43"/>
  </r>
  <r>
    <x v="4"/>
    <s v="Nigerian Export Promotion Council (NEPC)"/>
    <x v="8"/>
    <s v="6/3/2022"/>
    <n v="229"/>
    <n v="10532.67"/>
    <n v="8592.31"/>
    <n v="2411981.4300000002"/>
    <s v="Lagos"/>
    <s v="Sea"/>
    <x v="2"/>
    <n v="1967638.99"/>
  </r>
  <r>
    <x v="4"/>
    <s v="Prime Agro Exports Nigeria Limited"/>
    <x v="9"/>
    <s v="4/6/2023"/>
    <n v="569"/>
    <n v="45141.75"/>
    <n v="8810.6299999999992"/>
    <n v="25685655.75"/>
    <s v="Port Harcourt"/>
    <s v="Sea"/>
    <x v="3"/>
    <n v="5013248.47"/>
  </r>
  <r>
    <x v="4"/>
    <s v="Greenfield Agro Exporters Nigeria Limited"/>
    <x v="9"/>
    <s v="8/26/2023"/>
    <n v="606"/>
    <n v="13144.69"/>
    <n v="5052.79"/>
    <n v="7965682.1399999997"/>
    <s v="Lagos"/>
    <s v="Sea"/>
    <x v="3"/>
    <n v="3061990.7399999998"/>
  </r>
  <r>
    <x v="4"/>
    <s v="Nigerian Export Promotion Council (NEPC)"/>
    <x v="0"/>
    <s v="4/1/2023"/>
    <n v="180"/>
    <n v="22060.92"/>
    <n v="3219.94"/>
    <n v="3970965.6"/>
    <s v="Warri"/>
    <s v="Sea"/>
    <x v="3"/>
    <n v="579589.19999999995"/>
  </r>
  <r>
    <x v="4"/>
    <s v="Nigeria Agro Export Company"/>
    <x v="3"/>
    <s v="10/24/2023"/>
    <n v="420"/>
    <n v="28193.75"/>
    <n v="6419.32"/>
    <n v="11841375"/>
    <s v="Warri"/>
    <s v="Sea"/>
    <x v="3"/>
    <n v="2696114.4"/>
  </r>
  <r>
    <x v="4"/>
    <s v="Agro Export Nigeria Ltd"/>
    <x v="3"/>
    <s v="11/17/2023"/>
    <n v="936"/>
    <n v="17721.41"/>
    <n v="9564.42"/>
    <n v="16587239.76"/>
    <s v="Lagos"/>
    <s v="Sea"/>
    <x v="3"/>
    <n v="8952297.1199999992"/>
  </r>
  <r>
    <x v="4"/>
    <s v="Nigerian Export Promotion Council (NEPC)"/>
    <x v="3"/>
    <s v="5/23/2023"/>
    <n v="567"/>
    <n v="35646.93"/>
    <n v="2499.84"/>
    <n v="20211809.309999999"/>
    <s v="Lagos"/>
    <s v="Sea"/>
    <x v="3"/>
    <n v="1417409.28"/>
  </r>
  <r>
    <x v="4"/>
    <s v="Agro Export Nigeria Ltd"/>
    <x v="3"/>
    <s v="6/5/2023"/>
    <n v="234"/>
    <n v="30962.68"/>
    <n v="6008.63"/>
    <n v="7245267.1200000001"/>
    <s v="Port Harcourt"/>
    <s v="Sea"/>
    <x v="3"/>
    <n v="1406019.42"/>
  </r>
  <r>
    <x v="4"/>
    <s v="Greenfield Agro Exporters Nigeria Limited"/>
    <x v="1"/>
    <s v="6/5/2023"/>
    <n v="474"/>
    <n v="30841.13"/>
    <n v="4757.91"/>
    <n v="14618695.619999999"/>
    <s v="Warri"/>
    <s v="Sea"/>
    <x v="3"/>
    <n v="2255249.34"/>
  </r>
  <r>
    <x v="4"/>
    <s v="Farmgate Nigeria Limited"/>
    <x v="3"/>
    <s v="7/4/2023"/>
    <n v="278"/>
    <n v="20419.169999999998"/>
    <n v="5664.55"/>
    <n v="5676529.2599999998"/>
    <s v="Warri"/>
    <s v="Sea"/>
    <x v="3"/>
    <n v="1574744.9000000001"/>
  </r>
  <r>
    <x v="4"/>
    <s v="Nigeria Agro Export Company"/>
    <x v="2"/>
    <s v="7/4/2023"/>
    <n v="354"/>
    <n v="31027.21"/>
    <n v="9520.25"/>
    <n v="10983632.34"/>
    <s v="Warri"/>
    <s v="Sea"/>
    <x v="3"/>
    <n v="3370168.5"/>
  </r>
  <r>
    <x v="4"/>
    <s v="Prime Agro Exports Nigeria Limited"/>
    <x v="2"/>
    <s v="1/8/2023"/>
    <n v="988"/>
    <n v="28860.1"/>
    <n v="3599.16"/>
    <n v="28513778.800000001"/>
    <s v="Port Harcourt"/>
    <s v="Sea"/>
    <x v="3"/>
    <n v="3555970.08"/>
  </r>
  <r>
    <x v="4"/>
    <s v="Agro Allied Exporters Nigeria Limited"/>
    <x v="2"/>
    <s v="7/3/2023"/>
    <n v="218"/>
    <n v="34380.18"/>
    <n v="5264.59"/>
    <n v="7494879.2400000002"/>
    <s v="Lagos"/>
    <s v="Sea"/>
    <x v="3"/>
    <n v="1147680.6200000001"/>
  </r>
  <r>
    <x v="4"/>
    <s v="Nigerian Export Promotion Council (NEPC)"/>
    <x v="5"/>
    <s v="2/12/2023"/>
    <n v="610"/>
    <n v="39943.949999999997"/>
    <n v="7608.7"/>
    <n v="24365809.5"/>
    <s v="Lagos"/>
    <s v="Sea"/>
    <x v="3"/>
    <n v="4641307"/>
  </r>
  <r>
    <x v="4"/>
    <s v="Agriplus Nigeria Limited"/>
    <x v="5"/>
    <s v="3/30/2023"/>
    <n v="147"/>
    <n v="21580.37"/>
    <n v="5867.99"/>
    <n v="3172314.39"/>
    <s v="Lagos"/>
    <s v="Sea"/>
    <x v="3"/>
    <n v="862594.52999999991"/>
  </r>
  <r>
    <x v="4"/>
    <s v="Nigeria Agro Export Company"/>
    <x v="5"/>
    <s v="4/4/2023"/>
    <n v="671"/>
    <n v="28843.84"/>
    <n v="8442.44"/>
    <n v="19354216.640000001"/>
    <s v="Lagos"/>
    <s v="Sea"/>
    <x v="3"/>
    <n v="5664877.2400000002"/>
  </r>
  <r>
    <x v="4"/>
    <s v="Agriplus Nigeria Limited"/>
    <x v="8"/>
    <s v="4/4/2023"/>
    <n v="109"/>
    <n v="46963.79"/>
    <n v="2316.44"/>
    <n v="5119053.1100000003"/>
    <s v="Port Harcourt"/>
    <s v="Sea"/>
    <x v="3"/>
    <n v="252491.96"/>
  </r>
  <r>
    <x v="4"/>
    <s v="Solid Agro Nigeria Limited"/>
    <x v="5"/>
    <s v="5/7/2023"/>
    <n v="883"/>
    <n v="14518.98"/>
    <n v="2316.41"/>
    <n v="12820259.34"/>
    <s v="Warri"/>
    <s v="Sea"/>
    <x v="3"/>
    <n v="2045390.0299999998"/>
  </r>
  <r>
    <x v="4"/>
    <s v="Golden Farms Nigeria Limited"/>
    <x v="5"/>
    <s v="8/1/2023"/>
    <n v="459"/>
    <n v="46065.87"/>
    <n v="9128.74"/>
    <n v="21144234.329999998"/>
    <s v="Lagos"/>
    <s v="Sea"/>
    <x v="3"/>
    <n v="4190091.6599999997"/>
  </r>
  <r>
    <x v="4"/>
    <s v="Farmgate Nigeria Limited"/>
    <x v="5"/>
    <s v="8/20/2023"/>
    <n v="597"/>
    <n v="41654.949999999997"/>
    <n v="3911.88"/>
    <n v="24868005.149999999"/>
    <s v="Lagos"/>
    <s v="Sea"/>
    <x v="3"/>
    <n v="2335392.36"/>
  </r>
  <r>
    <x v="4"/>
    <s v="Agro Allied Exporters Nigeria Limited"/>
    <x v="7"/>
    <s v="8/20/2023"/>
    <n v="863"/>
    <n v="49549.96"/>
    <n v="4979.97"/>
    <n v="42761615.479999997"/>
    <s v="Lagos"/>
    <s v="Sea"/>
    <x v="3"/>
    <n v="4297714.1100000003"/>
  </r>
  <r>
    <x v="4"/>
    <s v="Agriplus Nigeria Limited"/>
    <x v="4"/>
    <s v="8/30/2023"/>
    <n v="227"/>
    <n v="18867.009999999998"/>
    <n v="9051.2900000000009"/>
    <n v="4282811.2699999996"/>
    <s v="Lagos"/>
    <s v="Sea"/>
    <x v="3"/>
    <n v="2054642.8300000003"/>
  </r>
  <r>
    <x v="4"/>
    <s v="Solid Agro Nigeria Limited"/>
    <x v="7"/>
    <s v="2/18/2023"/>
    <n v="627"/>
    <n v="15178.04"/>
    <n v="9884.25"/>
    <n v="9516631.0800000001"/>
    <s v="Port Harcourt"/>
    <s v="Sea"/>
    <x v="3"/>
    <n v="6197424.75"/>
  </r>
  <r>
    <x v="4"/>
    <s v="Nigerian Export Promotion Council (NEPC)"/>
    <x v="7"/>
    <s v="3/3/2023"/>
    <n v="913"/>
    <n v="30290.13"/>
    <n v="9751.19"/>
    <n v="27654888.690000001"/>
    <s v="Lagos"/>
    <s v="Sea"/>
    <x v="3"/>
    <n v="8902836.4700000007"/>
  </r>
  <r>
    <x v="4"/>
    <s v="Agro Export Nigeria Ltd"/>
    <x v="7"/>
    <s v="9/20/2023"/>
    <n v="338"/>
    <n v="10969.85"/>
    <n v="9711.49"/>
    <n v="3707809.3"/>
    <s v="Calabar"/>
    <s v="Sea"/>
    <x v="3"/>
    <n v="3282483.62"/>
  </r>
  <r>
    <x v="4"/>
    <s v="Agro Export Nigeria Ltd"/>
    <x v="6"/>
    <s v="12/15/2023"/>
    <n v="733"/>
    <n v="33421.870000000003"/>
    <n v="2554.29"/>
    <n v="24498230.710000001"/>
    <s v="Port Harcourt"/>
    <s v="Sea"/>
    <x v="3"/>
    <n v="1872294.57"/>
  </r>
  <r>
    <x v="4"/>
    <s v="Greenfield Agro Exporters Nigeria Limited"/>
    <x v="6"/>
    <s v="7/31/2023"/>
    <n v="662"/>
    <n v="29217.41"/>
    <n v="4929.24"/>
    <n v="19341925.420000002"/>
    <s v="Warri"/>
    <s v="Sea"/>
    <x v="3"/>
    <n v="3263156.88"/>
  </r>
  <r>
    <x v="4"/>
    <s v="Agriplus Nigeria Limited"/>
    <x v="1"/>
    <s v="1/21/2023"/>
    <n v="530"/>
    <n v="14332.67"/>
    <n v="8759.32"/>
    <n v="7596315.0999999996"/>
    <s v="Lagos"/>
    <s v="Sea"/>
    <x v="3"/>
    <n v="4642439.5999999996"/>
  </r>
  <r>
    <x v="4"/>
    <s v="Nigerian Export Promotion Council (NEPC)"/>
    <x v="1"/>
    <s v="11/1/2023"/>
    <n v="869"/>
    <n v="25911.15"/>
    <n v="6977.8"/>
    <n v="22516789.350000001"/>
    <s v="Calabar"/>
    <s v="Sea"/>
    <x v="3"/>
    <n v="6063708.2000000002"/>
  </r>
  <r>
    <x v="4"/>
    <s v="Prime Agro Exports Nigeria Limited"/>
    <x v="1"/>
    <s v="2/26/2023"/>
    <n v="315"/>
    <n v="41679.019999999997"/>
    <n v="9014.24"/>
    <n v="13128891.300000001"/>
    <s v="Warri"/>
    <s v="Sea"/>
    <x v="3"/>
    <n v="2839485.6"/>
  </r>
  <r>
    <x v="4"/>
    <s v="Agro Export Nigeria Ltd"/>
    <x v="1"/>
    <s v="6/14/2023"/>
    <n v="211"/>
    <n v="16085.4"/>
    <n v="7668.27"/>
    <n v="3394019.4"/>
    <s v="Port Harcourt"/>
    <s v="Sea"/>
    <x v="3"/>
    <n v="1618004.9700000002"/>
  </r>
  <r>
    <x v="4"/>
    <s v="Agro Allied Exporters Nigeria Limited"/>
    <x v="1"/>
    <s v="7/24/2023"/>
    <n v="486"/>
    <n v="31281.06"/>
    <n v="3986.65"/>
    <n v="15202595.16"/>
    <s v="Lagos"/>
    <s v="Sea"/>
    <x v="3"/>
    <n v="1937511.9000000001"/>
  </r>
  <r>
    <x v="4"/>
    <s v="Agriplus Nigeria Limited"/>
    <x v="1"/>
    <s v="9/6/2023"/>
    <n v="614"/>
    <n v="28806.400000000001"/>
    <n v="3097.77"/>
    <n v="17687129.600000001"/>
    <s v="Lagos"/>
    <s v="Sea"/>
    <x v="3"/>
    <n v="1902030.78"/>
  </r>
  <r>
    <x v="4"/>
    <s v="Nigerian Export Promotion Council (NEPC)"/>
    <x v="8"/>
    <s v="4/10/2023"/>
    <n v="336"/>
    <n v="35609.269999999997"/>
    <n v="7905.08"/>
    <n v="11964714.720000001"/>
    <s v="Port Harcourt"/>
    <s v="Sea"/>
    <x v="3"/>
    <n v="2656106.88"/>
  </r>
  <r>
    <x v="5"/>
    <s v="Nigeria Agro Export Company"/>
    <x v="5"/>
    <s v="3/2/2020"/>
    <n v="121"/>
    <n v="49472.480000000003"/>
    <n v="2772.91"/>
    <n v="5986170.0800000001"/>
    <s v="Calabar"/>
    <s v="Sea"/>
    <x v="0"/>
    <n v="335522.11"/>
  </r>
  <r>
    <x v="5"/>
    <s v="Agro Allied Exporters Nigeria Limited"/>
    <x v="5"/>
    <s v="3/6/2020"/>
    <n v="368"/>
    <n v="30048.91"/>
    <n v="2336.56"/>
    <n v="11057998.880000001"/>
    <s v="Lagos"/>
    <s v="Sea"/>
    <x v="0"/>
    <n v="859854.08"/>
  </r>
  <r>
    <x v="5"/>
    <s v="Greenfield Agro Exporters Nigeria Limited"/>
    <x v="5"/>
    <s v="6/25/2020"/>
    <n v="430"/>
    <n v="18902.8"/>
    <n v="5916.22"/>
    <n v="8128204"/>
    <s v="Port Harcourt"/>
    <s v="Sea"/>
    <x v="0"/>
    <n v="2543974.6"/>
  </r>
  <r>
    <x v="5"/>
    <s v="Golden Farms Nigeria Limited"/>
    <x v="5"/>
    <s v="8/16/2020"/>
    <n v="617"/>
    <n v="11446.76"/>
    <n v="6752.01"/>
    <n v="7062650.9199999999"/>
    <s v="Calabar"/>
    <s v="Sea"/>
    <x v="0"/>
    <n v="4165990.17"/>
  </r>
  <r>
    <x v="5"/>
    <s v="Prime Agro Exports Nigeria Limited"/>
    <x v="2"/>
    <s v="3/13/2020"/>
    <n v="910"/>
    <n v="34668.65"/>
    <n v="3347.95"/>
    <n v="31548471.5"/>
    <s v="Calabar"/>
    <s v="Sea"/>
    <x v="0"/>
    <n v="3046634.5"/>
  </r>
  <r>
    <x v="5"/>
    <s v="Agriplus Nigeria Limited"/>
    <x v="2"/>
    <s v="7/24/2020"/>
    <n v="498"/>
    <n v="15043.56"/>
    <n v="2367.6"/>
    <n v="7491692.8799999999"/>
    <s v="Lagos"/>
    <s v="Sea"/>
    <x v="0"/>
    <n v="1179064.8"/>
  </r>
  <r>
    <x v="5"/>
    <s v="Prime Agro Exports Nigeria Limited"/>
    <x v="2"/>
    <s v="8/29/2020"/>
    <n v="631"/>
    <n v="30503.360000000001"/>
    <n v="9796.94"/>
    <n v="19247620.16"/>
    <s v="Lagos"/>
    <s v="Sea"/>
    <x v="0"/>
    <n v="6181869.1400000006"/>
  </r>
  <r>
    <x v="5"/>
    <s v="Greenfield Agro Exporters Nigeria Limited"/>
    <x v="0"/>
    <s v="1/30/2020"/>
    <n v="458"/>
    <n v="13812.54"/>
    <n v="3177.15"/>
    <n v="6326143.3200000003"/>
    <s v="Lagos"/>
    <s v="Sea"/>
    <x v="0"/>
    <n v="1455134.7"/>
  </r>
  <r>
    <x v="5"/>
    <s v="Nigerian Export Promotion Council (NEPC)"/>
    <x v="0"/>
    <s v="10/1/2020"/>
    <n v="223"/>
    <n v="32345.62"/>
    <n v="8780.61"/>
    <n v="7213073.2599999998"/>
    <s v="Lagos"/>
    <s v="Sea"/>
    <x v="0"/>
    <n v="1958076.03"/>
  </r>
  <r>
    <x v="5"/>
    <s v="Solid Agro Nigeria Limited"/>
    <x v="0"/>
    <s v="12/30/2020"/>
    <n v="574"/>
    <n v="13194.29"/>
    <n v="8175.79"/>
    <n v="7573522.46"/>
    <s v="Warri"/>
    <s v="Sea"/>
    <x v="0"/>
    <n v="4692903.46"/>
  </r>
  <r>
    <x v="5"/>
    <s v="Nigeria Agro Export Company"/>
    <x v="7"/>
    <s v="12/25/2020"/>
    <n v="363"/>
    <n v="21256.720000000001"/>
    <n v="4413.29"/>
    <n v="7716189.3600000003"/>
    <s v="Lagos"/>
    <s v="Sea"/>
    <x v="0"/>
    <n v="1602024.27"/>
  </r>
  <r>
    <x v="5"/>
    <s v="Nigeria Agro Export Company"/>
    <x v="7"/>
    <s v="4/24/2020"/>
    <n v="298"/>
    <n v="48711.59"/>
    <n v="8683.01"/>
    <n v="14516053.82"/>
    <s v="Warri"/>
    <s v="Sea"/>
    <x v="0"/>
    <n v="2587536.98"/>
  </r>
  <r>
    <x v="5"/>
    <s v="Agro Export Nigeria Ltd"/>
    <x v="7"/>
    <s v="5/18/2020"/>
    <n v="347"/>
    <n v="23501.68"/>
    <n v="4710.34"/>
    <n v="8155082.96"/>
    <s v="Lagos"/>
    <s v="Sea"/>
    <x v="0"/>
    <n v="1634487.98"/>
  </r>
  <r>
    <x v="5"/>
    <s v="Nigeria Agro Export Company"/>
    <x v="7"/>
    <s v="8/13/2020"/>
    <n v="743"/>
    <n v="26050.959999999999"/>
    <n v="3800.89"/>
    <n v="19355863.280000001"/>
    <s v="Lagos"/>
    <s v="Sea"/>
    <x v="0"/>
    <n v="2824061.27"/>
  </r>
  <r>
    <x v="5"/>
    <s v="Nigerian Export Promotion Council (NEPC)"/>
    <x v="9"/>
    <s v="1/23/2020"/>
    <n v="870"/>
    <n v="28422.6"/>
    <n v="7385.82"/>
    <n v="24727662"/>
    <s v="Port Harcourt"/>
    <s v="Sea"/>
    <x v="0"/>
    <n v="6425663.3999999994"/>
  </r>
  <r>
    <x v="5"/>
    <s v="Prime Agro Exports Nigeria Limited"/>
    <x v="9"/>
    <s v="8/25/2020"/>
    <n v="141"/>
    <n v="46391.24"/>
    <n v="5976.25"/>
    <n v="6541164.8399999999"/>
    <s v="Port Harcourt"/>
    <s v="Sea"/>
    <x v="0"/>
    <n v="842651.25"/>
  </r>
  <r>
    <x v="5"/>
    <s v="Agro Allied Exporters Nigeria Limited"/>
    <x v="8"/>
    <s v="8/25/2020"/>
    <n v="844"/>
    <n v="34836.78"/>
    <n v="2564.4299999999998"/>
    <n v="29402242.32"/>
    <s v="Lagos"/>
    <s v="Sea"/>
    <x v="0"/>
    <n v="2164378.92"/>
  </r>
  <r>
    <x v="5"/>
    <s v="Solid Agro Nigeria Limited"/>
    <x v="9"/>
    <s v="8/8/2020"/>
    <n v="463"/>
    <n v="21324.19"/>
    <n v="5651.94"/>
    <n v="9873099.9700000007"/>
    <s v="Lagos"/>
    <s v="Sea"/>
    <x v="0"/>
    <n v="2616848.2199999997"/>
  </r>
  <r>
    <x v="5"/>
    <s v="Greenfield Agro Exporters Nigeria Limited"/>
    <x v="3"/>
    <s v="8/28/2020"/>
    <n v="230"/>
    <n v="33065.69"/>
    <n v="7570.06"/>
    <n v="7605108.7000000002"/>
    <s v="Lagos"/>
    <s v="Sea"/>
    <x v="0"/>
    <n v="1741113.8"/>
  </r>
  <r>
    <x v="5"/>
    <s v="Greenfield Agro Exporters Nigeria Limited"/>
    <x v="4"/>
    <s v="1/8/2020"/>
    <n v="619"/>
    <n v="13079.61"/>
    <n v="2337.4299999999998"/>
    <n v="8096278.5899999999"/>
    <s v="Lagos"/>
    <s v="Sea"/>
    <x v="0"/>
    <n v="1446869.17"/>
  </r>
  <r>
    <x v="5"/>
    <s v="Agro Allied Exporters Nigeria Limited"/>
    <x v="4"/>
    <s v="11/8/2020"/>
    <n v="161"/>
    <n v="22984.27"/>
    <n v="7018.74"/>
    <n v="3700467.47"/>
    <s v="Lagos"/>
    <s v="Sea"/>
    <x v="0"/>
    <n v="1130017.1399999999"/>
  </r>
  <r>
    <x v="5"/>
    <s v="Nigeria Agro Export Company"/>
    <x v="8"/>
    <s v="11/15/2020"/>
    <n v="909"/>
    <n v="19171.77"/>
    <n v="5159.22"/>
    <n v="17427138.93"/>
    <s v="Warri"/>
    <s v="Sea"/>
    <x v="0"/>
    <n v="4689730.9800000004"/>
  </r>
  <r>
    <x v="5"/>
    <s v="Agro Allied Exporters Nigeria Limited"/>
    <x v="8"/>
    <s v="12/20/2020"/>
    <n v="222"/>
    <n v="17101.55"/>
    <n v="9701.85"/>
    <n v="3796544.1"/>
    <s v="Calabar"/>
    <s v="Sea"/>
    <x v="0"/>
    <n v="2153810.7000000002"/>
  </r>
  <r>
    <x v="5"/>
    <s v="Agro Allied Exporters Nigeria Limited"/>
    <x v="6"/>
    <s v="2/7/2020"/>
    <n v="292"/>
    <n v="39681.370000000003"/>
    <n v="9990.57"/>
    <n v="11586960.039999999"/>
    <s v="Lagos"/>
    <s v="Sea"/>
    <x v="0"/>
    <n v="2917246.44"/>
  </r>
  <r>
    <x v="5"/>
    <s v="Agro Export Nigeria Ltd"/>
    <x v="6"/>
    <s v="3/1/2020"/>
    <n v="462"/>
    <n v="32503.8"/>
    <n v="8516.9699999999993"/>
    <n v="15016755.6"/>
    <s v="Lagos"/>
    <s v="Sea"/>
    <x v="0"/>
    <n v="3934840.1399999997"/>
  </r>
  <r>
    <x v="5"/>
    <s v="Agro Allied Exporters Nigeria Limited"/>
    <x v="6"/>
    <s v="4/13/2020"/>
    <n v="883"/>
    <n v="31735.91"/>
    <n v="8581.08"/>
    <n v="28022808.530000001"/>
    <s v="Warri"/>
    <s v="Sea"/>
    <x v="0"/>
    <n v="7577093.6399999997"/>
  </r>
  <r>
    <x v="5"/>
    <s v="Nigerian Export Promotion Council (NEPC)"/>
    <x v="6"/>
    <s v="7/15/2020"/>
    <n v="250"/>
    <n v="19006.96"/>
    <n v="8307.68"/>
    <n v="4751740"/>
    <s v="Port Harcourt"/>
    <s v="Sea"/>
    <x v="0"/>
    <n v="2076920"/>
  </r>
  <r>
    <x v="5"/>
    <s v="Prime Agro Exports Nigeria Limited"/>
    <x v="1"/>
    <s v="12/19/2020"/>
    <n v="274"/>
    <n v="46080.72"/>
    <n v="5147.67"/>
    <n v="12626117.279999999"/>
    <s v="Warri"/>
    <s v="Sea"/>
    <x v="0"/>
    <n v="1410461.58"/>
  </r>
  <r>
    <x v="5"/>
    <s v="Prime Agro Exports Nigeria Limited"/>
    <x v="1"/>
    <s v="7/19/2020"/>
    <n v="492"/>
    <n v="23415.71"/>
    <n v="3262.88"/>
    <n v="11520529.32"/>
    <s v="Port Harcourt"/>
    <s v="Sea"/>
    <x v="0"/>
    <n v="1605336.96"/>
  </r>
  <r>
    <x v="5"/>
    <s v="Nigerian Export Promotion Council (NEPC)"/>
    <x v="1"/>
    <s v="8/11/2020"/>
    <n v="578"/>
    <n v="48791.16"/>
    <n v="6835.16"/>
    <n v="28201290.48"/>
    <s v="Lagos"/>
    <s v="Sea"/>
    <x v="0"/>
    <n v="3950722.48"/>
  </r>
  <r>
    <x v="5"/>
    <s v="Farmgate Nigeria Limited"/>
    <x v="1"/>
    <s v="9/3/2020"/>
    <n v="646"/>
    <n v="10338.09"/>
    <n v="8152.32"/>
    <n v="6678406.1399999997"/>
    <s v="Lagos"/>
    <s v="Sea"/>
    <x v="0"/>
    <n v="5266398.72"/>
  </r>
  <r>
    <x v="5"/>
    <s v="Agro Export Nigeria Ltd"/>
    <x v="5"/>
    <s v="10/31/2021"/>
    <n v="171"/>
    <n v="33855.64"/>
    <n v="2088.86"/>
    <n v="5789314.4400000004"/>
    <s v="Lagos"/>
    <s v="Sea"/>
    <x v="1"/>
    <n v="357195.06"/>
  </r>
  <r>
    <x v="5"/>
    <s v="Prime Agro Exports Nigeria Limited"/>
    <x v="5"/>
    <s v="12/12/2021"/>
    <n v="360"/>
    <n v="25745.26"/>
    <n v="6592.49"/>
    <n v="9268293.5999999996"/>
    <s v="Lagos"/>
    <s v="Sea"/>
    <x v="1"/>
    <n v="2373296.4"/>
  </r>
  <r>
    <x v="5"/>
    <s v="Agriplus Nigeria Limited"/>
    <x v="5"/>
    <s v="2/20/2021"/>
    <n v="662"/>
    <n v="48735.7"/>
    <n v="3116.32"/>
    <n v="32263033.399999999"/>
    <s v="Warri"/>
    <s v="Sea"/>
    <x v="1"/>
    <n v="2063003.84"/>
  </r>
  <r>
    <x v="5"/>
    <s v="Nigeria Agro Export Company"/>
    <x v="5"/>
    <s v="2/26/2021"/>
    <n v="376"/>
    <n v="35980.93"/>
    <n v="7571.43"/>
    <n v="13528829.68"/>
    <s v="Lagos"/>
    <s v="Sea"/>
    <x v="1"/>
    <n v="2846857.68"/>
  </r>
  <r>
    <x v="5"/>
    <s v="Farmgate Nigeria Limited"/>
    <x v="5"/>
    <s v="4/16/2021"/>
    <n v="337"/>
    <n v="46796.4"/>
    <n v="3985.16"/>
    <n v="15770386.800000001"/>
    <s v="Port Harcourt"/>
    <s v="Sea"/>
    <x v="1"/>
    <n v="1342998.92"/>
  </r>
  <r>
    <x v="5"/>
    <s v="Agro Export Nigeria Ltd"/>
    <x v="2"/>
    <s v="5/26/2021"/>
    <n v="359"/>
    <n v="38635.31"/>
    <n v="6945.16"/>
    <n v="13870076.289999999"/>
    <s v="Lagos"/>
    <s v="Sea"/>
    <x v="1"/>
    <n v="2493312.44"/>
  </r>
  <r>
    <x v="5"/>
    <s v="Golden Farms Nigeria Limited"/>
    <x v="2"/>
    <s v="6/19/2021"/>
    <n v="341"/>
    <n v="20126.79"/>
    <n v="5442.89"/>
    <n v="6863235.3899999997"/>
    <s v="Calabar"/>
    <s v="Sea"/>
    <x v="1"/>
    <n v="1856025.4900000002"/>
  </r>
  <r>
    <x v="5"/>
    <s v="Golden Farms Nigeria Limited"/>
    <x v="0"/>
    <s v="10/3/2021"/>
    <n v="630"/>
    <n v="33495.61"/>
    <n v="4141.3100000000004"/>
    <n v="21102234.300000001"/>
    <s v="Lagos"/>
    <s v="Sea"/>
    <x v="1"/>
    <n v="2609025.3000000003"/>
  </r>
  <r>
    <x v="5"/>
    <s v="Agro Export Nigeria Ltd"/>
    <x v="0"/>
    <s v="3/30/2021"/>
    <n v="522"/>
    <n v="22143.33"/>
    <n v="3932.05"/>
    <n v="11558818.26"/>
    <s v="Warri"/>
    <s v="Sea"/>
    <x v="1"/>
    <n v="2052530.1"/>
  </r>
  <r>
    <x v="5"/>
    <s v="Solid Agro Nigeria Limited"/>
    <x v="0"/>
    <s v="5/27/2021"/>
    <n v="794"/>
    <n v="38459.71"/>
    <n v="6427.82"/>
    <n v="30537009.739999998"/>
    <s v="Lagos"/>
    <s v="Sea"/>
    <x v="1"/>
    <n v="5103689.08"/>
  </r>
  <r>
    <x v="5"/>
    <s v="Agriplus Nigeria Limited"/>
    <x v="7"/>
    <s v="2/5/2021"/>
    <n v="617"/>
    <n v="12552.78"/>
    <n v="3859.98"/>
    <n v="7745065.2599999998"/>
    <s v="Port Harcourt"/>
    <s v="Sea"/>
    <x v="1"/>
    <n v="2381607.66"/>
  </r>
  <r>
    <x v="5"/>
    <s v="Agro Allied Exporters Nigeria Limited"/>
    <x v="7"/>
    <s v="6/4/2021"/>
    <n v="474"/>
    <n v="10811.43"/>
    <n v="3362.61"/>
    <n v="5124617.82"/>
    <s v="Lagos"/>
    <s v="Sea"/>
    <x v="1"/>
    <n v="1593877.1400000001"/>
  </r>
  <r>
    <x v="5"/>
    <s v="Nigerian Export Promotion Council (NEPC)"/>
    <x v="9"/>
    <s v="10/8/2021"/>
    <n v="999"/>
    <n v="20493.759999999998"/>
    <n v="8990.8700000000008"/>
    <n v="20473266.239999998"/>
    <s v="Warri"/>
    <s v="Sea"/>
    <x v="1"/>
    <n v="8981879.1300000008"/>
  </r>
  <r>
    <x v="5"/>
    <s v="Agriplus Nigeria Limited"/>
    <x v="9"/>
    <s v="11/17/2021"/>
    <n v="914"/>
    <n v="34678.879999999997"/>
    <n v="3227.13"/>
    <n v="31696496.32"/>
    <s v="Lagos"/>
    <s v="Sea"/>
    <x v="1"/>
    <n v="2949596.8200000003"/>
  </r>
  <r>
    <x v="5"/>
    <s v="Nigeria Agro Export Company"/>
    <x v="9"/>
    <s v="12/18/2021"/>
    <n v="673"/>
    <n v="43898.69"/>
    <n v="2563.04"/>
    <n v="29543818.370000001"/>
    <s v="Lagos"/>
    <s v="Sea"/>
    <x v="1"/>
    <n v="1724925.92"/>
  </r>
  <r>
    <x v="5"/>
    <s v="Golden Farms Nigeria Limited"/>
    <x v="3"/>
    <s v="10/25/2021"/>
    <n v="957"/>
    <n v="37340.11"/>
    <n v="8532.3799999999992"/>
    <n v="35734485.270000003"/>
    <s v="Lagos"/>
    <s v="Sea"/>
    <x v="1"/>
    <n v="8165487.6599999992"/>
  </r>
  <r>
    <x v="5"/>
    <s v="Greenfield Agro Exporters Nigeria Limited"/>
    <x v="8"/>
    <s v="10/25/2021"/>
    <n v="575"/>
    <n v="10306.64"/>
    <n v="4159.79"/>
    <n v="5926318"/>
    <s v="Lagos"/>
    <s v="Sea"/>
    <x v="1"/>
    <n v="2391879.25"/>
  </r>
  <r>
    <x v="5"/>
    <s v="Golden Farms Nigeria Limited"/>
    <x v="3"/>
    <s v="11/29/2021"/>
    <n v="522"/>
    <n v="19308.830000000002"/>
    <n v="3240.13"/>
    <n v="10079209.26"/>
    <s v="Warri"/>
    <s v="Sea"/>
    <x v="1"/>
    <n v="1691347.86"/>
  </r>
  <r>
    <x v="5"/>
    <s v="Farmgate Nigeria Limited"/>
    <x v="3"/>
    <s v="3/8/2021"/>
    <n v="797"/>
    <n v="47976.47"/>
    <n v="6541.42"/>
    <n v="38237246.590000004"/>
    <s v="Lagos"/>
    <s v="Sea"/>
    <x v="1"/>
    <n v="5213511.74"/>
  </r>
  <r>
    <x v="5"/>
    <s v="Farmgate Nigeria Limited"/>
    <x v="3"/>
    <s v="7/7/2021"/>
    <n v="626"/>
    <n v="42679.03"/>
    <n v="7839.31"/>
    <n v="26717072.780000001"/>
    <s v="Calabar"/>
    <s v="Sea"/>
    <x v="1"/>
    <n v="4907408.0600000005"/>
  </r>
  <r>
    <x v="5"/>
    <s v="Prime Agro Exports Nigeria Limited"/>
    <x v="3"/>
    <s v="9/27/2021"/>
    <n v="743"/>
    <n v="24056.22"/>
    <n v="9317.83"/>
    <n v="17873771.460000001"/>
    <s v="Calabar"/>
    <s v="Sea"/>
    <x v="1"/>
    <n v="6923147.6900000004"/>
  </r>
  <r>
    <x v="5"/>
    <s v="Agriplus Nigeria Limited"/>
    <x v="4"/>
    <s v="8/5/2021"/>
    <n v="455"/>
    <n v="42779.72"/>
    <n v="6985.57"/>
    <n v="19464772.600000001"/>
    <s v="Lagos"/>
    <s v="Sea"/>
    <x v="1"/>
    <n v="3178434.35"/>
  </r>
  <r>
    <x v="5"/>
    <s v="Greenfield Agro Exporters Nigeria Limited"/>
    <x v="8"/>
    <s v="10/27/2021"/>
    <n v="425"/>
    <n v="45040.57"/>
    <n v="8443.98"/>
    <n v="19142242.25"/>
    <s v="Lagos"/>
    <s v="Sea"/>
    <x v="1"/>
    <n v="3588691.5"/>
  </r>
  <r>
    <x v="5"/>
    <s v="Agro Allied Exporters Nigeria Limited"/>
    <x v="8"/>
    <s v="8/1/2021"/>
    <n v="473"/>
    <n v="30671.94"/>
    <n v="7740.41"/>
    <n v="14507827.619999999"/>
    <s v="Lagos"/>
    <s v="Sea"/>
    <x v="1"/>
    <n v="3661213.9299999997"/>
  </r>
  <r>
    <x v="5"/>
    <s v="Greenfield Agro Exporters Nigeria Limited"/>
    <x v="6"/>
    <s v="11/22/2021"/>
    <n v="340"/>
    <n v="32039.53"/>
    <n v="4656.6099999999997"/>
    <n v="10893440.199999999"/>
    <s v="Port Harcourt"/>
    <s v="Sea"/>
    <x v="1"/>
    <n v="1583247.4"/>
  </r>
  <r>
    <x v="5"/>
    <s v="Nigeria Agro Export Company"/>
    <x v="6"/>
    <s v="2/14/2021"/>
    <n v="415"/>
    <n v="45905.279999999999"/>
    <n v="7271.19"/>
    <n v="19050691.199999999"/>
    <s v="Lagos"/>
    <s v="Sea"/>
    <x v="1"/>
    <n v="3017543.8499999996"/>
  </r>
  <r>
    <x v="5"/>
    <s v="Nigeria Agro Export Company"/>
    <x v="6"/>
    <s v="3/19/2021"/>
    <n v="516"/>
    <n v="48437.82"/>
    <n v="7508.61"/>
    <n v="24993915.120000001"/>
    <s v="Warri"/>
    <s v="Sea"/>
    <x v="1"/>
    <n v="3874442.76"/>
  </r>
  <r>
    <x v="5"/>
    <s v="Golden Farms Nigeria Limited"/>
    <x v="1"/>
    <s v="10/17/2021"/>
    <n v="874"/>
    <n v="31711.95"/>
    <n v="2679.84"/>
    <n v="27716244.300000001"/>
    <s v="Port Harcourt"/>
    <s v="Sea"/>
    <x v="1"/>
    <n v="2342180.16"/>
  </r>
  <r>
    <x v="5"/>
    <s v="Nigerian Export Promotion Council (NEPC)"/>
    <x v="1"/>
    <s v="2/4/2021"/>
    <n v="760"/>
    <n v="21238.1"/>
    <n v="8712.1299999999992"/>
    <n v="16140956"/>
    <s v="Lagos"/>
    <s v="Sea"/>
    <x v="1"/>
    <n v="6621218.7999999998"/>
  </r>
  <r>
    <x v="5"/>
    <s v="Nigerian Export Promotion Council (NEPC)"/>
    <x v="1"/>
    <s v="2/9/2021"/>
    <n v="564"/>
    <n v="41667.730000000003"/>
    <n v="8576.44"/>
    <n v="23500599.719999999"/>
    <s v="Lagos"/>
    <s v="Sea"/>
    <x v="1"/>
    <n v="4837112.16"/>
  </r>
  <r>
    <x v="5"/>
    <s v="Agriplus Nigeria Limited"/>
    <x v="1"/>
    <s v="5/14/2021"/>
    <n v="407"/>
    <n v="24660.78"/>
    <n v="5093.8500000000004"/>
    <n v="10036937.460000001"/>
    <s v="Lagos"/>
    <s v="Sea"/>
    <x v="1"/>
    <n v="2073196.9500000002"/>
  </r>
  <r>
    <x v="5"/>
    <s v="Greenfield Agro Exporters Nigeria Limited"/>
    <x v="5"/>
    <s v="4/11/2022"/>
    <n v="316"/>
    <n v="33608.720000000001"/>
    <n v="8153.51"/>
    <n v="10620355.52"/>
    <s v="Port Harcourt"/>
    <s v="Sea"/>
    <x v="2"/>
    <n v="2576509.16"/>
  </r>
  <r>
    <x v="5"/>
    <s v="Golden Farms Nigeria Limited"/>
    <x v="5"/>
    <s v="5/15/2022"/>
    <n v="895"/>
    <n v="44466.3"/>
    <n v="6556.12"/>
    <n v="39797338.5"/>
    <s v="Lagos"/>
    <s v="Sea"/>
    <x v="2"/>
    <n v="5867727.3999999994"/>
  </r>
  <r>
    <x v="5"/>
    <s v="Agro Allied Exporters Nigeria Limited"/>
    <x v="5"/>
    <s v="9/12/2022"/>
    <n v="249"/>
    <n v="28428.84"/>
    <n v="5844.67"/>
    <n v="7078781.1600000001"/>
    <s v="Lagos"/>
    <s v="Sea"/>
    <x v="2"/>
    <n v="1455322.83"/>
  </r>
  <r>
    <x v="5"/>
    <s v="Agro Allied Exporters Nigeria Limited"/>
    <x v="2"/>
    <s v="10/29/2022"/>
    <n v="151"/>
    <n v="11379.89"/>
    <n v="7761.71"/>
    <n v="1718363.39"/>
    <s v="Lagos"/>
    <s v="Sea"/>
    <x v="2"/>
    <n v="1172018.21"/>
  </r>
  <r>
    <x v="5"/>
    <s v="Greenfield Agro Exporters Nigeria Limited"/>
    <x v="2"/>
    <s v="4/15/2022"/>
    <n v="926"/>
    <n v="24045.41"/>
    <n v="4426.1400000000003"/>
    <n v="22266049.66"/>
    <s v="Calabar"/>
    <s v="Sea"/>
    <x v="2"/>
    <n v="4098605.64"/>
  </r>
  <r>
    <x v="5"/>
    <s v="Farmgate Nigeria Limited"/>
    <x v="2"/>
    <s v="6/26/2022"/>
    <n v="486"/>
    <n v="38153.089999999997"/>
    <n v="9878.35"/>
    <n v="18542401.739999998"/>
    <s v="Warri"/>
    <s v="Sea"/>
    <x v="2"/>
    <n v="4800878.1000000006"/>
  </r>
  <r>
    <x v="5"/>
    <s v="Nigeria Agro Export Company"/>
    <x v="0"/>
    <s v="11/14/2022"/>
    <n v="167"/>
    <n v="22070.13"/>
    <n v="2572.19"/>
    <n v="3685711.71"/>
    <s v="Calabar"/>
    <s v="Sea"/>
    <x v="2"/>
    <n v="429555.73"/>
  </r>
  <r>
    <x v="5"/>
    <s v="Greenfield Agro Exporters Nigeria Limited"/>
    <x v="0"/>
    <s v="7/18/2022"/>
    <n v="779"/>
    <n v="26423.8"/>
    <n v="2626.87"/>
    <n v="20584140.199999999"/>
    <s v="Lagos"/>
    <s v="Sea"/>
    <x v="2"/>
    <n v="2046331.73"/>
  </r>
  <r>
    <x v="5"/>
    <s v="Solid Agro Nigeria Limited"/>
    <x v="0"/>
    <s v="7/25/2022"/>
    <n v="933"/>
    <n v="18835.79"/>
    <n v="6247.48"/>
    <n v="17573792.07"/>
    <s v="Warri"/>
    <s v="Sea"/>
    <x v="2"/>
    <n v="5828898.8399999999"/>
  </r>
  <r>
    <x v="5"/>
    <s v="Farmgate Nigeria Limited"/>
    <x v="0"/>
    <s v="8/26/2022"/>
    <n v="103"/>
    <n v="12852.2"/>
    <n v="8992.5"/>
    <n v="1323776.6000000001"/>
    <s v="Lagos"/>
    <s v="Sea"/>
    <x v="2"/>
    <n v="926227.5"/>
  </r>
  <r>
    <x v="5"/>
    <s v="Greenfield Agro Exporters Nigeria Limited"/>
    <x v="9"/>
    <s v="4/9/2022"/>
    <n v="608"/>
    <n v="28314.400000000001"/>
    <n v="6615.26"/>
    <n v="17215155.199999999"/>
    <s v="Lagos"/>
    <s v="Sea"/>
    <x v="2"/>
    <n v="4022078.08"/>
  </r>
  <r>
    <x v="5"/>
    <s v="Greenfield Agro Exporters Nigeria Limited"/>
    <x v="9"/>
    <s v="6/12/2022"/>
    <n v="384"/>
    <n v="21222.42"/>
    <n v="4490.5600000000004"/>
    <n v="8149409.2800000003"/>
    <s v="Calabar"/>
    <s v="Sea"/>
    <x v="2"/>
    <n v="1724375.04"/>
  </r>
  <r>
    <x v="5"/>
    <s v="Solid Agro Nigeria Limited"/>
    <x v="9"/>
    <s v="6/15/2022"/>
    <n v="825"/>
    <n v="44517.66"/>
    <n v="7496.94"/>
    <n v="36727069.5"/>
    <s v="Lagos"/>
    <s v="Sea"/>
    <x v="2"/>
    <n v="6184975.5"/>
  </r>
  <r>
    <x v="5"/>
    <s v="Farmgate Nigeria Limited"/>
    <x v="3"/>
    <s v="6/23/2022"/>
    <n v="883"/>
    <n v="28437.69"/>
    <n v="8368.84"/>
    <n v="25110480.27"/>
    <s v="Lagos"/>
    <s v="Sea"/>
    <x v="2"/>
    <n v="7389685.7199999997"/>
  </r>
  <r>
    <x v="5"/>
    <s v="Golden Farms Nigeria Limited"/>
    <x v="3"/>
    <s v="8/9/2022"/>
    <n v="386"/>
    <n v="21185.94"/>
    <n v="4796.95"/>
    <n v="8177772.8399999999"/>
    <s v="Lagos"/>
    <s v="Sea"/>
    <x v="2"/>
    <n v="1851622.7"/>
  </r>
  <r>
    <x v="5"/>
    <s v="Nigeria Agro Export Company"/>
    <x v="4"/>
    <s v="1/10/2022"/>
    <n v="609"/>
    <n v="26243.24"/>
    <n v="2186.16"/>
    <n v="15982133.16"/>
    <s v="Port Harcourt"/>
    <s v="Sea"/>
    <x v="2"/>
    <n v="1331371.44"/>
  </r>
  <r>
    <x v="5"/>
    <s v="Agriplus Nigeria Limited"/>
    <x v="1"/>
    <s v="1/10/2022"/>
    <n v="643"/>
    <n v="49198.6"/>
    <n v="9700.9500000000007"/>
    <n v="31634699.800000001"/>
    <s v="Calabar"/>
    <s v="Sea"/>
    <x v="2"/>
    <n v="6237710.8500000006"/>
  </r>
  <r>
    <x v="5"/>
    <s v="Nigeria Agro Export Company"/>
    <x v="4"/>
    <s v="12/23/2022"/>
    <n v="354"/>
    <n v="29803.5"/>
    <n v="8893.66"/>
    <n v="10550439"/>
    <s v="Warri"/>
    <s v="Sea"/>
    <x v="2"/>
    <n v="3148355.64"/>
  </r>
  <r>
    <x v="5"/>
    <s v="Nigeria Agro Export Company"/>
    <x v="4"/>
    <s v="2/7/2022"/>
    <n v="394"/>
    <n v="46216.74"/>
    <n v="4748.54"/>
    <n v="18209395.559999999"/>
    <s v="Lagos"/>
    <s v="Sea"/>
    <x v="2"/>
    <n v="1870924.76"/>
  </r>
  <r>
    <x v="5"/>
    <s v="Agro Export Nigeria Ltd"/>
    <x v="4"/>
    <s v="5/31/2022"/>
    <n v="539"/>
    <n v="23220.19"/>
    <n v="4742.1000000000004"/>
    <n v="12515682.41"/>
    <s v="Lagos"/>
    <s v="Sea"/>
    <x v="2"/>
    <n v="2555991.9000000004"/>
  </r>
  <r>
    <x v="5"/>
    <s v="Nigeria Agro Export Company"/>
    <x v="8"/>
    <s v="6/24/2022"/>
    <n v="708"/>
    <n v="30535.43"/>
    <n v="9607.32"/>
    <n v="21619084.440000001"/>
    <s v="Port Harcourt"/>
    <s v="Sea"/>
    <x v="2"/>
    <n v="6801982.5599999996"/>
  </r>
  <r>
    <x v="5"/>
    <s v="Golden Farms Nigeria Limited"/>
    <x v="8"/>
    <s v="8/11/2022"/>
    <n v="780"/>
    <n v="16243.24"/>
    <n v="7099.21"/>
    <n v="12669727.199999999"/>
    <s v="Port Harcourt"/>
    <s v="Sea"/>
    <x v="2"/>
    <n v="5537383.7999999998"/>
  </r>
  <r>
    <x v="5"/>
    <s v="Nigeria Agro Export Company"/>
    <x v="6"/>
    <s v="1/11/2022"/>
    <n v="538"/>
    <n v="16103.22"/>
    <n v="9497.2900000000009"/>
    <n v="8663532.3599999994"/>
    <s v="Lagos"/>
    <s v="Sea"/>
    <x v="2"/>
    <n v="5109542.0200000005"/>
  </r>
  <r>
    <x v="5"/>
    <s v="Nigerian Export Promotion Council (NEPC)"/>
    <x v="6"/>
    <s v="3/5/2022"/>
    <n v="426"/>
    <n v="27262.69"/>
    <n v="8439.65"/>
    <n v="11613905.939999999"/>
    <s v="Lagos"/>
    <s v="Sea"/>
    <x v="2"/>
    <n v="3595290.9"/>
  </r>
  <r>
    <x v="5"/>
    <s v="Agro Allied Exporters Nigeria Limited"/>
    <x v="6"/>
    <s v="8/19/2022"/>
    <n v="346"/>
    <n v="43082.11"/>
    <n v="9731.66"/>
    <n v="14906410.060000001"/>
    <s v="Lagos"/>
    <s v="Sea"/>
    <x v="2"/>
    <n v="3367154.36"/>
  </r>
  <r>
    <x v="5"/>
    <s v="Nigeria Agro Export Company"/>
    <x v="1"/>
    <s v="2/4/2022"/>
    <n v="253"/>
    <n v="13931.93"/>
    <n v="2641.17"/>
    <n v="3524778.29"/>
    <s v="Warri"/>
    <s v="Sea"/>
    <x v="2"/>
    <n v="668216.01"/>
  </r>
  <r>
    <x v="5"/>
    <s v="Golden Farms Nigeria Limited"/>
    <x v="5"/>
    <s v="10/13/2023"/>
    <n v="872"/>
    <n v="12470.14"/>
    <n v="4780.03"/>
    <n v="10873962.08"/>
    <s v="Warri"/>
    <s v="Sea"/>
    <x v="3"/>
    <n v="4168186.1599999997"/>
  </r>
  <r>
    <x v="5"/>
    <s v="Nigerian Export Promotion Council (NEPC)"/>
    <x v="1"/>
    <s v="10/13/2023"/>
    <n v="104"/>
    <n v="40095.35"/>
    <n v="5633.91"/>
    <n v="4169916.4"/>
    <s v="Lagos"/>
    <s v="Sea"/>
    <x v="3"/>
    <n v="585926.64"/>
  </r>
  <r>
    <x v="5"/>
    <s v="Agro Export Nigeria Ltd"/>
    <x v="5"/>
    <s v="2/22/2023"/>
    <n v="828"/>
    <n v="33820.94"/>
    <n v="4963.47"/>
    <n v="28003738.32"/>
    <s v="Lagos"/>
    <s v="Sea"/>
    <x v="3"/>
    <n v="4109753.16"/>
  </r>
  <r>
    <x v="5"/>
    <s v="Nigerian Export Promotion Council (NEPC)"/>
    <x v="5"/>
    <s v="5/18/2023"/>
    <n v="893"/>
    <n v="32511.33"/>
    <n v="6398.44"/>
    <n v="29032617.690000001"/>
    <s v="Lagos"/>
    <s v="Sea"/>
    <x v="3"/>
    <n v="5713806.9199999999"/>
  </r>
  <r>
    <x v="5"/>
    <s v="Nigerian Export Promotion Council (NEPC)"/>
    <x v="5"/>
    <s v="6/19/2023"/>
    <n v="878"/>
    <n v="38183.620000000003"/>
    <n v="5032.49"/>
    <n v="33525218.359999999"/>
    <s v="Lagos"/>
    <s v="Sea"/>
    <x v="3"/>
    <n v="4418526.22"/>
  </r>
  <r>
    <x v="5"/>
    <s v="Greenfield Agro Exporters Nigeria Limited"/>
    <x v="5"/>
    <s v="7/10/2023"/>
    <n v="700"/>
    <n v="24041.35"/>
    <n v="3922.05"/>
    <n v="16828945"/>
    <s v="Lagos"/>
    <s v="Sea"/>
    <x v="3"/>
    <n v="2745435"/>
  </r>
  <r>
    <x v="5"/>
    <s v="Agriplus Nigeria Limited"/>
    <x v="2"/>
    <s v="10/26/2023"/>
    <n v="127"/>
    <n v="35665.11"/>
    <n v="9712.9699999999993"/>
    <n v="4529468.97"/>
    <s v="Lagos"/>
    <s v="Sea"/>
    <x v="3"/>
    <n v="1233547.19"/>
  </r>
  <r>
    <x v="5"/>
    <s v="Nigeria Agro Export Company"/>
    <x v="0"/>
    <s v="12/23/2023"/>
    <n v="592"/>
    <n v="32644.13"/>
    <n v="7497.09"/>
    <n v="19325324.960000001"/>
    <s v="Lagos"/>
    <s v="Sea"/>
    <x v="3"/>
    <n v="4438277.28"/>
  </r>
  <r>
    <x v="5"/>
    <s v="Prime Agro Exports Nigeria Limited"/>
    <x v="0"/>
    <s v="2/2/2023"/>
    <n v="589"/>
    <n v="47737.46"/>
    <n v="4814.2299999999996"/>
    <n v="28117363.940000001"/>
    <s v="Calabar"/>
    <s v="Sea"/>
    <x v="3"/>
    <n v="2835581.4699999997"/>
  </r>
  <r>
    <x v="5"/>
    <s v="Farmgate Nigeria Limited"/>
    <x v="0"/>
    <s v="8/23/2023"/>
    <n v="199"/>
    <n v="23511.99"/>
    <n v="4799.3999999999996"/>
    <n v="4678886.01"/>
    <s v="Lagos"/>
    <s v="Sea"/>
    <x v="3"/>
    <n v="955080.6"/>
  </r>
  <r>
    <x v="5"/>
    <s v="Agriplus Nigeria Limited"/>
    <x v="7"/>
    <s v="2/10/2023"/>
    <n v="226"/>
    <n v="12314.65"/>
    <n v="3962.41"/>
    <n v="2783110.9"/>
    <s v="Lagos"/>
    <s v="Sea"/>
    <x v="3"/>
    <n v="895504.65999999992"/>
  </r>
  <r>
    <x v="5"/>
    <s v="Agro Export Nigeria Ltd"/>
    <x v="7"/>
    <s v="6/9/2023"/>
    <n v="744"/>
    <n v="17166.97"/>
    <n v="7770.71"/>
    <n v="12772225.68"/>
    <s v="Warri"/>
    <s v="Sea"/>
    <x v="3"/>
    <n v="5781408.2400000002"/>
  </r>
  <r>
    <x v="5"/>
    <s v="Golden Farms Nigeria Limited"/>
    <x v="7"/>
    <s v="7/13/2023"/>
    <n v="951"/>
    <n v="30767.55"/>
    <n v="2982.69"/>
    <n v="29259940.050000001"/>
    <s v="Lagos"/>
    <s v="Sea"/>
    <x v="3"/>
    <n v="2836538.19"/>
  </r>
  <r>
    <x v="5"/>
    <s v="Nigeria Agro Export Company"/>
    <x v="7"/>
    <s v="7/7/2023"/>
    <n v="649"/>
    <n v="20845.14"/>
    <n v="2479.19"/>
    <n v="13528495.859999999"/>
    <s v="Port Harcourt"/>
    <s v="Sea"/>
    <x v="3"/>
    <n v="1608994.31"/>
  </r>
  <r>
    <x v="5"/>
    <s v="Agro Allied Exporters Nigeria Limited"/>
    <x v="9"/>
    <s v="5/25/2023"/>
    <n v="132"/>
    <n v="16159.22"/>
    <n v="8575.33"/>
    <n v="2133017.04"/>
    <s v="Lagos"/>
    <s v="Sea"/>
    <x v="3"/>
    <n v="1131943.56"/>
  </r>
  <r>
    <x v="5"/>
    <s v="Greenfield Agro Exporters Nigeria Limited"/>
    <x v="1"/>
    <s v="5/25/2023"/>
    <n v="662"/>
    <n v="28089.29"/>
    <n v="8576.5"/>
    <n v="18595109.98"/>
    <s v="Warri"/>
    <s v="Sea"/>
    <x v="3"/>
    <n v="5677643"/>
  </r>
  <r>
    <x v="5"/>
    <s v="Solid Agro Nigeria Limited"/>
    <x v="9"/>
    <s v="9/13/2023"/>
    <n v="192"/>
    <n v="34074.97"/>
    <n v="8717.5499999999993"/>
    <n v="6542394.2400000002"/>
    <s v="Lagos"/>
    <s v="Sea"/>
    <x v="3"/>
    <n v="1673769.5999999999"/>
  </r>
  <r>
    <x v="5"/>
    <s v="Prime Agro Exports Nigeria Limited"/>
    <x v="3"/>
    <s v="6/15/2023"/>
    <n v="884"/>
    <n v="35538.5"/>
    <n v="5297.56"/>
    <n v="31416034"/>
    <s v="Lagos"/>
    <s v="Sea"/>
    <x v="3"/>
    <n v="4683043.04"/>
  </r>
  <r>
    <x v="5"/>
    <s v="Prime Agro Exports Nigeria Limited"/>
    <x v="3"/>
    <s v="9/2/2023"/>
    <n v="755"/>
    <n v="25170.32"/>
    <n v="6920.42"/>
    <n v="19003591.600000001"/>
    <s v="Lagos"/>
    <s v="Sea"/>
    <x v="3"/>
    <n v="5224917.0999999996"/>
  </r>
  <r>
    <x v="5"/>
    <s v="Solid Agro Nigeria Limited"/>
    <x v="4"/>
    <s v="12/19/2023"/>
    <n v="172"/>
    <n v="44869.36"/>
    <n v="9892.2999999999993"/>
    <n v="7717529.9199999999"/>
    <s v="Port Harcourt"/>
    <s v="Sea"/>
    <x v="3"/>
    <n v="1701475.5999999999"/>
  </r>
  <r>
    <x v="5"/>
    <s v="Greenfield Agro Exporters Nigeria Limited"/>
    <x v="4"/>
    <s v="3/23/2023"/>
    <n v="151"/>
    <n v="29521.86"/>
    <n v="9423.51"/>
    <n v="4457800.8600000003"/>
    <s v="Lagos"/>
    <s v="Sea"/>
    <x v="3"/>
    <n v="1422950.01"/>
  </r>
  <r>
    <x v="5"/>
    <s v="Solid Agro Nigeria Limited"/>
    <x v="4"/>
    <s v="3/7/2023"/>
    <n v="655"/>
    <n v="14925.52"/>
    <n v="7623.92"/>
    <n v="9776215.5999999996"/>
    <s v="Lagos"/>
    <s v="Sea"/>
    <x v="3"/>
    <n v="4993667.5999999996"/>
  </r>
  <r>
    <x v="5"/>
    <s v="Prime Agro Exports Nigeria Limited"/>
    <x v="4"/>
    <s v="4/18/2023"/>
    <n v="464"/>
    <n v="46932.39"/>
    <n v="8782.0400000000009"/>
    <n v="21776628.960000001"/>
    <s v="Lagos"/>
    <s v="Sea"/>
    <x v="3"/>
    <n v="4074866.5600000005"/>
  </r>
  <r>
    <x v="5"/>
    <s v="Agro Allied Exporters Nigeria Limited"/>
    <x v="8"/>
    <s v="1/28/2023"/>
    <n v="761"/>
    <n v="38066.85"/>
    <n v="6557.5"/>
    <n v="28968872.850000001"/>
    <s v="Lagos"/>
    <s v="Sea"/>
    <x v="3"/>
    <n v="4990257.5"/>
  </r>
  <r>
    <x v="5"/>
    <s v="Nigeria Agro Export Company"/>
    <x v="8"/>
    <s v="12/8/2023"/>
    <n v="893"/>
    <n v="39070.74"/>
    <n v="3989.22"/>
    <n v="34890170.82"/>
    <s v="Lagos"/>
    <s v="Sea"/>
    <x v="3"/>
    <n v="3562373.46"/>
  </r>
  <r>
    <x v="5"/>
    <s v="Agriplus Nigeria Limited"/>
    <x v="8"/>
    <s v="3/27/2023"/>
    <n v="684"/>
    <n v="42655.08"/>
    <n v="4144.3999999999996"/>
    <n v="29176074.719999999"/>
    <s v="Lagos"/>
    <s v="Sea"/>
    <x v="3"/>
    <n v="2834769.5999999996"/>
  </r>
  <r>
    <x v="5"/>
    <s v="Golden Farms Nigeria Limited"/>
    <x v="8"/>
    <s v="5/27/2023"/>
    <n v="837"/>
    <n v="16079.55"/>
    <n v="8183.76"/>
    <n v="13458583.35"/>
    <s v="Lagos"/>
    <s v="Sea"/>
    <x v="3"/>
    <n v="6849807.1200000001"/>
  </r>
  <r>
    <x v="5"/>
    <s v="Golden Farms Nigeria Limited"/>
    <x v="6"/>
    <s v="12/3/2023"/>
    <n v="685"/>
    <n v="48325.91"/>
    <n v="2197.46"/>
    <n v="33103248.350000001"/>
    <s v="Port Harcourt"/>
    <s v="Sea"/>
    <x v="3"/>
    <n v="1505260.1"/>
  </r>
  <r>
    <x v="5"/>
    <s v="Agro Allied Exporters Nigeria Limited"/>
    <x v="6"/>
    <s v="5/15/2023"/>
    <n v="282"/>
    <n v="46063.17"/>
    <n v="3544.77"/>
    <n v="12989813.939999999"/>
    <s v="Warri"/>
    <s v="Sea"/>
    <x v="3"/>
    <n v="999625.14"/>
  </r>
  <r>
    <x v="5"/>
    <s v="Golden Farms Nigeria Limited"/>
    <x v="6"/>
    <s v="5/6/2023"/>
    <n v="460"/>
    <n v="42176.76"/>
    <n v="2762.91"/>
    <n v="19401309.600000001"/>
    <s v="Lagos"/>
    <s v="Sea"/>
    <x v="3"/>
    <n v="1270938.5999999999"/>
  </r>
  <r>
    <x v="5"/>
    <s v="Agro Allied Exporters Nigeria Limited"/>
    <x v="6"/>
    <s v="7/15/2023"/>
    <n v="562"/>
    <n v="15317.68"/>
    <n v="4424.41"/>
    <n v="8608536.1600000001"/>
    <s v="Port Harcourt"/>
    <s v="Sea"/>
    <x v="3"/>
    <n v="2486518.42"/>
  </r>
  <r>
    <x v="5"/>
    <s v="Golden Farms Nigeria Limited"/>
    <x v="6"/>
    <s v="9/16/2023"/>
    <n v="309"/>
    <n v="43808.94"/>
    <n v="3213.71"/>
    <n v="13536962.460000001"/>
    <s v="Lagos"/>
    <s v="Sea"/>
    <x v="3"/>
    <n v="993036.39"/>
  </r>
  <r>
    <x v="5"/>
    <s v="Greenfield Agro Exporters Nigeria Limited"/>
    <x v="1"/>
    <s v="11/22/2023"/>
    <n v="188"/>
    <n v="41952.09"/>
    <n v="9861.73"/>
    <n v="7886992.9199999999"/>
    <s v="Lagos"/>
    <s v="Sea"/>
    <x v="3"/>
    <n v="1854005.24"/>
  </r>
  <r>
    <x v="5"/>
    <s v="Nigeria Agro Export Company"/>
    <x v="1"/>
    <s v="11/22/2023"/>
    <n v="507"/>
    <n v="38930.959999999999"/>
    <n v="9986.2000000000007"/>
    <n v="19737996.719999999"/>
    <s v="Warri"/>
    <s v="Sea"/>
    <x v="3"/>
    <n v="5063003.4000000004"/>
  </r>
  <r>
    <x v="6"/>
    <s v="Nigerian Export Promotion Council (NEPC)"/>
    <x v="4"/>
    <s v="10/8/2020"/>
    <n v="342"/>
    <n v="32818.79"/>
    <n v="3272.06"/>
    <n v="11224026.18"/>
    <s v="Warri"/>
    <s v="Sea"/>
    <x v="0"/>
    <n v="1119044.52"/>
  </r>
  <r>
    <x v="6"/>
    <s v="Prime Agro Exports Nigeria Limited"/>
    <x v="4"/>
    <s v="12/10/2020"/>
    <n v="615"/>
    <n v="28067.85"/>
    <n v="6284.55"/>
    <n v="17261727.75"/>
    <s v="Port Harcourt"/>
    <s v="Sea"/>
    <x v="0"/>
    <n v="3864998.25"/>
  </r>
  <r>
    <x v="6"/>
    <s v="Nigerian Export Promotion Council (NEPC)"/>
    <x v="3"/>
    <s v="4/14/2020"/>
    <n v="558"/>
    <n v="36199.919999999998"/>
    <n v="5054.37"/>
    <n v="20199555.359999999"/>
    <s v="Port Harcourt"/>
    <s v="Sea"/>
    <x v="0"/>
    <n v="2820338.46"/>
  </r>
  <r>
    <x v="6"/>
    <s v="Golden Farms Nigeria Limited"/>
    <x v="3"/>
    <s v="9/30/2020"/>
    <n v="227"/>
    <n v="14985.53"/>
    <n v="2169.04"/>
    <n v="3401715.31"/>
    <s v="Lagos"/>
    <s v="Sea"/>
    <x v="0"/>
    <n v="492372.08"/>
  </r>
  <r>
    <x v="6"/>
    <s v="Prime Agro Exports Nigeria Limited"/>
    <x v="1"/>
    <s v="11/6/2020"/>
    <n v="938"/>
    <n v="42349.4"/>
    <n v="5636.58"/>
    <n v="39723737.200000003"/>
    <s v="Port Harcourt"/>
    <s v="Sea"/>
    <x v="0"/>
    <n v="5287112.04"/>
  </r>
  <r>
    <x v="6"/>
    <s v="Nigerian Export Promotion Council (NEPC)"/>
    <x v="1"/>
    <s v="2/28/2020"/>
    <n v="712"/>
    <n v="46468.26"/>
    <n v="4600.33"/>
    <n v="33085401.120000001"/>
    <s v="Lagos"/>
    <s v="Sea"/>
    <x v="0"/>
    <n v="3275434.96"/>
  </r>
  <r>
    <x v="6"/>
    <s v="Agro Allied Exporters Nigeria Limited"/>
    <x v="8"/>
    <s v="11/21/2020"/>
    <n v="504"/>
    <n v="37053.01"/>
    <n v="4393.6499999999996"/>
    <n v="18674717.039999999"/>
    <s v="Lagos"/>
    <s v="Sea"/>
    <x v="0"/>
    <n v="2214399.5999999996"/>
  </r>
  <r>
    <x v="6"/>
    <s v="Nigerian Export Promotion Council (NEPC)"/>
    <x v="2"/>
    <s v="9/1/2020"/>
    <n v="670"/>
    <n v="20355.66"/>
    <n v="7635"/>
    <n v="13638292.199999999"/>
    <s v="Lagos"/>
    <s v="Sea"/>
    <x v="0"/>
    <n v="5115450"/>
  </r>
  <r>
    <x v="6"/>
    <s v="Solid Agro Nigeria Limited"/>
    <x v="2"/>
    <s v="9/4/2020"/>
    <n v="567"/>
    <n v="20951.060000000001"/>
    <n v="4547.67"/>
    <n v="11879251.02"/>
    <s v="Lagos"/>
    <s v="Sea"/>
    <x v="0"/>
    <n v="2578528.89"/>
  </r>
  <r>
    <x v="6"/>
    <s v="Greenfield Agro Exporters Nigeria Limited"/>
    <x v="0"/>
    <s v="1/19/2020"/>
    <n v="924"/>
    <n v="12339.82"/>
    <n v="6441.71"/>
    <n v="11401993.68"/>
    <s v="Calabar"/>
    <s v="Sea"/>
    <x v="0"/>
    <n v="5952140.04"/>
  </r>
  <r>
    <x v="6"/>
    <s v="Greenfield Agro Exporters Nigeria Limited"/>
    <x v="0"/>
    <s v="11/20/2020"/>
    <n v="491"/>
    <n v="45962.15"/>
    <n v="6370.54"/>
    <n v="22567415.649999999"/>
    <s v="Lagos"/>
    <s v="Sea"/>
    <x v="0"/>
    <n v="3127935.14"/>
  </r>
  <r>
    <x v="6"/>
    <s v="Golden Farms Nigeria Limited"/>
    <x v="0"/>
    <s v="12/23/2020"/>
    <n v="684"/>
    <n v="22639.19"/>
    <n v="9105.1200000000008"/>
    <n v="15485205.960000001"/>
    <s v="Warri"/>
    <s v="Sea"/>
    <x v="0"/>
    <n v="6227902.080000001"/>
  </r>
  <r>
    <x v="6"/>
    <s v="Golden Farms Nigeria Limited"/>
    <x v="0"/>
    <s v="6/11/2020"/>
    <n v="794"/>
    <n v="34804.99"/>
    <n v="8456.36"/>
    <n v="27635162.059999999"/>
    <s v="Calabar"/>
    <s v="Sea"/>
    <x v="0"/>
    <n v="6714349.8400000008"/>
  </r>
  <r>
    <x v="6"/>
    <s v="Farmgate Nigeria Limited"/>
    <x v="7"/>
    <s v="6/11/2020"/>
    <n v="673"/>
    <n v="20247.87"/>
    <n v="6035.27"/>
    <n v="13626816.51"/>
    <s v="Warri"/>
    <s v="Sea"/>
    <x v="0"/>
    <n v="4061736.7100000004"/>
  </r>
  <r>
    <x v="6"/>
    <s v="Agro Allied Exporters Nigeria Limited"/>
    <x v="0"/>
    <s v="6/13/2020"/>
    <n v="340"/>
    <n v="12752.48"/>
    <n v="2678.21"/>
    <n v="4335843.2"/>
    <s v="Lagos"/>
    <s v="Sea"/>
    <x v="0"/>
    <n v="910591.4"/>
  </r>
  <r>
    <x v="6"/>
    <s v="Nigerian Export Promotion Council (NEPC)"/>
    <x v="7"/>
    <s v="2/8/2020"/>
    <n v="143"/>
    <n v="16022.18"/>
    <n v="6105.63"/>
    <n v="2291171.7400000002"/>
    <s v="Calabar"/>
    <s v="Sea"/>
    <x v="0"/>
    <n v="873105.09"/>
  </r>
  <r>
    <x v="6"/>
    <s v="Nigeria Agro Export Company"/>
    <x v="7"/>
    <s v="4/30/2020"/>
    <n v="945"/>
    <n v="20163.080000000002"/>
    <n v="5019.62"/>
    <n v="19054110.600000001"/>
    <s v="Lagos"/>
    <s v="Sea"/>
    <x v="0"/>
    <n v="4743540.8999999994"/>
  </r>
  <r>
    <x v="6"/>
    <s v="Farmgate Nigeria Limited"/>
    <x v="5"/>
    <s v="10/20/2020"/>
    <n v="860"/>
    <n v="47901.59"/>
    <n v="9626.5400000000009"/>
    <n v="41195367.399999999"/>
    <s v="Port Harcourt"/>
    <s v="Sea"/>
    <x v="0"/>
    <n v="8278824.4000000004"/>
  </r>
  <r>
    <x v="6"/>
    <s v="Agro Export Nigeria Ltd"/>
    <x v="5"/>
    <s v="11/16/2020"/>
    <n v="915"/>
    <n v="42823.71"/>
    <n v="9917.77"/>
    <n v="39183694.649999999"/>
    <s v="Lagos"/>
    <s v="Sea"/>
    <x v="0"/>
    <n v="9074759.5500000007"/>
  </r>
  <r>
    <x v="6"/>
    <s v="Nigeria Agro Export Company"/>
    <x v="5"/>
    <s v="4/17/2020"/>
    <n v="824"/>
    <n v="10293.39"/>
    <n v="3434.07"/>
    <n v="8481753.3599999994"/>
    <s v="Lagos"/>
    <s v="Sea"/>
    <x v="0"/>
    <n v="2829673.68"/>
  </r>
  <r>
    <x v="6"/>
    <s v="Agro Allied Exporters Nigeria Limited"/>
    <x v="5"/>
    <s v="5/3/2020"/>
    <n v="310"/>
    <n v="49484.99"/>
    <n v="3040.11"/>
    <n v="15340346.9"/>
    <s v="Lagos"/>
    <s v="Sea"/>
    <x v="0"/>
    <n v="942434.10000000009"/>
  </r>
  <r>
    <x v="6"/>
    <s v="Nigeria Agro Export Company"/>
    <x v="9"/>
    <s v="1/14/2020"/>
    <n v="189"/>
    <n v="32429.66"/>
    <n v="5579.11"/>
    <n v="6129205.7400000002"/>
    <s v="Lagos"/>
    <s v="Sea"/>
    <x v="0"/>
    <n v="1054451.79"/>
  </r>
  <r>
    <x v="6"/>
    <s v="Greenfield Agro Exporters Nigeria Limited"/>
    <x v="9"/>
    <s v="1/30/2020"/>
    <n v="547"/>
    <n v="40318.720000000001"/>
    <n v="3455.24"/>
    <n v="22054339.84"/>
    <s v="Calabar"/>
    <s v="Sea"/>
    <x v="0"/>
    <n v="1890016.2799999998"/>
  </r>
  <r>
    <x v="6"/>
    <s v="Farmgate Nigeria Limited"/>
    <x v="9"/>
    <s v="10/2/2020"/>
    <n v="405"/>
    <n v="46606.43"/>
    <n v="5181.2299999999996"/>
    <n v="18875604.149999999"/>
    <s v="Calabar"/>
    <s v="Sea"/>
    <x v="0"/>
    <n v="2098398.15"/>
  </r>
  <r>
    <x v="6"/>
    <s v="Greenfield Agro Exporters Nigeria Limited"/>
    <x v="9"/>
    <s v="12/31/2020"/>
    <n v="374"/>
    <n v="46332.41"/>
    <n v="6794.61"/>
    <n v="17328321.34"/>
    <s v="Lagos"/>
    <s v="Sea"/>
    <x v="0"/>
    <n v="2541184.1399999997"/>
  </r>
  <r>
    <x v="6"/>
    <s v="Agro Allied Exporters Nigeria Limited"/>
    <x v="9"/>
    <s v="2/5/2020"/>
    <n v="435"/>
    <n v="19481.189999999999"/>
    <n v="4810.38"/>
    <n v="8474317.6500000004"/>
    <s v="Warri"/>
    <s v="Sea"/>
    <x v="0"/>
    <n v="2092515.3"/>
  </r>
  <r>
    <x v="6"/>
    <s v="Golden Farms Nigeria Limited"/>
    <x v="9"/>
    <s v="6/3/2020"/>
    <n v="710"/>
    <n v="48182.29"/>
    <n v="5868.44"/>
    <n v="34209425.899999999"/>
    <s v="Port Harcourt"/>
    <s v="Sea"/>
    <x v="0"/>
    <n v="4166592.4"/>
  </r>
  <r>
    <x v="6"/>
    <s v="Farmgate Nigeria Limited"/>
    <x v="6"/>
    <s v="12/27/2020"/>
    <n v="401"/>
    <n v="23465.06"/>
    <n v="6456.01"/>
    <n v="9409489.0600000005"/>
    <s v="Lagos"/>
    <s v="Sea"/>
    <x v="0"/>
    <n v="2588860.0100000002"/>
  </r>
  <r>
    <x v="6"/>
    <s v="Farmgate Nigeria Limited"/>
    <x v="6"/>
    <s v="6/8/2020"/>
    <n v="133"/>
    <n v="10598.63"/>
    <n v="2227.19"/>
    <n v="1409617.79"/>
    <s v="Port Harcourt"/>
    <s v="Sea"/>
    <x v="0"/>
    <n v="296216.27"/>
  </r>
  <r>
    <x v="6"/>
    <s v="Farmgate Nigeria Limited"/>
    <x v="4"/>
    <s v="10/13/2021"/>
    <n v="210"/>
    <n v="16164.04"/>
    <n v="5948.16"/>
    <n v="3394448.4"/>
    <s v="Lagos"/>
    <s v="Sea"/>
    <x v="1"/>
    <n v="1249113.5999999999"/>
  </r>
  <r>
    <x v="6"/>
    <s v="Prime Agro Exports Nigeria Limited"/>
    <x v="3"/>
    <s v="11/1/2021"/>
    <n v="301"/>
    <n v="46047.77"/>
    <n v="3519.61"/>
    <n v="13860378.77"/>
    <s v="Lagos"/>
    <s v="Sea"/>
    <x v="1"/>
    <n v="1059402.6100000001"/>
  </r>
  <r>
    <x v="6"/>
    <s v="Golden Farms Nigeria Limited"/>
    <x v="3"/>
    <s v="11/25/2021"/>
    <n v="671"/>
    <n v="23316.71"/>
    <n v="3376.13"/>
    <n v="15645512.41"/>
    <s v="Lagos"/>
    <s v="Sea"/>
    <x v="1"/>
    <n v="2265383.23"/>
  </r>
  <r>
    <x v="6"/>
    <s v="Agro Allied Exporters Nigeria Limited"/>
    <x v="3"/>
    <s v="3/17/2021"/>
    <n v="709"/>
    <n v="41015.1"/>
    <n v="8138.42"/>
    <n v="29079705.899999999"/>
    <s v="Warri"/>
    <s v="Sea"/>
    <x v="1"/>
    <n v="5770139.7800000003"/>
  </r>
  <r>
    <x v="6"/>
    <s v="Farmgate Nigeria Limited"/>
    <x v="3"/>
    <s v="7/12/2021"/>
    <n v="599"/>
    <n v="48007.01"/>
    <n v="6015.13"/>
    <n v="28756198.989999998"/>
    <s v="Port Harcourt"/>
    <s v="Sea"/>
    <x v="1"/>
    <n v="3603062.87"/>
  </r>
  <r>
    <x v="6"/>
    <s v="Greenfield Agro Exporters Nigeria Limited"/>
    <x v="3"/>
    <s v="8/4/2021"/>
    <n v="424"/>
    <n v="15631.78"/>
    <n v="6918.65"/>
    <n v="6627874.7199999997"/>
    <s v="Lagos"/>
    <s v="Sea"/>
    <x v="1"/>
    <n v="2933507.5999999996"/>
  </r>
  <r>
    <x v="6"/>
    <s v="Solid Agro Nigeria Limited"/>
    <x v="1"/>
    <s v="12/19/2021"/>
    <n v="562"/>
    <n v="48517.1"/>
    <n v="3273.33"/>
    <n v="27266610.199999999"/>
    <s v="Lagos"/>
    <s v="Sea"/>
    <x v="1"/>
    <n v="1839611.46"/>
  </r>
  <r>
    <x v="6"/>
    <s v="Solid Agro Nigeria Limited"/>
    <x v="1"/>
    <s v="2/9/2021"/>
    <n v="957"/>
    <n v="27374.69"/>
    <n v="9259.27"/>
    <n v="26197578.329999998"/>
    <s v="Calabar"/>
    <s v="Sea"/>
    <x v="1"/>
    <n v="8861121.3900000006"/>
  </r>
  <r>
    <x v="6"/>
    <s v="Agro Allied Exporters Nigeria Limited"/>
    <x v="1"/>
    <s v="3/31/2021"/>
    <n v="177"/>
    <n v="36589.22"/>
    <n v="3427.72"/>
    <n v="6476291.9400000004"/>
    <s v="Lagos"/>
    <s v="Sea"/>
    <x v="1"/>
    <n v="606706.43999999994"/>
  </r>
  <r>
    <x v="6"/>
    <s v="Agro Export Nigeria Ltd"/>
    <x v="0"/>
    <s v="3/31/2021"/>
    <n v="804"/>
    <n v="28787.91"/>
    <n v="8809.98"/>
    <n v="23145479.640000001"/>
    <s v="Warri"/>
    <s v="Sea"/>
    <x v="1"/>
    <n v="7083223.9199999999"/>
  </r>
  <r>
    <x v="6"/>
    <s v="Farmgate Nigeria Limited"/>
    <x v="1"/>
    <s v="4/6/2021"/>
    <n v="807"/>
    <n v="38087.660000000003"/>
    <n v="6847.72"/>
    <n v="30736741.620000001"/>
    <s v="Lagos"/>
    <s v="Sea"/>
    <x v="1"/>
    <n v="5526110.04"/>
  </r>
  <r>
    <x v="6"/>
    <s v="Farmgate Nigeria Limited"/>
    <x v="1"/>
    <s v="8/11/2021"/>
    <n v="357"/>
    <n v="25681.71"/>
    <n v="5818.74"/>
    <n v="9168370.4700000007"/>
    <s v="Lagos"/>
    <s v="Sea"/>
    <x v="1"/>
    <n v="2077290.18"/>
  </r>
  <r>
    <x v="6"/>
    <s v="Agriplus Nigeria Limited"/>
    <x v="8"/>
    <s v="10/6/2021"/>
    <n v="267"/>
    <n v="17307.3"/>
    <n v="9600.9599999999991"/>
    <n v="4621049.0999999996"/>
    <s v="Calabar"/>
    <s v="Sea"/>
    <x v="1"/>
    <n v="2563456.3199999998"/>
  </r>
  <r>
    <x v="6"/>
    <s v="Farmgate Nigeria Limited"/>
    <x v="8"/>
    <s v="11/4/2021"/>
    <n v="173"/>
    <n v="48027.01"/>
    <n v="4082.66"/>
    <n v="8308672.7300000004"/>
    <s v="Warri"/>
    <s v="Sea"/>
    <x v="1"/>
    <n v="706300.17999999993"/>
  </r>
  <r>
    <x v="6"/>
    <s v="Greenfield Agro Exporters Nigeria Limited"/>
    <x v="8"/>
    <s v="3/6/2021"/>
    <n v="199"/>
    <n v="47269.53"/>
    <n v="9258.5"/>
    <n v="9406636.4700000007"/>
    <s v="Lagos"/>
    <s v="Sea"/>
    <x v="1"/>
    <n v="1842441.5"/>
  </r>
  <r>
    <x v="6"/>
    <s v="Solid Agro Nigeria Limited"/>
    <x v="8"/>
    <s v="8/10/2021"/>
    <n v="343"/>
    <n v="48026.63"/>
    <n v="6193.02"/>
    <n v="16473134.09"/>
    <s v="Lagos"/>
    <s v="Sea"/>
    <x v="1"/>
    <n v="2124205.8600000003"/>
  </r>
  <r>
    <x v="6"/>
    <s v="Greenfield Agro Exporters Nigeria Limited"/>
    <x v="2"/>
    <s v="12/25/2021"/>
    <n v="667"/>
    <n v="33489.07"/>
    <n v="9214.17"/>
    <n v="22337209.690000001"/>
    <s v="Lagos"/>
    <s v="Sea"/>
    <x v="1"/>
    <n v="6145851.3899999997"/>
  </r>
  <r>
    <x v="6"/>
    <s v="Nigeria Agro Export Company"/>
    <x v="2"/>
    <s v="2/4/2021"/>
    <n v="413"/>
    <n v="47019.51"/>
    <n v="3971.94"/>
    <n v="19419057.629999999"/>
    <s v="Lagos"/>
    <s v="Sea"/>
    <x v="1"/>
    <n v="1640411.22"/>
  </r>
  <r>
    <x v="6"/>
    <s v="Solid Agro Nigeria Limited"/>
    <x v="2"/>
    <s v="4/28/2021"/>
    <n v="855"/>
    <n v="40697.769999999997"/>
    <n v="3184.83"/>
    <n v="34796593.350000001"/>
    <s v="Lagos"/>
    <s v="Sea"/>
    <x v="1"/>
    <n v="2723029.65"/>
  </r>
  <r>
    <x v="6"/>
    <s v="Agro Export Nigeria Ltd"/>
    <x v="2"/>
    <s v="6/25/2021"/>
    <n v="821"/>
    <n v="27842.04"/>
    <n v="3404.09"/>
    <n v="22858314.84"/>
    <s v="Lagos"/>
    <s v="Sea"/>
    <x v="1"/>
    <n v="2794757.89"/>
  </r>
  <r>
    <x v="6"/>
    <s v="Farmgate Nigeria Limited"/>
    <x v="2"/>
    <s v="6/27/2021"/>
    <n v="393"/>
    <n v="23647.19"/>
    <n v="5405.19"/>
    <n v="9293345.6699999999"/>
    <s v="Lagos"/>
    <s v="Sea"/>
    <x v="1"/>
    <n v="2124239.67"/>
  </r>
  <r>
    <x v="6"/>
    <s v="Agriplus Nigeria Limited"/>
    <x v="2"/>
    <s v="7/25/2021"/>
    <n v="405"/>
    <n v="13582.18"/>
    <n v="5894.22"/>
    <n v="5500782.9000000004"/>
    <s v="Warri"/>
    <s v="Sea"/>
    <x v="1"/>
    <n v="2387159.1"/>
  </r>
  <r>
    <x v="6"/>
    <s v="Agriplus Nigeria Limited"/>
    <x v="0"/>
    <s v="5/13/2021"/>
    <n v="730"/>
    <n v="44410.29"/>
    <n v="3170.9"/>
    <n v="32419511.699999999"/>
    <s v="Warri"/>
    <s v="Sea"/>
    <x v="1"/>
    <n v="2314757"/>
  </r>
  <r>
    <x v="6"/>
    <s v="Nigeria Agro Export Company"/>
    <x v="0"/>
    <s v="5/31/2021"/>
    <n v="842"/>
    <n v="44116.31"/>
    <n v="3737.61"/>
    <n v="37145933.020000003"/>
    <s v="Lagos"/>
    <s v="Sea"/>
    <x v="1"/>
    <n v="3147067.62"/>
  </r>
  <r>
    <x v="6"/>
    <s v="Agro Allied Exporters Nigeria Limited"/>
    <x v="7"/>
    <s v="3/21/2021"/>
    <n v="471"/>
    <n v="46139.69"/>
    <n v="4274.55"/>
    <n v="21731793.989999998"/>
    <s v="Lagos"/>
    <s v="Sea"/>
    <x v="1"/>
    <n v="2013313.05"/>
  </r>
  <r>
    <x v="6"/>
    <s v="Agro Allied Exporters Nigeria Limited"/>
    <x v="5"/>
    <s v="11/8/2021"/>
    <n v="346"/>
    <n v="45825.21"/>
    <n v="2333.75"/>
    <n v="15855522.66"/>
    <s v="Warri"/>
    <s v="Sea"/>
    <x v="1"/>
    <n v="807477.5"/>
  </r>
  <r>
    <x v="6"/>
    <s v="Agro Allied Exporters Nigeria Limited"/>
    <x v="5"/>
    <s v="7/26/2021"/>
    <n v="696"/>
    <n v="40906.92"/>
    <n v="5413.24"/>
    <n v="28471216.32"/>
    <s v="Lagos"/>
    <s v="Sea"/>
    <x v="1"/>
    <n v="3767615.04"/>
  </r>
  <r>
    <x v="6"/>
    <s v="Agro Export Nigeria Ltd"/>
    <x v="5"/>
    <s v="9/3/2021"/>
    <n v="887"/>
    <n v="39899.300000000003"/>
    <n v="4319.57"/>
    <n v="35390679.100000001"/>
    <s v="Lagos"/>
    <s v="Sea"/>
    <x v="1"/>
    <n v="3831458.59"/>
  </r>
  <r>
    <x v="6"/>
    <s v="Golden Farms Nigeria Limited"/>
    <x v="9"/>
    <s v="1/25/2021"/>
    <n v="371"/>
    <n v="12445.21"/>
    <n v="5153.7700000000004"/>
    <n v="4617172.91"/>
    <s v="Calabar"/>
    <s v="Sea"/>
    <x v="1"/>
    <n v="1912048.6700000002"/>
  </r>
  <r>
    <x v="6"/>
    <s v="Nigeria Agro Export Company"/>
    <x v="9"/>
    <s v="10/14/2021"/>
    <n v="789"/>
    <n v="45177.74"/>
    <n v="7969.12"/>
    <n v="35645236.859999999"/>
    <s v="Lagos"/>
    <s v="Sea"/>
    <x v="1"/>
    <n v="6287635.6799999997"/>
  </r>
  <r>
    <x v="6"/>
    <s v="Agro Allied Exporters Nigeria Limited"/>
    <x v="9"/>
    <s v="6/10/2021"/>
    <n v="795"/>
    <n v="31220.79"/>
    <n v="4664.78"/>
    <n v="24820528.050000001"/>
    <s v="Calabar"/>
    <s v="Sea"/>
    <x v="1"/>
    <n v="3708500.0999999996"/>
  </r>
  <r>
    <x v="6"/>
    <s v="Greenfield Agro Exporters Nigeria Limited"/>
    <x v="6"/>
    <s v="10/12/2021"/>
    <n v="182"/>
    <n v="28119.02"/>
    <n v="4905.9399999999996"/>
    <n v="5117661.6399999997"/>
    <s v="Warri"/>
    <s v="Sea"/>
    <x v="1"/>
    <n v="892881.08"/>
  </r>
  <r>
    <x v="6"/>
    <s v="Farmgate Nigeria Limited"/>
    <x v="6"/>
    <s v="10/20/2021"/>
    <n v="608"/>
    <n v="24486.35"/>
    <n v="2380.14"/>
    <n v="14887700.800000001"/>
    <s v="Lagos"/>
    <s v="Sea"/>
    <x v="1"/>
    <n v="1447125.1199999999"/>
  </r>
  <r>
    <x v="6"/>
    <s v="Nigerian Export Promotion Council (NEPC)"/>
    <x v="6"/>
    <s v="2/18/2021"/>
    <n v="439"/>
    <n v="40861.040000000001"/>
    <n v="6133.39"/>
    <n v="17937996.559999999"/>
    <s v="Calabar"/>
    <s v="Sea"/>
    <x v="1"/>
    <n v="2692558.21"/>
  </r>
  <r>
    <x v="6"/>
    <s v="Nigerian Export Promotion Council (NEPC)"/>
    <x v="6"/>
    <s v="3/20/2021"/>
    <n v="262"/>
    <n v="13664.69"/>
    <n v="7725.31"/>
    <n v="3580148.78"/>
    <s v="Warri"/>
    <s v="Sea"/>
    <x v="1"/>
    <n v="2024031.2200000002"/>
  </r>
  <r>
    <x v="6"/>
    <s v="Prime Agro Exports Nigeria Limited"/>
    <x v="6"/>
    <s v="8/14/2021"/>
    <n v="217"/>
    <n v="34216.050000000003"/>
    <n v="9912.43"/>
    <n v="7424882.8499999996"/>
    <s v="Lagos"/>
    <s v="Sea"/>
    <x v="1"/>
    <n v="2150997.31"/>
  </r>
  <r>
    <x v="6"/>
    <s v="Farmgate Nigeria Limited"/>
    <x v="4"/>
    <s v="10/6/2022"/>
    <n v="647"/>
    <n v="49738"/>
    <n v="9900.98"/>
    <n v="32180486"/>
    <s v="Lagos"/>
    <s v="Sea"/>
    <x v="2"/>
    <n v="6405934.0599999996"/>
  </r>
  <r>
    <x v="6"/>
    <s v="Solid Agro Nigeria Limited"/>
    <x v="4"/>
    <s v="6/17/2022"/>
    <n v="250"/>
    <n v="27849.16"/>
    <n v="4734.07"/>
    <n v="6962290"/>
    <s v="Lagos"/>
    <s v="Sea"/>
    <x v="2"/>
    <n v="1183517.5"/>
  </r>
  <r>
    <x v="6"/>
    <s v="Nigerian Export Promotion Council (NEPC)"/>
    <x v="3"/>
    <s v="12/31/2022"/>
    <n v="191"/>
    <n v="21981.31"/>
    <n v="7781.54"/>
    <n v="4198430.21"/>
    <s v="Warri"/>
    <s v="Sea"/>
    <x v="2"/>
    <n v="1486274.14"/>
  </r>
  <r>
    <x v="6"/>
    <s v="Agro Allied Exporters Nigeria Limited"/>
    <x v="7"/>
    <s v="12/31/2022"/>
    <n v="383"/>
    <n v="22247.16"/>
    <n v="2470.1799999999998"/>
    <n v="8520662.2799999993"/>
    <s v="Lagos"/>
    <s v="Sea"/>
    <x v="2"/>
    <n v="946078.94"/>
  </r>
  <r>
    <x v="6"/>
    <s v="Solid Agro Nigeria Limited"/>
    <x v="3"/>
    <s v="2/11/2022"/>
    <n v="877"/>
    <n v="36520.61"/>
    <n v="6211.19"/>
    <n v="32028574.969999999"/>
    <s v="Lagos"/>
    <s v="Sea"/>
    <x v="2"/>
    <n v="5447213.6299999999"/>
  </r>
  <r>
    <x v="6"/>
    <s v="Golden Farms Nigeria Limited"/>
    <x v="3"/>
    <s v="3/13/2022"/>
    <n v="290"/>
    <n v="36322.870000000003"/>
    <n v="9201.4"/>
    <n v="10533632.300000001"/>
    <s v="Lagos"/>
    <s v="Sea"/>
    <x v="2"/>
    <n v="2668406"/>
  </r>
  <r>
    <x v="6"/>
    <s v="Agriplus Nigeria Limited"/>
    <x v="3"/>
    <s v="3/15/2022"/>
    <n v="661"/>
    <n v="44200.43"/>
    <n v="6749.68"/>
    <n v="29216484.23"/>
    <s v="Calabar"/>
    <s v="Sea"/>
    <x v="2"/>
    <n v="4461538.4800000004"/>
  </r>
  <r>
    <x v="6"/>
    <s v="Agriplus Nigeria Limited"/>
    <x v="3"/>
    <s v="6/24/2022"/>
    <n v="987"/>
    <n v="22652.61"/>
    <n v="3695.28"/>
    <n v="22358126.07"/>
    <s v="Lagos"/>
    <s v="Sea"/>
    <x v="2"/>
    <n v="3647241.3600000003"/>
  </r>
  <r>
    <x v="6"/>
    <s v="Nigerian Export Promotion Council (NEPC)"/>
    <x v="3"/>
    <s v="6/30/2022"/>
    <n v="317"/>
    <n v="15822.44"/>
    <n v="8639.1200000000008"/>
    <n v="5015713.4800000004"/>
    <s v="Lagos"/>
    <s v="Sea"/>
    <x v="2"/>
    <n v="2738601.04"/>
  </r>
  <r>
    <x v="6"/>
    <s v="Prime Agro Exports Nigeria Limited"/>
    <x v="3"/>
    <s v="7/25/2022"/>
    <n v="304"/>
    <n v="35413.74"/>
    <n v="2594.73"/>
    <n v="10765776.960000001"/>
    <s v="Lagos"/>
    <s v="Sea"/>
    <x v="2"/>
    <n v="788797.92"/>
  </r>
  <r>
    <x v="6"/>
    <s v="Solid Agro Nigeria Limited"/>
    <x v="1"/>
    <s v="2/22/2022"/>
    <n v="142"/>
    <n v="21985.66"/>
    <n v="5963.85"/>
    <n v="3121963.72"/>
    <s v="Lagos"/>
    <s v="Sea"/>
    <x v="2"/>
    <n v="846866.70000000007"/>
  </r>
  <r>
    <x v="6"/>
    <s v="Farmgate Nigeria Limited"/>
    <x v="1"/>
    <s v="6/26/2022"/>
    <n v="911"/>
    <n v="31182.01"/>
    <n v="7840.19"/>
    <n v="28406811.109999999"/>
    <s v="Warri"/>
    <s v="Sea"/>
    <x v="2"/>
    <n v="7142413.0899999999"/>
  </r>
  <r>
    <x v="6"/>
    <s v="Agro Export Nigeria Ltd"/>
    <x v="1"/>
    <s v="8/1/2022"/>
    <n v="606"/>
    <n v="17896.939999999999"/>
    <n v="5326.45"/>
    <n v="10845545.640000001"/>
    <s v="Lagos"/>
    <s v="Sea"/>
    <x v="2"/>
    <n v="3227828.6999999997"/>
  </r>
  <r>
    <x v="6"/>
    <s v="Golden Farms Nigeria Limited"/>
    <x v="8"/>
    <s v="10/29/2022"/>
    <n v="616"/>
    <n v="33656.080000000002"/>
    <n v="6167.99"/>
    <n v="20732145.280000001"/>
    <s v="Lagos"/>
    <s v="Sea"/>
    <x v="2"/>
    <n v="3799481.84"/>
  </r>
  <r>
    <x v="6"/>
    <s v="Agriplus Nigeria Limited"/>
    <x v="8"/>
    <s v="10/3/2022"/>
    <n v="722"/>
    <n v="46749.58"/>
    <n v="4146.22"/>
    <n v="33753196.759999998"/>
    <s v="Warri"/>
    <s v="Sea"/>
    <x v="2"/>
    <n v="2993570.8400000003"/>
  </r>
  <r>
    <x v="6"/>
    <s v="Nigerian Export Promotion Council (NEPC)"/>
    <x v="8"/>
    <s v="12/10/2022"/>
    <n v="192"/>
    <n v="23536.16"/>
    <n v="2812.83"/>
    <n v="4518942.7199999997"/>
    <s v="Lagos"/>
    <s v="Sea"/>
    <x v="2"/>
    <n v="540063.36"/>
  </r>
  <r>
    <x v="6"/>
    <s v="Nigeria Agro Export Company"/>
    <x v="8"/>
    <s v="2/28/2022"/>
    <n v="141"/>
    <n v="44054.32"/>
    <n v="9201.08"/>
    <n v="6211659.1200000001"/>
    <s v="Lagos"/>
    <s v="Sea"/>
    <x v="2"/>
    <n v="1297352.28"/>
  </r>
  <r>
    <x v="6"/>
    <s v="Golden Farms Nigeria Limited"/>
    <x v="5"/>
    <s v="2/28/2022"/>
    <n v="379"/>
    <n v="12061.24"/>
    <n v="8671.99"/>
    <n v="4571209.96"/>
    <s v="Port Harcourt"/>
    <s v="Sea"/>
    <x v="2"/>
    <n v="3286684.21"/>
  </r>
  <r>
    <x v="6"/>
    <s v="Golden Farms Nigeria Limited"/>
    <x v="8"/>
    <s v="5/10/2022"/>
    <n v="221"/>
    <n v="37345.15"/>
    <n v="7906.31"/>
    <n v="8253278.1500000004"/>
    <s v="Warri"/>
    <s v="Sea"/>
    <x v="2"/>
    <n v="1747294.51"/>
  </r>
  <r>
    <x v="6"/>
    <s v="Greenfield Agro Exporters Nigeria Limited"/>
    <x v="2"/>
    <s v="2/26/2022"/>
    <n v="450"/>
    <n v="47731.6"/>
    <n v="3122.51"/>
    <n v="21479220"/>
    <s v="Lagos"/>
    <s v="Sea"/>
    <x v="2"/>
    <n v="1405129.5"/>
  </r>
  <r>
    <x v="6"/>
    <s v="Golden Farms Nigeria Limited"/>
    <x v="0"/>
    <s v="10/24/2022"/>
    <n v="291"/>
    <n v="24012.91"/>
    <n v="8318.99"/>
    <n v="6987756.8099999996"/>
    <s v="Lagos"/>
    <s v="Sea"/>
    <x v="2"/>
    <n v="2420826.09"/>
  </r>
  <r>
    <x v="6"/>
    <s v="Agro Allied Exporters Nigeria Limited"/>
    <x v="0"/>
    <s v="8/26/2022"/>
    <n v="805"/>
    <n v="18006.64"/>
    <n v="5923.04"/>
    <n v="14495345.199999999"/>
    <s v="Port Harcourt"/>
    <s v="Sea"/>
    <x v="2"/>
    <n v="4768047.2"/>
  </r>
  <r>
    <x v="6"/>
    <s v="Nigerian Export Promotion Council (NEPC)"/>
    <x v="7"/>
    <s v="1/28/2022"/>
    <n v="654"/>
    <n v="30960.47"/>
    <n v="9761.35"/>
    <n v="20248147.379999999"/>
    <s v="Lagos"/>
    <s v="Sea"/>
    <x v="2"/>
    <n v="6383922.9000000004"/>
  </r>
  <r>
    <x v="6"/>
    <s v="Agro Export Nigeria Ltd"/>
    <x v="5"/>
    <s v="11/17/2022"/>
    <n v="430"/>
    <n v="11566.78"/>
    <n v="7435.68"/>
    <n v="4973715.4000000004"/>
    <s v="Lagos"/>
    <s v="Sea"/>
    <x v="2"/>
    <n v="3197342.4"/>
  </r>
  <r>
    <x v="6"/>
    <s v="Golden Farms Nigeria Limited"/>
    <x v="5"/>
    <s v="11/25/2022"/>
    <n v="709"/>
    <n v="25837.66"/>
    <n v="7576.26"/>
    <n v="18318900.940000001"/>
    <s v="Calabar"/>
    <s v="Sea"/>
    <x v="2"/>
    <n v="5371568.3399999999"/>
  </r>
  <r>
    <x v="6"/>
    <s v="Agro Export Nigeria Ltd"/>
    <x v="5"/>
    <s v="6/9/2022"/>
    <n v="737"/>
    <n v="43567.37"/>
    <n v="9198.56"/>
    <n v="32109151.690000001"/>
    <s v="Warri"/>
    <s v="Sea"/>
    <x v="2"/>
    <n v="6779338.7199999997"/>
  </r>
  <r>
    <x v="6"/>
    <s v="Agriplus Nigeria Limited"/>
    <x v="5"/>
    <s v="7/13/2022"/>
    <n v="272"/>
    <n v="13913.4"/>
    <n v="8925.23"/>
    <n v="3784444.8"/>
    <s v="Lagos"/>
    <s v="Sea"/>
    <x v="2"/>
    <n v="2427662.56"/>
  </r>
  <r>
    <x v="6"/>
    <s v="Nigerian Export Promotion Council (NEPC)"/>
    <x v="5"/>
    <s v="7/16/2022"/>
    <n v="995"/>
    <n v="19174.71"/>
    <n v="7622.54"/>
    <n v="19078836.449999999"/>
    <s v="Calabar"/>
    <s v="Sea"/>
    <x v="2"/>
    <n v="7584427.2999999998"/>
  </r>
  <r>
    <x v="6"/>
    <s v="Nigeria Agro Export Company"/>
    <x v="5"/>
    <s v="9/28/2022"/>
    <n v="951"/>
    <n v="18275.439999999999"/>
    <n v="8704.65"/>
    <n v="17379943.440000001"/>
    <s v="Lagos"/>
    <s v="Sea"/>
    <x v="2"/>
    <n v="8278122.1499999994"/>
  </r>
  <r>
    <x v="6"/>
    <s v="Farmgate Nigeria Limited"/>
    <x v="9"/>
    <s v="1/14/2022"/>
    <n v="579"/>
    <n v="46260.7"/>
    <n v="3869.83"/>
    <n v="26784945.300000001"/>
    <s v="Calabar"/>
    <s v="Sea"/>
    <x v="2"/>
    <n v="2240631.5699999998"/>
  </r>
  <r>
    <x v="6"/>
    <s v="Agriplus Nigeria Limited"/>
    <x v="9"/>
    <s v="5/25/2022"/>
    <n v="611"/>
    <n v="32507.66"/>
    <n v="5691.95"/>
    <n v="19862180.260000002"/>
    <s v="Warri"/>
    <s v="Sea"/>
    <x v="2"/>
    <n v="3477781.4499999997"/>
  </r>
  <r>
    <x v="6"/>
    <s v="Agro Allied Exporters Nigeria Limited"/>
    <x v="6"/>
    <s v="3/10/2022"/>
    <n v="309"/>
    <n v="17372.98"/>
    <n v="4275.1000000000004"/>
    <n v="5368250.82"/>
    <s v="Lagos"/>
    <s v="Sea"/>
    <x v="2"/>
    <n v="1321005.9000000001"/>
  </r>
  <r>
    <x v="6"/>
    <s v="Farmgate Nigeria Limited"/>
    <x v="6"/>
    <s v="5/6/2022"/>
    <n v="727"/>
    <n v="38141.67"/>
    <n v="2962.13"/>
    <n v="27728994.09"/>
    <s v="Lagos"/>
    <s v="Sea"/>
    <x v="2"/>
    <n v="2153468.5100000002"/>
  </r>
  <r>
    <x v="6"/>
    <s v="Solid Agro Nigeria Limited"/>
    <x v="4"/>
    <s v="1/7/2023"/>
    <n v="433"/>
    <n v="45138.76"/>
    <n v="8830.9599999999991"/>
    <n v="19545083.079999998"/>
    <s v="Calabar"/>
    <s v="Sea"/>
    <x v="3"/>
    <n v="3823805.6799999997"/>
  </r>
  <r>
    <x v="6"/>
    <s v="Farmgate Nigeria Limited"/>
    <x v="4"/>
    <s v="11/16/2023"/>
    <n v="721"/>
    <n v="31443.05"/>
    <n v="5863.92"/>
    <n v="22670439.050000001"/>
    <s v="Lagos"/>
    <s v="Sea"/>
    <x v="3"/>
    <n v="4227886.32"/>
  </r>
  <r>
    <x v="6"/>
    <s v="Solid Agro Nigeria Limited"/>
    <x v="4"/>
    <s v="6/2/2023"/>
    <n v="160"/>
    <n v="17098.75"/>
    <n v="4551.93"/>
    <n v="2735800"/>
    <s v="Lagos"/>
    <s v="Sea"/>
    <x v="3"/>
    <n v="728308.8"/>
  </r>
  <r>
    <x v="6"/>
    <s v="Prime Agro Exports Nigeria Limited"/>
    <x v="3"/>
    <s v="11/9/2023"/>
    <n v="131"/>
    <n v="33882.160000000003"/>
    <n v="5708.85"/>
    <n v="4438562.96"/>
    <s v="Lagos"/>
    <s v="Sea"/>
    <x v="3"/>
    <n v="747859.35000000009"/>
  </r>
  <r>
    <x v="6"/>
    <s v="Agriplus Nigeria Limited"/>
    <x v="1"/>
    <s v="3/25/2023"/>
    <n v="661"/>
    <n v="39910.720000000001"/>
    <n v="6227.46"/>
    <n v="26380985.920000002"/>
    <s v="Calabar"/>
    <s v="Sea"/>
    <x v="3"/>
    <n v="4116351.06"/>
  </r>
  <r>
    <x v="6"/>
    <s v="Greenfield Agro Exporters Nigeria Limited"/>
    <x v="1"/>
    <s v="4/3/2023"/>
    <n v="563"/>
    <n v="21775.759999999998"/>
    <n v="2517.02"/>
    <n v="12259752.880000001"/>
    <s v="Lagos"/>
    <s v="Sea"/>
    <x v="3"/>
    <n v="1417082.26"/>
  </r>
  <r>
    <x v="6"/>
    <s v="Golden Farms Nigeria Limited"/>
    <x v="1"/>
    <s v="5/2/2023"/>
    <n v="476"/>
    <n v="46857.65"/>
    <n v="3468.63"/>
    <n v="22304241.399999999"/>
    <s v="Lagos"/>
    <s v="Sea"/>
    <x v="3"/>
    <n v="1651067.8800000001"/>
  </r>
  <r>
    <x v="6"/>
    <s v="Nigerian Export Promotion Council (NEPC)"/>
    <x v="8"/>
    <s v="12/28/2023"/>
    <n v="763"/>
    <n v="44083.97"/>
    <n v="2597.65"/>
    <n v="33636069.109999999"/>
    <s v="Warri"/>
    <s v="Sea"/>
    <x v="3"/>
    <n v="1982006.95"/>
  </r>
  <r>
    <x v="6"/>
    <s v="Agro Export Nigeria Ltd"/>
    <x v="8"/>
    <s v="3/23/2023"/>
    <n v="741"/>
    <n v="28606.38"/>
    <n v="6771.24"/>
    <n v="21197327.579999998"/>
    <s v="Lagos"/>
    <s v="Sea"/>
    <x v="3"/>
    <n v="5017488.84"/>
  </r>
  <r>
    <x v="6"/>
    <s v="Nigerian Export Promotion Council (NEPC)"/>
    <x v="8"/>
    <s v="4/11/2023"/>
    <n v="131"/>
    <n v="48048.54"/>
    <n v="3265.53"/>
    <n v="6294358.7400000002"/>
    <s v="Calabar"/>
    <s v="Sea"/>
    <x v="3"/>
    <n v="427784.43000000005"/>
  </r>
  <r>
    <x v="6"/>
    <s v="Farmgate Nigeria Limited"/>
    <x v="8"/>
    <s v="8/15/2023"/>
    <n v="893"/>
    <n v="13305.27"/>
    <n v="7510.66"/>
    <n v="11881606.109999999"/>
    <s v="Warri"/>
    <s v="Sea"/>
    <x v="3"/>
    <n v="6707019.3799999999"/>
  </r>
  <r>
    <x v="6"/>
    <s v="Nigeria Agro Export Company"/>
    <x v="8"/>
    <s v="9/5/2023"/>
    <n v="238"/>
    <n v="11883"/>
    <n v="2853.43"/>
    <n v="2828154"/>
    <s v="Lagos"/>
    <s v="Sea"/>
    <x v="3"/>
    <n v="679116.34"/>
  </r>
  <r>
    <x v="6"/>
    <s v="Solid Agro Nigeria Limited"/>
    <x v="2"/>
    <s v="1/25/2023"/>
    <n v="709"/>
    <n v="23947.5"/>
    <n v="6158.33"/>
    <n v="16978777.5"/>
    <s v="Calabar"/>
    <s v="Sea"/>
    <x v="3"/>
    <n v="4366255.97"/>
  </r>
  <r>
    <x v="6"/>
    <s v="Solid Agro Nigeria Limited"/>
    <x v="2"/>
    <s v="10/3/2023"/>
    <n v="531"/>
    <n v="32237.75"/>
    <n v="7713.03"/>
    <n v="17118245.25"/>
    <s v="Port Harcourt"/>
    <s v="Sea"/>
    <x v="3"/>
    <n v="4095618.9299999997"/>
  </r>
  <r>
    <x v="6"/>
    <s v="Agro Export Nigeria Ltd"/>
    <x v="2"/>
    <s v="11/1/2023"/>
    <n v="952"/>
    <n v="15607.62"/>
    <n v="5086.57"/>
    <n v="14858454.24"/>
    <s v="Lagos"/>
    <s v="Sea"/>
    <x v="3"/>
    <n v="4842414.6399999997"/>
  </r>
  <r>
    <x v="6"/>
    <s v="Nigerian Export Promotion Council (NEPC)"/>
    <x v="2"/>
    <s v="2/5/2023"/>
    <n v="196"/>
    <n v="39859.199999999997"/>
    <n v="7877.05"/>
    <n v="7812403.2000000002"/>
    <s v="Lagos"/>
    <s v="Sea"/>
    <x v="3"/>
    <n v="1543901.8"/>
  </r>
  <r>
    <x v="6"/>
    <s v="Prime Agro Exports Nigeria Limited"/>
    <x v="2"/>
    <s v="3/26/2023"/>
    <n v="408"/>
    <n v="39571.269999999997"/>
    <n v="5584.52"/>
    <n v="16145078.16"/>
    <s v="Lagos"/>
    <s v="Sea"/>
    <x v="3"/>
    <n v="2278484.16"/>
  </r>
  <r>
    <x v="6"/>
    <s v="Farmgate Nigeria Limited"/>
    <x v="0"/>
    <s v="8/4/2023"/>
    <n v="785"/>
    <n v="19604"/>
    <n v="4682.57"/>
    <n v="15389140"/>
    <s v="Lagos"/>
    <s v="Sea"/>
    <x v="3"/>
    <n v="3675817.4499999997"/>
  </r>
  <r>
    <x v="6"/>
    <s v="Agro Allied Exporters Nigeria Limited"/>
    <x v="0"/>
    <s v="8/6/2023"/>
    <n v="447"/>
    <n v="49544.5"/>
    <n v="6381.92"/>
    <n v="22146391.5"/>
    <s v="Lagos"/>
    <s v="Sea"/>
    <x v="3"/>
    <n v="2852718.24"/>
  </r>
  <r>
    <x v="6"/>
    <s v="Agro Export Nigeria Ltd"/>
    <x v="0"/>
    <s v="9/15/2023"/>
    <n v="972"/>
    <n v="28660.03"/>
    <n v="8220.25"/>
    <n v="27857549.16"/>
    <s v="Warri"/>
    <s v="Sea"/>
    <x v="3"/>
    <n v="7990083"/>
  </r>
  <r>
    <x v="6"/>
    <s v="Greenfield Agro Exporters Nigeria Limited"/>
    <x v="0"/>
    <s v="9/24/2023"/>
    <n v="246"/>
    <n v="39938.99"/>
    <n v="9327.0499999999993"/>
    <n v="9824991.5399999991"/>
    <s v="Lagos"/>
    <s v="Sea"/>
    <x v="3"/>
    <n v="2294454.2999999998"/>
  </r>
  <r>
    <x v="6"/>
    <s v="Nigerian Export Promotion Council (NEPC)"/>
    <x v="7"/>
    <s v="10/2/2023"/>
    <n v="558"/>
    <n v="27269.5"/>
    <n v="7661.93"/>
    <n v="15216381"/>
    <s v="Lagos"/>
    <s v="Sea"/>
    <x v="3"/>
    <n v="4275356.9400000004"/>
  </r>
  <r>
    <x v="6"/>
    <s v="Golden Farms Nigeria Limited"/>
    <x v="7"/>
    <s v="9/25/2023"/>
    <n v="576"/>
    <n v="49473.14"/>
    <n v="6506.39"/>
    <n v="28496528.640000001"/>
    <s v="Lagos"/>
    <s v="Sea"/>
    <x v="3"/>
    <n v="3747680.64"/>
  </r>
  <r>
    <x v="6"/>
    <s v="Nigeria Agro Export Company"/>
    <x v="5"/>
    <s v="4/1/2023"/>
    <n v="483"/>
    <n v="42817.53"/>
    <n v="3137.24"/>
    <n v="20680866.989999998"/>
    <s v="Port Harcourt"/>
    <s v="Sea"/>
    <x v="3"/>
    <n v="1515286.92"/>
  </r>
  <r>
    <x v="6"/>
    <s v="Golden Farms Nigeria Limited"/>
    <x v="5"/>
    <s v="8/13/2023"/>
    <n v="812"/>
    <n v="10721.81"/>
    <n v="4908.79"/>
    <n v="8706109.7200000007"/>
    <s v="Warri"/>
    <s v="Sea"/>
    <x v="3"/>
    <n v="3985937.48"/>
  </r>
  <r>
    <x v="6"/>
    <s v="Prime Agro Exports Nigeria Limited"/>
    <x v="9"/>
    <s v="2/2/2023"/>
    <n v="472"/>
    <n v="24963.59"/>
    <n v="3199.59"/>
    <n v="11782814.48"/>
    <s v="Lagos"/>
    <s v="Sea"/>
    <x v="3"/>
    <n v="1510206.48"/>
  </r>
  <r>
    <x v="6"/>
    <s v="Nigerian Export Promotion Council (NEPC)"/>
    <x v="9"/>
    <s v="6/18/2023"/>
    <n v="247"/>
    <n v="48726.71"/>
    <n v="2469.69"/>
    <n v="12035497.369999999"/>
    <s v="Lagos"/>
    <s v="Sea"/>
    <x v="3"/>
    <n v="610013.43000000005"/>
  </r>
  <r>
    <x v="7"/>
    <s v="Solid Agro Nigeria Limited"/>
    <x v="6"/>
    <s v="1/24/2020"/>
    <n v="594"/>
    <n v="32943.760000000002"/>
    <n v="2699.9"/>
    <n v="19568593.440000001"/>
    <s v="Warri"/>
    <s v="Sea"/>
    <x v="0"/>
    <n v="1603740.6"/>
  </r>
  <r>
    <x v="7"/>
    <s v="Nigeria Agro Export Company"/>
    <x v="6"/>
    <s v="5/24/2020"/>
    <n v="594"/>
    <n v="47688.67"/>
    <n v="9913.49"/>
    <n v="28327069.98"/>
    <s v="Lagos"/>
    <s v="Sea"/>
    <x v="0"/>
    <n v="5888613.0599999996"/>
  </r>
  <r>
    <x v="7"/>
    <s v="Agro Export Nigeria Ltd"/>
    <x v="6"/>
    <s v="7/14/2020"/>
    <n v="347"/>
    <n v="11714.81"/>
    <n v="2929.83"/>
    <n v="4065039.07"/>
    <s v="Lagos"/>
    <s v="Sea"/>
    <x v="0"/>
    <n v="1016651.01"/>
  </r>
  <r>
    <x v="7"/>
    <s v="Nigerian Export Promotion Council (NEPC)"/>
    <x v="6"/>
    <s v="8/31/2020"/>
    <n v="895"/>
    <n v="43973.47"/>
    <n v="2448.0500000000002"/>
    <n v="39356255.649999999"/>
    <s v="Port Harcourt"/>
    <s v="Sea"/>
    <x v="0"/>
    <n v="2191004.75"/>
  </r>
  <r>
    <x v="7"/>
    <s v="Agriplus Nigeria Limited"/>
    <x v="1"/>
    <s v="8/31/2020"/>
    <n v="775"/>
    <n v="17452.740000000002"/>
    <n v="2686.62"/>
    <n v="13525873.5"/>
    <s v="Port Harcourt"/>
    <s v="Sea"/>
    <x v="0"/>
    <n v="2082130.5"/>
  </r>
  <r>
    <x v="7"/>
    <s v="Nigeria Agro Export Company"/>
    <x v="6"/>
    <s v="9/24/2020"/>
    <n v="402"/>
    <n v="14516.01"/>
    <n v="7997.27"/>
    <n v="5835436.0199999996"/>
    <s v="Warri"/>
    <s v="Sea"/>
    <x v="0"/>
    <n v="3214902.54"/>
  </r>
  <r>
    <x v="7"/>
    <s v="Solid Agro Nigeria Limited"/>
    <x v="2"/>
    <s v="9/24/2020"/>
    <n v="903"/>
    <n v="21669.81"/>
    <n v="8838.64"/>
    <n v="19567838.43"/>
    <s v="Port Harcourt"/>
    <s v="Sea"/>
    <x v="0"/>
    <n v="7981291.9199999999"/>
  </r>
  <r>
    <x v="7"/>
    <s v="Agriplus Nigeria Limited"/>
    <x v="2"/>
    <s v="11/6/2020"/>
    <n v="816"/>
    <n v="24557.22"/>
    <n v="7507.36"/>
    <n v="20038691.52"/>
    <s v="Calabar"/>
    <s v="Sea"/>
    <x v="0"/>
    <n v="6126005.7599999998"/>
  </r>
  <r>
    <x v="7"/>
    <s v="Greenfield Agro Exporters Nigeria Limited"/>
    <x v="2"/>
    <s v="3/31/2020"/>
    <n v="507"/>
    <n v="31022.3"/>
    <n v="9376.5"/>
    <n v="15728306.1"/>
    <s v="Lagos"/>
    <s v="Sea"/>
    <x v="0"/>
    <n v="4753885.5"/>
  </r>
  <r>
    <x v="7"/>
    <s v="Nigeria Agro Export Company"/>
    <x v="4"/>
    <s v="1/19/2020"/>
    <n v="422"/>
    <n v="19028.66"/>
    <n v="9601.94"/>
    <n v="8030094.5199999996"/>
    <s v="Lagos"/>
    <s v="Sea"/>
    <x v="0"/>
    <n v="4052018.68"/>
  </r>
  <r>
    <x v="7"/>
    <s v="Agro Export Nigeria Ltd"/>
    <x v="4"/>
    <s v="11/17/2020"/>
    <n v="256"/>
    <n v="34710.58"/>
    <n v="6530.19"/>
    <n v="8885908.4800000004"/>
    <s v="Lagos"/>
    <s v="Sea"/>
    <x v="0"/>
    <n v="1671728.64"/>
  </r>
  <r>
    <x v="7"/>
    <s v="Nigeria Agro Export Company"/>
    <x v="4"/>
    <s v="2/19/2020"/>
    <n v="905"/>
    <n v="42903.63"/>
    <n v="2926.81"/>
    <n v="38827785.149999999"/>
    <s v="Lagos"/>
    <s v="Sea"/>
    <x v="0"/>
    <n v="2648763.0499999998"/>
  </r>
  <r>
    <x v="7"/>
    <s v="Nigeria Agro Export Company"/>
    <x v="4"/>
    <s v="7/10/2020"/>
    <n v="223"/>
    <n v="38450.54"/>
    <n v="9971.93"/>
    <n v="8574470.4199999999"/>
    <s v="Lagos"/>
    <s v="Sea"/>
    <x v="0"/>
    <n v="2223740.39"/>
  </r>
  <r>
    <x v="7"/>
    <s v="Nigerian Export Promotion Council (NEPC)"/>
    <x v="5"/>
    <s v="11/9/2020"/>
    <n v="109"/>
    <n v="26372.46"/>
    <n v="8505.26"/>
    <n v="2874598.14"/>
    <s v="Lagos"/>
    <s v="Sea"/>
    <x v="0"/>
    <n v="927073.34"/>
  </r>
  <r>
    <x v="7"/>
    <s v="Solid Agro Nigeria Limited"/>
    <x v="5"/>
    <s v="4/22/2020"/>
    <n v="583"/>
    <n v="40492.17"/>
    <n v="5945.15"/>
    <n v="23606935.109999999"/>
    <s v="Port Harcourt"/>
    <s v="Sea"/>
    <x v="0"/>
    <n v="3466022.4499999997"/>
  </r>
  <r>
    <x v="7"/>
    <s v="Nigeria Agro Export Company"/>
    <x v="5"/>
    <s v="8/19/2020"/>
    <n v="983"/>
    <n v="32503.8"/>
    <n v="5624.4"/>
    <n v="31951235.399999999"/>
    <s v="Lagos"/>
    <s v="Sea"/>
    <x v="0"/>
    <n v="5528785.1999999993"/>
  </r>
  <r>
    <x v="7"/>
    <s v="Agro Allied Exporters Nigeria Limited"/>
    <x v="8"/>
    <s v="2/6/2020"/>
    <n v="764"/>
    <n v="43203.73"/>
    <n v="8734.57"/>
    <n v="33007649.719999999"/>
    <s v="Warri"/>
    <s v="Sea"/>
    <x v="0"/>
    <n v="6673211.4799999995"/>
  </r>
  <r>
    <x v="7"/>
    <s v="Greenfield Agro Exporters Nigeria Limited"/>
    <x v="8"/>
    <s v="3/16/2020"/>
    <n v="934"/>
    <n v="19744.29"/>
    <n v="8570.41"/>
    <n v="18441166.859999999"/>
    <s v="Warri"/>
    <s v="Sea"/>
    <x v="0"/>
    <n v="8004762.9399999995"/>
  </r>
  <r>
    <x v="7"/>
    <s v="Golden Farms Nigeria Limited"/>
    <x v="8"/>
    <s v="5/7/2020"/>
    <n v="995"/>
    <n v="23095.37"/>
    <n v="8369.26"/>
    <n v="22979893.149999999"/>
    <s v="Lagos"/>
    <s v="Sea"/>
    <x v="0"/>
    <n v="8327413.7000000002"/>
  </r>
  <r>
    <x v="7"/>
    <s v="Agriplus Nigeria Limited"/>
    <x v="8"/>
    <s v="8/24/2020"/>
    <n v="280"/>
    <n v="25327.4"/>
    <n v="6295.63"/>
    <n v="7091672"/>
    <s v="Lagos"/>
    <s v="Sea"/>
    <x v="0"/>
    <n v="1762776.4000000001"/>
  </r>
  <r>
    <x v="7"/>
    <s v="Agro Export Nigeria Ltd"/>
    <x v="8"/>
    <s v="9/15/2020"/>
    <n v="336"/>
    <n v="45460.52"/>
    <n v="6073.91"/>
    <n v="15274734.720000001"/>
    <s v="Calabar"/>
    <s v="Sea"/>
    <x v="0"/>
    <n v="2040833.76"/>
  </r>
  <r>
    <x v="7"/>
    <s v="Agriplus Nigeria Limited"/>
    <x v="7"/>
    <s v="3/19/2020"/>
    <n v="619"/>
    <n v="40038.51"/>
    <n v="7040.64"/>
    <n v="24783837.690000001"/>
    <s v="Port Harcourt"/>
    <s v="Sea"/>
    <x v="0"/>
    <n v="4358156.16"/>
  </r>
  <r>
    <x v="7"/>
    <s v="Agro Allied Exporters Nigeria Limited"/>
    <x v="9"/>
    <s v="9/25/2020"/>
    <n v="545"/>
    <n v="36328.03"/>
    <n v="9914.9500000000007"/>
    <n v="19798776.350000001"/>
    <s v="Lagos"/>
    <s v="Sea"/>
    <x v="0"/>
    <n v="5403647.75"/>
  </r>
  <r>
    <x v="7"/>
    <s v="Agro Export Nigeria Ltd"/>
    <x v="3"/>
    <s v="2/25/2020"/>
    <n v="613"/>
    <n v="24452.58"/>
    <n v="6241.25"/>
    <n v="14989431.539999999"/>
    <s v="Lagos"/>
    <s v="Sea"/>
    <x v="0"/>
    <n v="3825886.25"/>
  </r>
  <r>
    <x v="7"/>
    <s v="Nigeria Agro Export Company"/>
    <x v="3"/>
    <s v="2/9/2020"/>
    <n v="346"/>
    <n v="45875.11"/>
    <n v="3490.75"/>
    <n v="15872788.060000001"/>
    <s v="Lagos"/>
    <s v="Sea"/>
    <x v="0"/>
    <n v="1207799.5"/>
  </r>
  <r>
    <x v="7"/>
    <s v="Agriplus Nigeria Limited"/>
    <x v="3"/>
    <s v="3/15/2020"/>
    <n v="558"/>
    <n v="42069.64"/>
    <n v="4852.43"/>
    <n v="23474859.120000001"/>
    <s v="Lagos"/>
    <s v="Sea"/>
    <x v="0"/>
    <n v="2707655.94"/>
  </r>
  <r>
    <x v="7"/>
    <s v="Nigeria Agro Export Company"/>
    <x v="3"/>
    <s v="7/31/2020"/>
    <n v="803"/>
    <n v="13464.75"/>
    <n v="4787.78"/>
    <n v="10812194.25"/>
    <s v="Warri"/>
    <s v="Sea"/>
    <x v="0"/>
    <n v="3844587.34"/>
  </r>
  <r>
    <x v="7"/>
    <s v="Farmgate Nigeria Limited"/>
    <x v="0"/>
    <s v="10/30/2020"/>
    <n v="452"/>
    <n v="12026.68"/>
    <n v="3115.04"/>
    <n v="5436059.3600000003"/>
    <s v="Lagos"/>
    <s v="Sea"/>
    <x v="0"/>
    <n v="1407998.08"/>
  </r>
  <r>
    <x v="7"/>
    <s v="Solid Agro Nigeria Limited"/>
    <x v="0"/>
    <s v="7/12/2020"/>
    <n v="268"/>
    <n v="41452.959999999999"/>
    <n v="9960.67"/>
    <n v="11109393.279999999"/>
    <s v="Port Harcourt"/>
    <s v="Sea"/>
    <x v="0"/>
    <n v="2669459.56"/>
  </r>
  <r>
    <x v="7"/>
    <s v="Agro Allied Exporters Nigeria Limited"/>
    <x v="0"/>
    <s v="7/19/2020"/>
    <n v="433"/>
    <n v="23950.53"/>
    <n v="9015.9699999999993"/>
    <n v="10370579.49"/>
    <s v="Lagos"/>
    <s v="Sea"/>
    <x v="0"/>
    <n v="3903915.01"/>
  </r>
  <r>
    <x v="7"/>
    <s v="Nigeria Agro Export Company"/>
    <x v="0"/>
    <s v="9/5/2020"/>
    <n v="613"/>
    <n v="43133.82"/>
    <n v="8333.2000000000007"/>
    <n v="26441031.66"/>
    <s v="Lagos"/>
    <s v="Sea"/>
    <x v="0"/>
    <n v="5108251.6000000006"/>
  </r>
  <r>
    <x v="7"/>
    <s v="Nigerian Export Promotion Council (NEPC)"/>
    <x v="1"/>
    <s v="12/7/2020"/>
    <n v="646"/>
    <n v="38364.15"/>
    <n v="9462.15"/>
    <n v="24783240.899999999"/>
    <s v="Calabar"/>
    <s v="Sea"/>
    <x v="0"/>
    <n v="6112548.8999999994"/>
  </r>
  <r>
    <x v="7"/>
    <s v="Agro Export Nigeria Ltd"/>
    <x v="1"/>
    <s v="6/25/2020"/>
    <n v="341"/>
    <n v="41425.589999999997"/>
    <n v="9653.4699999999993"/>
    <n v="14126126.189999999"/>
    <s v="Lagos"/>
    <s v="Sea"/>
    <x v="0"/>
    <n v="3291833.2699999996"/>
  </r>
  <r>
    <x v="7"/>
    <s v="Agro Export Nigeria Ltd"/>
    <x v="1"/>
    <s v="7/18/2020"/>
    <n v="586"/>
    <n v="27772.799999999999"/>
    <n v="7589.35"/>
    <n v="16274860.800000001"/>
    <s v="Calabar"/>
    <s v="Sea"/>
    <x v="0"/>
    <n v="4447359.1000000006"/>
  </r>
  <r>
    <x v="7"/>
    <s v="Nigerian Export Promotion Council (NEPC)"/>
    <x v="6"/>
    <s v="10/5/2021"/>
    <n v="762"/>
    <n v="31063.94"/>
    <n v="8486.77"/>
    <n v="23670722.280000001"/>
    <s v="Lagos"/>
    <s v="Sea"/>
    <x v="1"/>
    <n v="6466918.7400000002"/>
  </r>
  <r>
    <x v="7"/>
    <s v="Greenfield Agro Exporters Nigeria Limited"/>
    <x v="6"/>
    <s v="5/29/2021"/>
    <n v="386"/>
    <n v="12324.08"/>
    <n v="8623.86"/>
    <n v="4757094.88"/>
    <s v="Lagos"/>
    <s v="Sea"/>
    <x v="1"/>
    <n v="3328809.9600000004"/>
  </r>
  <r>
    <x v="7"/>
    <s v="Nigeria Agro Export Company"/>
    <x v="2"/>
    <s v="1/6/2021"/>
    <n v="649"/>
    <n v="33652.550000000003"/>
    <n v="2030.3"/>
    <n v="21840504.949999999"/>
    <s v="Lagos"/>
    <s v="Sea"/>
    <x v="1"/>
    <n v="1317664.7"/>
  </r>
  <r>
    <x v="7"/>
    <s v="Solid Agro Nigeria Limited"/>
    <x v="2"/>
    <s v="2/2/2021"/>
    <n v="212"/>
    <n v="13659.53"/>
    <n v="4407.05"/>
    <n v="2895820.36"/>
    <s v="Lagos"/>
    <s v="Sea"/>
    <x v="1"/>
    <n v="934294.60000000009"/>
  </r>
  <r>
    <x v="7"/>
    <s v="Nigerian Export Promotion Council (NEPC)"/>
    <x v="2"/>
    <s v="3/22/2021"/>
    <n v="990"/>
    <n v="16931.73"/>
    <n v="3464.19"/>
    <n v="16762412.699999999"/>
    <s v="Calabar"/>
    <s v="Sea"/>
    <x v="1"/>
    <n v="3429548.1"/>
  </r>
  <r>
    <x v="7"/>
    <s v="Agro Allied Exporters Nigeria Limited"/>
    <x v="2"/>
    <s v="3/5/2021"/>
    <n v="860"/>
    <n v="39176.400000000001"/>
    <n v="7591.77"/>
    <n v="33691704"/>
    <s v="Warri"/>
    <s v="Sea"/>
    <x v="1"/>
    <n v="6528922.2000000002"/>
  </r>
  <r>
    <x v="7"/>
    <s v="Agro Export Nigeria Ltd"/>
    <x v="2"/>
    <s v="4/8/2021"/>
    <n v="378"/>
    <n v="12485.68"/>
    <n v="9250.08"/>
    <n v="4719587.04"/>
    <s v="Calabar"/>
    <s v="Sea"/>
    <x v="1"/>
    <n v="3496530.2399999998"/>
  </r>
  <r>
    <x v="7"/>
    <s v="Nigerian Export Promotion Council (NEPC)"/>
    <x v="2"/>
    <s v="9/7/2021"/>
    <n v="930"/>
    <n v="11752.59"/>
    <n v="7463.08"/>
    <n v="10929908.699999999"/>
    <s v="Lagos"/>
    <s v="Sea"/>
    <x v="1"/>
    <n v="6940664.4000000004"/>
  </r>
  <r>
    <x v="7"/>
    <s v="Farmgate Nigeria Limited"/>
    <x v="4"/>
    <s v="1/21/2021"/>
    <n v="377"/>
    <n v="28535.67"/>
    <n v="6210.24"/>
    <n v="10757947.59"/>
    <s v="Warri"/>
    <s v="Sea"/>
    <x v="1"/>
    <n v="2341260.48"/>
  </r>
  <r>
    <x v="7"/>
    <s v="Solid Agro Nigeria Limited"/>
    <x v="4"/>
    <s v="11/10/2021"/>
    <n v="490"/>
    <n v="30620.6"/>
    <n v="8193.51"/>
    <n v="15004094"/>
    <s v="Calabar"/>
    <s v="Sea"/>
    <x v="1"/>
    <n v="4014819.9"/>
  </r>
  <r>
    <x v="7"/>
    <s v="Prime Agro Exports Nigeria Limited"/>
    <x v="4"/>
    <s v="12/4/2021"/>
    <n v="220"/>
    <n v="18365.32"/>
    <n v="9655.52"/>
    <n v="4040370.4"/>
    <s v="Calabar"/>
    <s v="Sea"/>
    <x v="1"/>
    <n v="2124214.4"/>
  </r>
  <r>
    <x v="7"/>
    <s v="Farmgate Nigeria Limited"/>
    <x v="4"/>
    <s v="6/9/2021"/>
    <n v="762"/>
    <n v="31052.45"/>
    <n v="5531.35"/>
    <n v="23661966.899999999"/>
    <s v="Lagos"/>
    <s v="Sea"/>
    <x v="1"/>
    <n v="4214888.7"/>
  </r>
  <r>
    <x v="7"/>
    <s v="Agro Export Nigeria Ltd"/>
    <x v="5"/>
    <s v="12/11/2021"/>
    <n v="846"/>
    <n v="35637.29"/>
    <n v="4083.88"/>
    <n v="30149147.34"/>
    <s v="Port Harcourt"/>
    <s v="Sea"/>
    <x v="1"/>
    <n v="3454962.48"/>
  </r>
  <r>
    <x v="7"/>
    <s v="Golden Farms Nigeria Limited"/>
    <x v="5"/>
    <s v="2/21/2021"/>
    <n v="414"/>
    <n v="42114.2"/>
    <n v="5486.61"/>
    <n v="17435278.800000001"/>
    <s v="Lagos"/>
    <s v="Sea"/>
    <x v="1"/>
    <n v="2271456.54"/>
  </r>
  <r>
    <x v="7"/>
    <s v="Agro Export Nigeria Ltd"/>
    <x v="5"/>
    <s v="3/4/2021"/>
    <n v="711"/>
    <n v="30663.26"/>
    <n v="3202.33"/>
    <n v="21801577.859999999"/>
    <s v="Lagos"/>
    <s v="Sea"/>
    <x v="1"/>
    <n v="2276856.63"/>
  </r>
  <r>
    <x v="7"/>
    <s v="Prime Agro Exports Nigeria Limited"/>
    <x v="5"/>
    <s v="6/20/2021"/>
    <n v="190"/>
    <n v="22327.68"/>
    <n v="6223.45"/>
    <n v="4242259.2"/>
    <s v="Lagos"/>
    <s v="Sea"/>
    <x v="1"/>
    <n v="1182455.5"/>
  </r>
  <r>
    <x v="7"/>
    <s v="Nigerian Export Promotion Council (NEPC)"/>
    <x v="8"/>
    <s v="1/4/2021"/>
    <n v="877"/>
    <n v="33879.550000000003"/>
    <n v="5665.66"/>
    <n v="29712365.350000001"/>
    <s v="Lagos"/>
    <s v="Sea"/>
    <x v="1"/>
    <n v="4968783.82"/>
  </r>
  <r>
    <x v="7"/>
    <s v="Golden Farms Nigeria Limited"/>
    <x v="8"/>
    <s v="6/13/2021"/>
    <n v="320"/>
    <n v="18171.759999999998"/>
    <n v="8433.08"/>
    <n v="5814963.2000000002"/>
    <s v="Warri"/>
    <s v="Sea"/>
    <x v="1"/>
    <n v="2698585.6"/>
  </r>
  <r>
    <x v="7"/>
    <s v="Farmgate Nigeria Limited"/>
    <x v="8"/>
    <s v="9/2/2021"/>
    <n v="284"/>
    <n v="34203.29"/>
    <n v="5562.73"/>
    <n v="9713734.3599999994"/>
    <s v="Lagos"/>
    <s v="Sea"/>
    <x v="1"/>
    <n v="1579815.3199999998"/>
  </r>
  <r>
    <x v="7"/>
    <s v="Solid Agro Nigeria Limited"/>
    <x v="7"/>
    <s v="10/19/2021"/>
    <n v="993"/>
    <n v="41505.97"/>
    <n v="4434.8999999999996"/>
    <n v="41215428.210000001"/>
    <s v="Warri"/>
    <s v="Sea"/>
    <x v="1"/>
    <n v="4403855.6999999993"/>
  </r>
  <r>
    <x v="7"/>
    <s v="Agriplus Nigeria Limited"/>
    <x v="7"/>
    <s v="12/30/2021"/>
    <n v="972"/>
    <n v="17424.12"/>
    <n v="6738.21"/>
    <n v="16936244.640000001"/>
    <s v="Port Harcourt"/>
    <s v="Sea"/>
    <x v="1"/>
    <n v="6549540.1200000001"/>
  </r>
  <r>
    <x v="7"/>
    <s v="Greenfield Agro Exporters Nigeria Limited"/>
    <x v="9"/>
    <s v="12/27/2021"/>
    <n v="263"/>
    <n v="33990.480000000003"/>
    <n v="8787.7800000000007"/>
    <n v="8939496.2400000002"/>
    <s v="Lagos"/>
    <s v="Sea"/>
    <x v="1"/>
    <n v="2311186.14"/>
  </r>
  <r>
    <x v="7"/>
    <s v="Greenfield Agro Exporters Nigeria Limited"/>
    <x v="9"/>
    <s v="12/5/2021"/>
    <n v="962"/>
    <n v="12987.93"/>
    <n v="6995.2"/>
    <n v="12494388.66"/>
    <s v="Lagos"/>
    <s v="Sea"/>
    <x v="1"/>
    <n v="6729382.3999999994"/>
  </r>
  <r>
    <x v="7"/>
    <s v="Solid Agro Nigeria Limited"/>
    <x v="3"/>
    <s v="10/16/2021"/>
    <n v="181"/>
    <n v="12844.9"/>
    <n v="4897.6499999999996"/>
    <n v="2324926.9"/>
    <s v="Lagos"/>
    <s v="Sea"/>
    <x v="1"/>
    <n v="886474.64999999991"/>
  </r>
  <r>
    <x v="7"/>
    <s v="Agro Export Nigeria Ltd"/>
    <x v="3"/>
    <s v="12/22/2021"/>
    <n v="291"/>
    <n v="46984.32"/>
    <n v="3639.36"/>
    <n v="13672437.119999999"/>
    <s v="Lagos"/>
    <s v="Sea"/>
    <x v="1"/>
    <n v="1059053.76"/>
  </r>
  <r>
    <x v="7"/>
    <s v="Greenfield Agro Exporters Nigeria Limited"/>
    <x v="3"/>
    <s v="12/3/2021"/>
    <n v="750"/>
    <n v="48870.19"/>
    <n v="9474.77"/>
    <n v="36652642.5"/>
    <s v="Lagos"/>
    <s v="Sea"/>
    <x v="1"/>
    <n v="7106077.5"/>
  </r>
  <r>
    <x v="7"/>
    <s v="Prime Agro Exports Nigeria Limited"/>
    <x v="3"/>
    <s v="2/16/2021"/>
    <n v="719"/>
    <n v="31328.17"/>
    <n v="4687.24"/>
    <n v="22524954.23"/>
    <s v="Lagos"/>
    <s v="Sea"/>
    <x v="1"/>
    <n v="3370125.56"/>
  </r>
  <r>
    <x v="7"/>
    <s v="Nigeria Agro Export Company"/>
    <x v="3"/>
    <s v="4/26/2021"/>
    <n v="769"/>
    <n v="48785.86"/>
    <n v="9075.51"/>
    <n v="37516326.340000004"/>
    <s v="Lagos"/>
    <s v="Sea"/>
    <x v="1"/>
    <n v="6979067.1900000004"/>
  </r>
  <r>
    <x v="7"/>
    <s v="Agriplus Nigeria Limited"/>
    <x v="0"/>
    <s v="10/18/2021"/>
    <n v="807"/>
    <n v="18090.87"/>
    <n v="7265.71"/>
    <n v="14599332.09"/>
    <s v="Lagos"/>
    <s v="Sea"/>
    <x v="1"/>
    <n v="5863427.9699999997"/>
  </r>
  <r>
    <x v="7"/>
    <s v="Agro Export Nigeria Ltd"/>
    <x v="0"/>
    <s v="12/23/2021"/>
    <n v="228"/>
    <n v="41382.33"/>
    <n v="6303.59"/>
    <n v="9435171.2400000002"/>
    <s v="Lagos"/>
    <s v="Sea"/>
    <x v="1"/>
    <n v="1437218.52"/>
  </r>
  <r>
    <x v="7"/>
    <s v="Greenfield Agro Exporters Nigeria Limited"/>
    <x v="0"/>
    <s v="5/3/2021"/>
    <n v="811"/>
    <n v="36623.160000000003"/>
    <n v="8224.9"/>
    <n v="29701382.760000002"/>
    <s v="Lagos"/>
    <s v="Sea"/>
    <x v="1"/>
    <n v="6670393.8999999994"/>
  </r>
  <r>
    <x v="7"/>
    <s v="Prime Agro Exports Nigeria Limited"/>
    <x v="0"/>
    <s v="9/1/2021"/>
    <n v="814"/>
    <n v="30126.69"/>
    <n v="4693.67"/>
    <n v="24523125.66"/>
    <s v="Calabar"/>
    <s v="Sea"/>
    <x v="1"/>
    <n v="3820647.38"/>
  </r>
  <r>
    <x v="7"/>
    <s v="Golden Farms Nigeria Limited"/>
    <x v="1"/>
    <s v="10/22/2021"/>
    <n v="810"/>
    <n v="29162.35"/>
    <n v="8685.33"/>
    <n v="23621503.5"/>
    <s v="Lagos"/>
    <s v="Sea"/>
    <x v="1"/>
    <n v="7035117.2999999998"/>
  </r>
  <r>
    <x v="7"/>
    <s v="Nigeria Agro Export Company"/>
    <x v="6"/>
    <s v="12/19/2022"/>
    <n v="373"/>
    <n v="13415.94"/>
    <n v="9590.9500000000007"/>
    <n v="5004145.62"/>
    <s v="Lagos"/>
    <s v="Sea"/>
    <x v="2"/>
    <n v="3577424.35"/>
  </r>
  <r>
    <x v="7"/>
    <s v="Agriplus Nigeria Limited"/>
    <x v="6"/>
    <s v="5/1/2022"/>
    <n v="321"/>
    <n v="14556.35"/>
    <n v="5906.37"/>
    <n v="4672588.3499999996"/>
    <s v="Lagos"/>
    <s v="Sea"/>
    <x v="2"/>
    <n v="1895944.77"/>
  </r>
  <r>
    <x v="7"/>
    <s v="Golden Farms Nigeria Limited"/>
    <x v="6"/>
    <s v="8/17/2022"/>
    <n v="856"/>
    <n v="38044.129999999997"/>
    <n v="2728.58"/>
    <n v="32565775.280000001"/>
    <s v="Lagos"/>
    <s v="Sea"/>
    <x v="2"/>
    <n v="2335664.48"/>
  </r>
  <r>
    <x v="7"/>
    <s v="Agro Allied Exporters Nigeria Limited"/>
    <x v="6"/>
    <s v="8/26/2022"/>
    <n v="880"/>
    <n v="40170.32"/>
    <n v="6843.59"/>
    <n v="35349881.600000001"/>
    <s v="Warri"/>
    <s v="Sea"/>
    <x v="2"/>
    <n v="6022359.2000000002"/>
  </r>
  <r>
    <x v="7"/>
    <s v="Agriplus Nigeria Limited"/>
    <x v="2"/>
    <s v="1/16/2022"/>
    <n v="589"/>
    <n v="16688.990000000002"/>
    <n v="5445.11"/>
    <n v="9829815.1099999994"/>
    <s v="Lagos"/>
    <s v="Sea"/>
    <x v="2"/>
    <n v="3207169.79"/>
  </r>
  <r>
    <x v="7"/>
    <s v="Nigeria Agro Export Company"/>
    <x v="2"/>
    <s v="1/25/2022"/>
    <n v="905"/>
    <n v="13158.97"/>
    <n v="3692.93"/>
    <n v="11908867.85"/>
    <s v="Lagos"/>
    <s v="Sea"/>
    <x v="2"/>
    <n v="3342101.65"/>
  </r>
  <r>
    <x v="7"/>
    <s v="Prime Agro Exports Nigeria Limited"/>
    <x v="2"/>
    <s v="3/14/2022"/>
    <n v="113"/>
    <n v="44959.45"/>
    <n v="6092.14"/>
    <n v="5080417.8499999996"/>
    <s v="Lagos"/>
    <s v="Sea"/>
    <x v="2"/>
    <n v="688411.82000000007"/>
  </r>
  <r>
    <x v="7"/>
    <s v="Agro Export Nigeria Ltd"/>
    <x v="2"/>
    <s v="3/3/2022"/>
    <n v="757"/>
    <n v="33275.53"/>
    <n v="8144.09"/>
    <n v="25189576.210000001"/>
    <s v="Lagos"/>
    <s v="Sea"/>
    <x v="2"/>
    <n v="6165076.1299999999"/>
  </r>
  <r>
    <x v="7"/>
    <s v="Agriplus Nigeria Limited"/>
    <x v="2"/>
    <s v="6/11/2022"/>
    <n v="343"/>
    <n v="28619.01"/>
    <n v="8180.16"/>
    <n v="9816320.4299999997"/>
    <s v="Lagos"/>
    <s v="Sea"/>
    <x v="2"/>
    <n v="2805794.88"/>
  </r>
  <r>
    <x v="7"/>
    <s v="Farmgate Nigeria Limited"/>
    <x v="4"/>
    <s v="10/25/2022"/>
    <n v="431"/>
    <n v="30944.44"/>
    <n v="4854.76"/>
    <n v="13337053.640000001"/>
    <s v="Port Harcourt"/>
    <s v="Sea"/>
    <x v="2"/>
    <n v="2092401.56"/>
  </r>
  <r>
    <x v="7"/>
    <s v="Nigerian Export Promotion Council (NEPC)"/>
    <x v="4"/>
    <s v="4/26/2022"/>
    <n v="249"/>
    <n v="43575.519999999997"/>
    <n v="5482.79"/>
    <n v="10850304.48"/>
    <s v="Lagos"/>
    <s v="Sea"/>
    <x v="2"/>
    <n v="1365214.71"/>
  </r>
  <r>
    <x v="7"/>
    <s v="Agro Allied Exporters Nigeria Limited"/>
    <x v="4"/>
    <s v="7/27/2022"/>
    <n v="615"/>
    <n v="29388.41"/>
    <n v="4431.2"/>
    <n v="18073872.149999999"/>
    <s v="Lagos"/>
    <s v="Sea"/>
    <x v="2"/>
    <n v="2725188"/>
  </r>
  <r>
    <x v="7"/>
    <s v="Solid Agro Nigeria Limited"/>
    <x v="5"/>
    <s v="11/25/2022"/>
    <n v="662"/>
    <n v="33103.72"/>
    <n v="8786.6"/>
    <n v="21914662.640000001"/>
    <s v="Port Harcourt"/>
    <s v="Sea"/>
    <x v="2"/>
    <n v="5816729.2000000002"/>
  </r>
  <r>
    <x v="7"/>
    <s v="Nigerian Export Promotion Council (NEPC)"/>
    <x v="5"/>
    <s v="5/23/2022"/>
    <n v="471"/>
    <n v="38081.699999999997"/>
    <n v="8208.7199999999993"/>
    <n v="17936480.699999999"/>
    <s v="Calabar"/>
    <s v="Sea"/>
    <x v="2"/>
    <n v="3866307.1199999996"/>
  </r>
  <r>
    <x v="7"/>
    <s v="Solid Agro Nigeria Limited"/>
    <x v="5"/>
    <s v="5/5/2022"/>
    <n v="949"/>
    <n v="38419.360000000001"/>
    <n v="3631.91"/>
    <n v="36459972.640000001"/>
    <s v="Calabar"/>
    <s v="Sea"/>
    <x v="2"/>
    <n v="3446682.59"/>
  </r>
  <r>
    <x v="7"/>
    <s v="Agro Export Nigeria Ltd"/>
    <x v="5"/>
    <s v="8/25/2022"/>
    <n v="497"/>
    <n v="36446.19"/>
    <n v="6203.23"/>
    <n v="18113756.43"/>
    <s v="Warri"/>
    <s v="Sea"/>
    <x v="2"/>
    <n v="3083005.3099999996"/>
  </r>
  <r>
    <x v="7"/>
    <s v="Nigerian Export Promotion Council (NEPC)"/>
    <x v="5"/>
    <s v="8/6/2022"/>
    <n v="476"/>
    <n v="14011.07"/>
    <n v="5099.37"/>
    <n v="6669269.3200000003"/>
    <s v="Calabar"/>
    <s v="Sea"/>
    <x v="2"/>
    <n v="2427300.12"/>
  </r>
  <r>
    <x v="7"/>
    <s v="Greenfield Agro Exporters Nigeria Limited"/>
    <x v="8"/>
    <s v="11/20/2022"/>
    <n v="622"/>
    <n v="11709.51"/>
    <n v="2043.12"/>
    <n v="7283315.2199999997"/>
    <s v="Calabar"/>
    <s v="Sea"/>
    <x v="2"/>
    <n v="1270820.6399999999"/>
  </r>
  <r>
    <x v="7"/>
    <s v="Agro Export Nigeria Ltd"/>
    <x v="8"/>
    <s v="2/23/2022"/>
    <n v="109"/>
    <n v="30617.79"/>
    <n v="6262.87"/>
    <n v="3337339.11"/>
    <s v="Warri"/>
    <s v="Sea"/>
    <x v="2"/>
    <n v="682652.83"/>
  </r>
  <r>
    <x v="7"/>
    <s v="Golden Farms Nigeria Limited"/>
    <x v="8"/>
    <s v="5/13/2022"/>
    <n v="137"/>
    <n v="15527.66"/>
    <n v="8331.52"/>
    <n v="2127289.42"/>
    <s v="Lagos"/>
    <s v="Sea"/>
    <x v="2"/>
    <n v="1141418.24"/>
  </r>
  <r>
    <x v="7"/>
    <s v="Agro Allied Exporters Nigeria Limited"/>
    <x v="8"/>
    <s v="6/27/2022"/>
    <n v="776"/>
    <n v="37554.32"/>
    <n v="6300.28"/>
    <n v="29142152.32"/>
    <s v="Lagos"/>
    <s v="Sea"/>
    <x v="2"/>
    <n v="4889017.28"/>
  </r>
  <r>
    <x v="7"/>
    <s v="Prime Agro Exports Nigeria Limited"/>
    <x v="8"/>
    <s v="7/24/2022"/>
    <n v="329"/>
    <n v="43020.95"/>
    <n v="6895.44"/>
    <n v="14153892.550000001"/>
    <s v="Calabar"/>
    <s v="Sea"/>
    <x v="2"/>
    <n v="2268599.7599999998"/>
  </r>
  <r>
    <x v="7"/>
    <s v="Prime Agro Exports Nigeria Limited"/>
    <x v="8"/>
    <s v="8/16/2022"/>
    <n v="484"/>
    <n v="19067.8"/>
    <n v="3327.57"/>
    <n v="9228815.1999999993"/>
    <s v="Calabar"/>
    <s v="Sea"/>
    <x v="2"/>
    <n v="1610543.8800000001"/>
  </r>
  <r>
    <x v="7"/>
    <s v="Agro Allied Exporters Nigeria Limited"/>
    <x v="8"/>
    <s v="9/28/2022"/>
    <n v="969"/>
    <n v="33912.199999999997"/>
    <n v="6646.6"/>
    <n v="32860921.800000001"/>
    <s v="Lagos"/>
    <s v="Sea"/>
    <x v="2"/>
    <n v="6440555.4000000004"/>
  </r>
  <r>
    <x v="7"/>
    <s v="Greenfield Agro Exporters Nigeria Limited"/>
    <x v="7"/>
    <s v="5/19/2022"/>
    <n v="716"/>
    <n v="19523.8"/>
    <n v="7102.27"/>
    <n v="13979040.800000001"/>
    <s v="Calabar"/>
    <s v="Sea"/>
    <x v="2"/>
    <n v="5085225.32"/>
  </r>
  <r>
    <x v="7"/>
    <s v="Farmgate Nigeria Limited"/>
    <x v="9"/>
    <s v="2/25/2022"/>
    <n v="180"/>
    <n v="35098.42"/>
    <n v="3193.55"/>
    <n v="6317715.5999999996"/>
    <s v="Warri"/>
    <s v="Sea"/>
    <x v="2"/>
    <n v="574839"/>
  </r>
  <r>
    <x v="7"/>
    <s v="Prime Agro Exports Nigeria Limited"/>
    <x v="9"/>
    <s v="4/20/2022"/>
    <n v="573"/>
    <n v="25825.9"/>
    <n v="5873.67"/>
    <n v="14798240.699999999"/>
    <s v="Lagos"/>
    <s v="Sea"/>
    <x v="2"/>
    <n v="3365612.91"/>
  </r>
  <r>
    <x v="7"/>
    <s v="Agro Export Nigeria Ltd"/>
    <x v="1"/>
    <s v="4/20/2022"/>
    <n v="674"/>
    <n v="31768.74"/>
    <n v="3973.93"/>
    <n v="21412130.760000002"/>
    <s v="Lagos"/>
    <s v="Sea"/>
    <x v="2"/>
    <n v="2678428.8199999998"/>
  </r>
  <r>
    <x v="7"/>
    <s v="Greenfield Agro Exporters Nigeria Limited"/>
    <x v="9"/>
    <s v="9/23/2022"/>
    <n v="519"/>
    <n v="23287.18"/>
    <n v="9858.14"/>
    <n v="12086046.42"/>
    <s v="Calabar"/>
    <s v="Sea"/>
    <x v="2"/>
    <n v="5116374.66"/>
  </r>
  <r>
    <x v="7"/>
    <s v="Golden Farms Nigeria Limited"/>
    <x v="0"/>
    <s v="6/19/2022"/>
    <n v="669"/>
    <n v="27099.759999999998"/>
    <n v="9279.52"/>
    <n v="18129739.440000001"/>
    <s v="Warri"/>
    <s v="Sea"/>
    <x v="2"/>
    <n v="6207998.8799999999"/>
  </r>
  <r>
    <x v="7"/>
    <s v="Agro Export Nigeria Ltd"/>
    <x v="0"/>
    <s v="6/6/2022"/>
    <n v="586"/>
    <n v="33793.72"/>
    <n v="9831.9500000000007"/>
    <n v="19803119.920000002"/>
    <s v="Calabar"/>
    <s v="Sea"/>
    <x v="2"/>
    <n v="5761522.7000000002"/>
  </r>
  <r>
    <x v="7"/>
    <s v="Golden Farms Nigeria Limited"/>
    <x v="1"/>
    <s v="2/19/2022"/>
    <n v="679"/>
    <n v="35641.08"/>
    <n v="6425.87"/>
    <n v="24200293.32"/>
    <s v="Warri"/>
    <s v="Sea"/>
    <x v="2"/>
    <n v="4363165.7299999995"/>
  </r>
  <r>
    <x v="7"/>
    <s v="Agro Export Nigeria Ltd"/>
    <x v="6"/>
    <s v="11/24/2023"/>
    <n v="924"/>
    <n v="40546.5"/>
    <n v="6374.24"/>
    <n v="37464966"/>
    <s v="Calabar"/>
    <s v="Sea"/>
    <x v="3"/>
    <n v="5889797.7599999998"/>
  </r>
  <r>
    <x v="7"/>
    <s v="Agriplus Nigeria Limited"/>
    <x v="2"/>
    <s v="4/30/2023"/>
    <n v="329"/>
    <n v="41907.39"/>
    <n v="3974.45"/>
    <n v="13787531.310000001"/>
    <s v="Port Harcourt"/>
    <s v="Sea"/>
    <x v="3"/>
    <n v="1307594.05"/>
  </r>
  <r>
    <x v="7"/>
    <s v="Agro Export Nigeria Ltd"/>
    <x v="4"/>
    <s v="10/22/2023"/>
    <n v="410"/>
    <n v="23384.86"/>
    <n v="9149.14"/>
    <n v="9587792.5999999996"/>
    <s v="Port Harcourt"/>
    <s v="Sea"/>
    <x v="3"/>
    <n v="3751147.4"/>
  </r>
  <r>
    <x v="7"/>
    <s v="Agro Export Nigeria Ltd"/>
    <x v="4"/>
    <s v="3/16/2023"/>
    <n v="810"/>
    <n v="25588.62"/>
    <n v="3915.42"/>
    <n v="20726782.199999999"/>
    <s v="Port Harcourt"/>
    <s v="Sea"/>
    <x v="3"/>
    <n v="3171490.2"/>
  </r>
  <r>
    <x v="7"/>
    <s v="Solid Agro Nigeria Limited"/>
    <x v="4"/>
    <s v="4/14/2023"/>
    <n v="495"/>
    <n v="49344.94"/>
    <n v="3262.03"/>
    <n v="24425745.300000001"/>
    <s v="Lagos"/>
    <s v="Sea"/>
    <x v="3"/>
    <n v="1614704.85"/>
  </r>
  <r>
    <x v="7"/>
    <s v="Agro Allied Exporters Nigeria Limited"/>
    <x v="4"/>
    <s v="7/10/2023"/>
    <n v="933"/>
    <n v="21358.84"/>
    <n v="5191.57"/>
    <n v="19927797.719999999"/>
    <s v="Lagos"/>
    <s v="Sea"/>
    <x v="3"/>
    <n v="4843734.8099999996"/>
  </r>
  <r>
    <x v="7"/>
    <s v="Solid Agro Nigeria Limited"/>
    <x v="4"/>
    <s v="8/5/2023"/>
    <n v="797"/>
    <n v="19485.29"/>
    <n v="3002.8"/>
    <n v="15529776.130000001"/>
    <s v="Lagos"/>
    <s v="Sea"/>
    <x v="3"/>
    <n v="2393231.6"/>
  </r>
  <r>
    <x v="7"/>
    <s v="Golden Farms Nigeria Limited"/>
    <x v="5"/>
    <s v="8/5/2023"/>
    <n v="864"/>
    <n v="37353.61"/>
    <n v="9363.41"/>
    <n v="32273519.039999999"/>
    <s v="Calabar"/>
    <s v="Sea"/>
    <x v="3"/>
    <n v="8089986.2400000002"/>
  </r>
  <r>
    <x v="7"/>
    <s v="Agriplus Nigeria Limited"/>
    <x v="5"/>
    <s v="10/26/2023"/>
    <n v="665"/>
    <n v="47558.52"/>
    <n v="7747.05"/>
    <n v="31626415.800000001"/>
    <s v="Calabar"/>
    <s v="Sea"/>
    <x v="3"/>
    <n v="5151788.25"/>
  </r>
  <r>
    <x v="7"/>
    <s v="Nigerian Export Promotion Council (NEPC)"/>
    <x v="5"/>
    <s v="11/17/2023"/>
    <n v="909"/>
    <n v="12986.58"/>
    <n v="5787.44"/>
    <n v="11804801.220000001"/>
    <s v="Lagos"/>
    <s v="Sea"/>
    <x v="3"/>
    <n v="5260782.96"/>
  </r>
  <r>
    <x v="7"/>
    <s v="Golden Farms Nigeria Limited"/>
    <x v="5"/>
    <s v="3/30/2023"/>
    <n v="663"/>
    <n v="30675.14"/>
    <n v="2723.64"/>
    <n v="20337617.82"/>
    <s v="Port Harcourt"/>
    <s v="Sea"/>
    <x v="3"/>
    <n v="1805773.3199999998"/>
  </r>
  <r>
    <x v="7"/>
    <s v="Agriplus Nigeria Limited"/>
    <x v="7"/>
    <s v="3/30/2023"/>
    <n v="266"/>
    <n v="27835.87"/>
    <n v="4866.09"/>
    <n v="7404341.4199999999"/>
    <s v="Lagos"/>
    <s v="Sea"/>
    <x v="3"/>
    <n v="1294379.94"/>
  </r>
  <r>
    <x v="7"/>
    <s v="Prime Agro Exports Nigeria Limited"/>
    <x v="5"/>
    <s v="5/12/2023"/>
    <n v="911"/>
    <n v="24589.63"/>
    <n v="5784.62"/>
    <n v="22401152.93"/>
    <s v="Calabar"/>
    <s v="Sea"/>
    <x v="3"/>
    <n v="5269788.82"/>
  </r>
  <r>
    <x v="7"/>
    <s v="Nigeria Agro Export Company"/>
    <x v="5"/>
    <s v="5/27/2023"/>
    <n v="142"/>
    <n v="14677.15"/>
    <n v="7760.44"/>
    <n v="2084155.3"/>
    <s v="Warri"/>
    <s v="Sea"/>
    <x v="3"/>
    <n v="1101982.48"/>
  </r>
  <r>
    <x v="7"/>
    <s v="Prime Agro Exports Nigeria Limited"/>
    <x v="5"/>
    <s v="8/13/2023"/>
    <n v="737"/>
    <n v="19643.3"/>
    <n v="9374.93"/>
    <n v="14477112.1"/>
    <s v="Lagos"/>
    <s v="Sea"/>
    <x v="3"/>
    <n v="6909323.4100000001"/>
  </r>
  <r>
    <x v="7"/>
    <s v="Nigerian Export Promotion Council (NEPC)"/>
    <x v="7"/>
    <s v="8/13/2023"/>
    <n v="234"/>
    <n v="43772.23"/>
    <n v="6472.47"/>
    <n v="10242701.82"/>
    <s v="Lagos"/>
    <s v="Sea"/>
    <x v="3"/>
    <n v="1514557.98"/>
  </r>
  <r>
    <x v="7"/>
    <s v="Prime Agro Exports Nigeria Limited"/>
    <x v="5"/>
    <s v="9/12/2023"/>
    <n v="662"/>
    <n v="39462.230000000003"/>
    <n v="2455.1799999999998"/>
    <n v="26123996.260000002"/>
    <s v="Port Harcourt"/>
    <s v="Sea"/>
    <x v="3"/>
    <n v="1625329.16"/>
  </r>
  <r>
    <x v="7"/>
    <s v="Agro Allied Exporters Nigeria Limited"/>
    <x v="8"/>
    <s v="5/7/2023"/>
    <n v="248"/>
    <n v="30929.200000000001"/>
    <n v="2548.66"/>
    <n v="7670441.5999999996"/>
    <s v="Lagos"/>
    <s v="Sea"/>
    <x v="3"/>
    <n v="632067.67999999993"/>
  </r>
  <r>
    <x v="7"/>
    <s v="Agro Export Nigeria Ltd"/>
    <x v="8"/>
    <s v="6/8/2023"/>
    <n v="228"/>
    <n v="18716.18"/>
    <n v="5460.56"/>
    <n v="4267289.04"/>
    <s v="Calabar"/>
    <s v="Sea"/>
    <x v="3"/>
    <n v="1245007.6800000002"/>
  </r>
  <r>
    <x v="7"/>
    <s v="Agro Allied Exporters Nigeria Limited"/>
    <x v="8"/>
    <s v="9/18/2023"/>
    <n v="907"/>
    <n v="42974.87"/>
    <n v="3303.73"/>
    <n v="38978207.090000004"/>
    <s v="Lagos"/>
    <s v="Sea"/>
    <x v="3"/>
    <n v="2996483.11"/>
  </r>
  <r>
    <x v="7"/>
    <s v="Golden Farms Nigeria Limited"/>
    <x v="7"/>
    <s v="1/15/2023"/>
    <n v="406"/>
    <n v="39603.82"/>
    <n v="5227.59"/>
    <n v="16079150.92"/>
    <s v="Lagos"/>
    <s v="Sea"/>
    <x v="3"/>
    <n v="2122401.54"/>
  </r>
  <r>
    <x v="7"/>
    <s v="Agriplus Nigeria Limited"/>
    <x v="7"/>
    <s v="11/25/2023"/>
    <n v="667"/>
    <n v="20963.97"/>
    <n v="8605.9500000000007"/>
    <n v="13982967.99"/>
    <s v="Calabar"/>
    <s v="Sea"/>
    <x v="3"/>
    <n v="5740168.6500000004"/>
  </r>
  <r>
    <x v="7"/>
    <s v="Nigerian Export Promotion Council (NEPC)"/>
    <x v="7"/>
    <s v="11/26/2023"/>
    <n v="964"/>
    <n v="19492.46"/>
    <n v="7012.52"/>
    <n v="18790731.440000001"/>
    <s v="Warri"/>
    <s v="Sea"/>
    <x v="3"/>
    <n v="6760069.2800000003"/>
  </r>
  <r>
    <x v="7"/>
    <s v="Agro Allied Exporters Nigeria Limited"/>
    <x v="7"/>
    <s v="3/25/2023"/>
    <n v="256"/>
    <n v="17418.61"/>
    <n v="4900.83"/>
    <n v="4459164.16"/>
    <s v="Calabar"/>
    <s v="Sea"/>
    <x v="3"/>
    <n v="1254612.48"/>
  </r>
  <r>
    <x v="7"/>
    <s v="Nigerian Export Promotion Council (NEPC)"/>
    <x v="3"/>
    <s v="1/4/2023"/>
    <n v="108"/>
    <n v="34228.639999999999"/>
    <n v="9645.39"/>
    <n v="3696693.12"/>
    <s v="Lagos"/>
    <s v="Sea"/>
    <x v="3"/>
    <n v="1041702.1199999999"/>
  </r>
  <r>
    <x v="7"/>
    <s v="Agro Allied Exporters Nigeria Limited"/>
    <x v="3"/>
    <s v="3/18/2023"/>
    <n v="588"/>
    <n v="36758.76"/>
    <n v="4729.76"/>
    <n v="21614150.879999999"/>
    <s v="Lagos"/>
    <s v="Sea"/>
    <x v="3"/>
    <n v="2781098.8800000004"/>
  </r>
  <r>
    <x v="7"/>
    <s v="Nigeria Agro Export Company"/>
    <x v="3"/>
    <s v="4/2/2023"/>
    <n v="230"/>
    <n v="46533.71"/>
    <n v="4092.35"/>
    <n v="10702753.300000001"/>
    <s v="Warri"/>
    <s v="Sea"/>
    <x v="3"/>
    <n v="941240.5"/>
  </r>
  <r>
    <x v="7"/>
    <s v="Nigeria Agro Export Company"/>
    <x v="3"/>
    <s v="4/25/2023"/>
    <n v="654"/>
    <n v="10417.459999999999"/>
    <n v="5360.66"/>
    <n v="6813018.8399999999"/>
    <s v="Lagos"/>
    <s v="Sea"/>
    <x v="3"/>
    <n v="3505871.64"/>
  </r>
  <r>
    <x v="7"/>
    <s v="Greenfield Agro Exporters Nigeria Limited"/>
    <x v="3"/>
    <s v="4/9/2023"/>
    <n v="127"/>
    <n v="18303.060000000001"/>
    <n v="6427.12"/>
    <n v="2324488.62"/>
    <s v="Lagos"/>
    <s v="Sea"/>
    <x v="3"/>
    <n v="816244.24"/>
  </r>
  <r>
    <x v="7"/>
    <s v="Nigerian Export Promotion Council (NEPC)"/>
    <x v="3"/>
    <s v="8/17/2023"/>
    <n v="478"/>
    <n v="15759.34"/>
    <n v="9407.02"/>
    <n v="7532964.5199999996"/>
    <s v="Lagos"/>
    <s v="Sea"/>
    <x v="3"/>
    <n v="4496555.5600000005"/>
  </r>
  <r>
    <x v="7"/>
    <s v="Nigerian Export Promotion Council (NEPC)"/>
    <x v="3"/>
    <s v="9/17/2023"/>
    <n v="466"/>
    <n v="40846.78"/>
    <n v="8081.57"/>
    <n v="19034599.48"/>
    <s v="Calabar"/>
    <s v="Sea"/>
    <x v="3"/>
    <n v="3766011.6199999996"/>
  </r>
  <r>
    <x v="7"/>
    <s v="Prime Agro Exports Nigeria Limited"/>
    <x v="0"/>
    <s v="8/8/2023"/>
    <n v="272"/>
    <n v="14549.25"/>
    <n v="7569.65"/>
    <n v="3957396"/>
    <s v="Port Harcourt"/>
    <s v="Sea"/>
    <x v="3"/>
    <n v="2058944.7999999998"/>
  </r>
  <r>
    <x v="7"/>
    <s v="Greenfield Agro Exporters Nigeria Limited"/>
    <x v="0"/>
    <s v="9/7/2023"/>
    <n v="940"/>
    <n v="31473.119999999999"/>
    <n v="6282.47"/>
    <n v="29584732.800000001"/>
    <s v="Lagos"/>
    <s v="Sea"/>
    <x v="3"/>
    <n v="5905521.7999999998"/>
  </r>
  <r>
    <x v="7"/>
    <s v="Agriplus Nigeria Limited"/>
    <x v="1"/>
    <s v="10/28/2023"/>
    <n v="859"/>
    <n v="43851.61"/>
    <n v="6799.28"/>
    <n v="37668532.990000002"/>
    <s v="Port Harcourt"/>
    <s v="Sea"/>
    <x v="3"/>
    <n v="5840581.5199999996"/>
  </r>
</pivotCacheRecords>
</file>

<file path=xl/pivotCache/pivotCacheRecords1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8">
  <r>
    <s v="Cashew"/>
    <s v="Golden Farms Nigeria Limited"/>
    <s v="Netherlands"/>
    <n v="44182"/>
    <n v="620"/>
    <n v="35549.32"/>
    <n v="2269.9699999999998"/>
    <n v="22040578.399999999"/>
    <x v="0"/>
    <s v="Sea"/>
    <x v="0"/>
    <n v="1407381.4"/>
  </r>
  <r>
    <s v="Cashew"/>
    <s v="Greenfield Agro Exporters Nigeria Limited"/>
    <s v="Netherlands"/>
    <n v="44096"/>
    <n v="479"/>
    <n v="17626.87"/>
    <n v="6801.41"/>
    <n v="8443270.7300000004"/>
    <x v="1"/>
    <s v="Sea"/>
    <x v="0"/>
    <n v="3257875.39"/>
  </r>
  <r>
    <s v="Cashew"/>
    <s v="Golden Farms Nigeria Limited"/>
    <s v="Denmark"/>
    <n v="43839"/>
    <n v="151"/>
    <n v="15679.05"/>
    <n v="8708.7099999999991"/>
    <n v="2367536.5499999998"/>
    <x v="1"/>
    <s v="Sea"/>
    <x v="0"/>
    <n v="1315015.21"/>
  </r>
  <r>
    <s v="Cashew"/>
    <s v="Nigeria Agro Export Company"/>
    <s v="Denmark"/>
    <n v="44164"/>
    <n v="987"/>
    <n v="38561.5"/>
    <n v="9018.41"/>
    <n v="38060200.5"/>
    <x v="2"/>
    <s v="Sea"/>
    <x v="0"/>
    <n v="8901170.6699999999"/>
  </r>
  <r>
    <s v="Cashew"/>
    <s v="Agriplus Nigeria Limited"/>
    <s v="Denmark"/>
    <n v="43961"/>
    <n v="445"/>
    <n v="20520.439999999999"/>
    <n v="6305.29"/>
    <n v="9131595.8000000007"/>
    <x v="2"/>
    <s v="Sea"/>
    <x v="0"/>
    <n v="2805854.05"/>
  </r>
  <r>
    <s v="Cashew"/>
    <s v="Greenfield Agro Exporters Nigeria Limited"/>
    <s v="Denmark"/>
    <n v="44024"/>
    <n v="774"/>
    <n v="24784.46"/>
    <n v="6047.25"/>
    <n v="19183172.039999999"/>
    <x v="2"/>
    <s v="Sea"/>
    <x v="0"/>
    <n v="4680571.5"/>
  </r>
  <r>
    <s v="Cashew"/>
    <s v="Solid Agro Nigeria Limited"/>
    <s v="Sweden"/>
    <n v="44141"/>
    <n v="413"/>
    <n v="28753.55"/>
    <n v="6243.28"/>
    <n v="11875216.15"/>
    <x v="2"/>
    <s v="Sea"/>
    <x v="0"/>
    <n v="2578474.64"/>
  </r>
  <r>
    <s v="Cashew"/>
    <s v="Nigerian Export Promotion Council (NEPC)"/>
    <s v="Sweden"/>
    <n v="43940"/>
    <n v="636"/>
    <n v="18138.259999999998"/>
    <n v="6241.93"/>
    <n v="11535933.359999999"/>
    <x v="2"/>
    <s v="Sea"/>
    <x v="0"/>
    <n v="3969867.48"/>
  </r>
  <r>
    <s v="Cashew"/>
    <s v="Nigeria Agro Export Company"/>
    <s v="Belgium"/>
    <n v="43921"/>
    <n v="627"/>
    <n v="34746.28"/>
    <n v="9410.6200000000008"/>
    <n v="21785917.559999999"/>
    <x v="2"/>
    <s v="Sea"/>
    <x v="0"/>
    <n v="5900458.7400000002"/>
  </r>
  <r>
    <s v="Cashew"/>
    <s v="Nigerian Export Promotion Council (NEPC)"/>
    <s v="Belgium"/>
    <n v="44020"/>
    <n v="804"/>
    <n v="24263.35"/>
    <n v="4847.33"/>
    <n v="19507733.399999999"/>
    <x v="3"/>
    <s v="Sea"/>
    <x v="0"/>
    <n v="3897253.32"/>
  </r>
  <r>
    <s v="Cashew"/>
    <s v="Farmgate Nigeria Limited"/>
    <s v="Belgium"/>
    <n v="44090"/>
    <n v="158"/>
    <n v="33199.440000000002"/>
    <n v="5295.09"/>
    <n v="5245511.5199999996"/>
    <x v="2"/>
    <s v="Sea"/>
    <x v="0"/>
    <n v="836624.22"/>
  </r>
  <r>
    <s v="Cashew"/>
    <s v="Prime Agro Exports Nigeria Limited"/>
    <s v="Austria"/>
    <n v="44128"/>
    <n v="208"/>
    <n v="31322.799999999999"/>
    <n v="7800.08"/>
    <n v="6515142.4000000004"/>
    <x v="2"/>
    <s v="Sea"/>
    <x v="0"/>
    <n v="1622416.64"/>
  </r>
  <r>
    <s v="Cashew"/>
    <s v="Solid Agro Nigeria Limited"/>
    <s v="Austria"/>
    <n v="44011"/>
    <n v="585"/>
    <n v="36047.54"/>
    <n v="7586.5"/>
    <n v="21087810.899999999"/>
    <x v="2"/>
    <s v="Sea"/>
    <x v="0"/>
    <n v="4438102.5"/>
  </r>
  <r>
    <s v="Cashew"/>
    <s v="Agro Export Nigeria Ltd"/>
    <s v="Austria"/>
    <n v="44085"/>
    <n v="481"/>
    <n v="28731.34"/>
    <n v="7792.24"/>
    <n v="13819774.539999999"/>
    <x v="0"/>
    <s v="Sea"/>
    <x v="0"/>
    <n v="3748067.44"/>
  </r>
  <r>
    <s v="Cashew"/>
    <s v="Golden Farms Nigeria Limited"/>
    <s v="Italy"/>
    <n v="43903"/>
    <n v="592"/>
    <n v="10021.32"/>
    <n v="7255.38"/>
    <n v="5932621.4400000004"/>
    <x v="2"/>
    <s v="Sea"/>
    <x v="0"/>
    <n v="4295184.96"/>
  </r>
  <r>
    <s v="Cashew"/>
    <s v="Nigeria Agro Export Company"/>
    <s v="Italy"/>
    <n v="43894"/>
    <n v="537"/>
    <n v="18603.64"/>
    <n v="5520.33"/>
    <n v="9990154.6799999997"/>
    <x v="1"/>
    <s v="Sea"/>
    <x v="0"/>
    <n v="2964417.21"/>
  </r>
  <r>
    <s v="Cashew"/>
    <s v="Farmgate Nigeria Limited"/>
    <s v="Italy"/>
    <n v="44049"/>
    <n v="492"/>
    <n v="49229.66"/>
    <n v="7287.84"/>
    <n v="24220992.719999999"/>
    <x v="2"/>
    <s v="Sea"/>
    <x v="0"/>
    <n v="3585617.28"/>
  </r>
  <r>
    <s v="Cashew"/>
    <s v="Nigeria Agro Export Company"/>
    <s v="Italy"/>
    <n v="44079"/>
    <n v="604"/>
    <n v="26272.25"/>
    <n v="3836.47"/>
    <n v="15868439"/>
    <x v="2"/>
    <s v="Sea"/>
    <x v="0"/>
    <n v="2317227.88"/>
  </r>
  <r>
    <s v="Cashew"/>
    <s v="Farmgate Nigeria Limited"/>
    <s v="France"/>
    <n v="43841"/>
    <n v="204"/>
    <n v="22765.81"/>
    <n v="5848.05"/>
    <n v="4644225.24"/>
    <x v="2"/>
    <s v="Sea"/>
    <x v="0"/>
    <n v="1193002.2"/>
  </r>
  <r>
    <s v="Cashew"/>
    <s v="Nigerian Export Promotion Council (NEPC)"/>
    <s v="France"/>
    <n v="44143"/>
    <n v="898"/>
    <n v="21737.75"/>
    <n v="5661.66"/>
    <n v="19520499.5"/>
    <x v="2"/>
    <s v="Sea"/>
    <x v="0"/>
    <n v="5084170.68"/>
  </r>
  <r>
    <s v="Cashew"/>
    <s v="Nigerian Export Promotion Council (NEPC)"/>
    <s v="France"/>
    <n v="44144"/>
    <n v="519"/>
    <n v="33727.94"/>
    <n v="6857.59"/>
    <n v="17504800.859999999"/>
    <x v="2"/>
    <s v="Sea"/>
    <x v="0"/>
    <n v="3559089.21"/>
  </r>
  <r>
    <s v="Cashew"/>
    <s v="Prime Agro Exports Nigeria Limited"/>
    <s v="France"/>
    <n v="43942"/>
    <n v="123"/>
    <n v="28223.94"/>
    <n v="4207.7299999999996"/>
    <n v="3471544.62"/>
    <x v="2"/>
    <s v="Sea"/>
    <x v="0"/>
    <n v="517550.79"/>
  </r>
  <r>
    <s v="Cashew"/>
    <s v="Prime Agro Exports Nigeria Limited"/>
    <s v="France"/>
    <n v="44030"/>
    <n v="647"/>
    <n v="24424.61"/>
    <n v="4660.79"/>
    <n v="15802722.67"/>
    <x v="3"/>
    <s v="Sea"/>
    <x v="0"/>
    <n v="3015531.13"/>
  </r>
  <r>
    <s v="Cashew"/>
    <s v="Solid Agro Nigeria Limited"/>
    <s v="France"/>
    <n v="44018"/>
    <n v="396"/>
    <n v="28963.42"/>
    <n v="9765.76"/>
    <n v="11469514.32"/>
    <x v="3"/>
    <s v="Sea"/>
    <x v="0"/>
    <n v="3867240.96"/>
  </r>
  <r>
    <s v="Cashew"/>
    <s v="Farmgate Nigeria Limited"/>
    <s v="France"/>
    <n v="44051"/>
    <n v="390"/>
    <n v="38419.120000000003"/>
    <n v="7127.08"/>
    <n v="14983456.800000001"/>
    <x v="2"/>
    <s v="Sea"/>
    <x v="0"/>
    <n v="2779561.2"/>
  </r>
  <r>
    <s v="Cashew"/>
    <s v="Greenfield Agro Exporters Nigeria Limited"/>
    <s v="Spain"/>
    <n v="44168"/>
    <n v="290"/>
    <n v="18007.189999999999"/>
    <n v="9572.06"/>
    <n v="5222085.0999999996"/>
    <x v="0"/>
    <s v="Sea"/>
    <x v="0"/>
    <n v="2775897.4"/>
  </r>
  <r>
    <s v="Cashew"/>
    <s v="Agro Export Nigeria Ltd"/>
    <s v="Spain"/>
    <n v="44015"/>
    <n v="511"/>
    <n v="28130.25"/>
    <n v="9295.18"/>
    <n v="14374557.75"/>
    <x v="2"/>
    <s v="Sea"/>
    <x v="0"/>
    <n v="4749836.9800000004"/>
  </r>
  <r>
    <s v="Cashew"/>
    <s v="Farmgate Nigeria Limited"/>
    <s v="Spain"/>
    <n v="44075"/>
    <n v="747"/>
    <n v="32440.35"/>
    <n v="7368.96"/>
    <n v="24232941.449999999"/>
    <x v="2"/>
    <s v="Sea"/>
    <x v="0"/>
    <n v="5504613.1200000001"/>
  </r>
  <r>
    <s v="Cashew"/>
    <s v="Farmgate Nigeria Limited"/>
    <s v="Spain"/>
    <n v="44077"/>
    <n v="729"/>
    <n v="43688.56"/>
    <n v="7472"/>
    <n v="31848960.239999998"/>
    <x v="0"/>
    <s v="Sea"/>
    <x v="0"/>
    <n v="5447088"/>
  </r>
  <r>
    <s v="Cashew"/>
    <s v="Agriplus Nigeria Limited"/>
    <s v="Switzerland"/>
    <n v="44136"/>
    <n v="618"/>
    <n v="34261.660000000003"/>
    <n v="9850.59"/>
    <n v="21173705.879999999"/>
    <x v="2"/>
    <s v="Sea"/>
    <x v="0"/>
    <n v="6087664.6200000001"/>
  </r>
  <r>
    <s v="Cashew"/>
    <s v="Prime Agro Exports Nigeria Limited"/>
    <s v="Switzerland"/>
    <n v="44156"/>
    <n v="706"/>
    <n v="35409.89"/>
    <n v="6520"/>
    <n v="24999382.34"/>
    <x v="0"/>
    <s v="Sea"/>
    <x v="0"/>
    <n v="4603120"/>
  </r>
  <r>
    <s v="Cashew"/>
    <s v="Golden Farms Nigeria Limited"/>
    <s v="Switzerland"/>
    <n v="44172"/>
    <n v="316"/>
    <n v="35104.26"/>
    <n v="2739.19"/>
    <n v="11092946.16"/>
    <x v="2"/>
    <s v="Sea"/>
    <x v="0"/>
    <n v="865584.04"/>
  </r>
  <r>
    <s v="Cashew"/>
    <s v="Agriplus Nigeria Limited"/>
    <s v="Switzerland"/>
    <n v="43976"/>
    <n v="890"/>
    <n v="20914.84"/>
    <n v="7851.32"/>
    <n v="18614207.600000001"/>
    <x v="2"/>
    <s v="Sea"/>
    <x v="0"/>
    <n v="6987674.7999999998"/>
  </r>
  <r>
    <s v="Cashew"/>
    <s v="Nigerian Export Promotion Council (NEPC)"/>
    <s v="Switzerland"/>
    <n v="43981"/>
    <n v="444"/>
    <n v="25730.68"/>
    <n v="5539.83"/>
    <n v="11424421.92"/>
    <x v="2"/>
    <s v="Sea"/>
    <x v="0"/>
    <n v="2459684.52"/>
  </r>
  <r>
    <s v="Cashew"/>
    <s v="Nigeria Agro Export Company"/>
    <s v="Germany"/>
    <n v="44010"/>
    <n v="825"/>
    <n v="40168.050000000003"/>
    <n v="4338.22"/>
    <n v="33138641.25"/>
    <x v="0"/>
    <s v="Sea"/>
    <x v="0"/>
    <n v="3579031.5"/>
  </r>
  <r>
    <s v="Cashew"/>
    <s v="Nigeria Agro Export Company"/>
    <s v="Netherlands"/>
    <n v="44371"/>
    <n v="670"/>
    <n v="29082.54"/>
    <n v="4982.72"/>
    <n v="19485301.800000001"/>
    <x v="3"/>
    <s v="Sea"/>
    <x v="1"/>
    <n v="3338422.4"/>
  </r>
  <r>
    <s v="Cashew"/>
    <s v="Agro Export Nigeria Ltd"/>
    <s v="Netherlands"/>
    <n v="44425"/>
    <n v="293"/>
    <n v="35250.959999999999"/>
    <n v="4432.8900000000003"/>
    <n v="10328531.279999999"/>
    <x v="2"/>
    <s v="Sea"/>
    <x v="1"/>
    <n v="1298836.77"/>
  </r>
  <r>
    <s v="Cashew"/>
    <s v="Agriplus Nigeria Limited"/>
    <s v="Netherlands"/>
    <n v="44426"/>
    <n v="109"/>
    <n v="37687.33"/>
    <n v="8794.43"/>
    <n v="4107918.97"/>
    <x v="1"/>
    <s v="Sea"/>
    <x v="1"/>
    <n v="958592.87"/>
  </r>
  <r>
    <s v="Cashew"/>
    <s v="Solid Agro Nigeria Limited"/>
    <s v="Denmark"/>
    <n v="44213"/>
    <n v="108"/>
    <n v="37249.78"/>
    <n v="4225.05"/>
    <n v="4022976.24"/>
    <x v="0"/>
    <s v="Sea"/>
    <x v="1"/>
    <n v="456305.4"/>
  </r>
  <r>
    <s v="Cashew"/>
    <s v="Golden Farms Nigeria Limited"/>
    <s v="Denmark"/>
    <n v="44475"/>
    <n v="344"/>
    <n v="11762.79"/>
    <n v="5039.24"/>
    <n v="4046399.76"/>
    <x v="2"/>
    <s v="Sea"/>
    <x v="1"/>
    <n v="1733498.56"/>
  </r>
  <r>
    <s v="Cashew"/>
    <s v="Farmgate Nigeria Limited"/>
    <s v="Denmark"/>
    <n v="44553"/>
    <n v="188"/>
    <n v="38387.230000000003"/>
    <n v="9785.67"/>
    <n v="7216799.2400000002"/>
    <x v="3"/>
    <s v="Sea"/>
    <x v="1"/>
    <n v="1839705.96"/>
  </r>
  <r>
    <s v="Cashew"/>
    <s v="Solid Agro Nigeria Limited"/>
    <s v="Denmark"/>
    <n v="44251"/>
    <n v="973"/>
    <n v="13019.66"/>
    <n v="7802.91"/>
    <n v="12668129.18"/>
    <x v="2"/>
    <s v="Sea"/>
    <x v="1"/>
    <n v="7592231.4299999997"/>
  </r>
  <r>
    <s v="Cashew"/>
    <s v="Nigeria Agro Export Company"/>
    <s v="Sweden"/>
    <n v="44378"/>
    <n v="599"/>
    <n v="46916.93"/>
    <n v="8747.6"/>
    <n v="28103241.07"/>
    <x v="2"/>
    <s v="Sea"/>
    <x v="1"/>
    <n v="5239812.4000000004"/>
  </r>
  <r>
    <s v="Cashew"/>
    <s v="Agro Export Nigeria Ltd"/>
    <s v="Sweden"/>
    <n v="44395"/>
    <n v="319"/>
    <n v="26580.33"/>
    <n v="9531.2000000000007"/>
    <n v="8479125.2699999996"/>
    <x v="2"/>
    <s v="Sea"/>
    <x v="1"/>
    <n v="3040452.8"/>
  </r>
  <r>
    <s v="Cashew"/>
    <s v="Nigeria Agro Export Company"/>
    <s v="Sweden"/>
    <n v="44414"/>
    <n v="195"/>
    <n v="22573.75"/>
    <n v="8379.0499999999993"/>
    <n v="4401881.25"/>
    <x v="2"/>
    <s v="Sea"/>
    <x v="1"/>
    <n v="1633914.75"/>
  </r>
  <r>
    <s v="Cashew"/>
    <s v="Agro Allied Exporters Nigeria Limited"/>
    <s v="France"/>
    <n v="44414"/>
    <n v="551"/>
    <n v="23671.25"/>
    <n v="6023.56"/>
    <n v="13042858.75"/>
    <x v="2"/>
    <s v="Sea"/>
    <x v="1"/>
    <n v="3318981.56"/>
  </r>
  <r>
    <s v="Cashew"/>
    <s v="Greenfield Agro Exporters Nigeria Limited"/>
    <s v="Sweden"/>
    <n v="44446"/>
    <n v="397"/>
    <n v="29715"/>
    <n v="6060.24"/>
    <n v="11796855"/>
    <x v="1"/>
    <s v="Sea"/>
    <x v="1"/>
    <n v="2405915.2799999998"/>
  </r>
  <r>
    <s v="Cashew"/>
    <s v="Nigeria Agro Export Company"/>
    <s v="Belgium"/>
    <n v="44494"/>
    <n v="309"/>
    <n v="36171.199999999997"/>
    <n v="5485.99"/>
    <n v="11176900.800000001"/>
    <x v="2"/>
    <s v="Sea"/>
    <x v="1"/>
    <n v="1695170.91"/>
  </r>
  <r>
    <s v="Cashew"/>
    <s v="Nigerian Export Promotion Council (NEPC)"/>
    <s v="Belgium"/>
    <n v="44516"/>
    <n v="810"/>
    <n v="37294.980000000003"/>
    <n v="9804.7000000000007"/>
    <n v="30208933.800000001"/>
    <x v="2"/>
    <s v="Sea"/>
    <x v="1"/>
    <n v="7941807"/>
  </r>
  <r>
    <s v="Cashew"/>
    <s v="Agro Export Nigeria Ltd"/>
    <s v="Belgium"/>
    <n v="44235"/>
    <n v="779"/>
    <n v="41434.9"/>
    <n v="4902.3900000000003"/>
    <n v="32277787.100000001"/>
    <x v="2"/>
    <s v="Sea"/>
    <x v="1"/>
    <n v="3818961.81"/>
  </r>
  <r>
    <s v="Cashew"/>
    <s v="Farmgate Nigeria Limited"/>
    <s v="Belgium"/>
    <n v="44330"/>
    <n v="407"/>
    <n v="17240.740000000002"/>
    <n v="7258.3"/>
    <n v="7016981.1799999997"/>
    <x v="2"/>
    <s v="Sea"/>
    <x v="1"/>
    <n v="2954128.1"/>
  </r>
  <r>
    <s v="Cashew"/>
    <s v="Nigeria Agro Export Company"/>
    <s v="Belgium"/>
    <n v="44377"/>
    <n v="469"/>
    <n v="40500.51"/>
    <n v="9256.9500000000007"/>
    <n v="18994739.190000001"/>
    <x v="3"/>
    <s v="Sea"/>
    <x v="1"/>
    <n v="4341509.55"/>
  </r>
  <r>
    <s v="Cashew"/>
    <s v="Prime Agro Exports Nigeria Limited"/>
    <s v="Austria"/>
    <n v="44473"/>
    <n v="963"/>
    <n v="16009.91"/>
    <n v="7849.5"/>
    <n v="15417543.33"/>
    <x v="1"/>
    <s v="Sea"/>
    <x v="1"/>
    <n v="7559068.5"/>
  </r>
  <r>
    <s v="Cashew"/>
    <s v="Agriplus Nigeria Limited"/>
    <s v="Austria"/>
    <n v="44506"/>
    <n v="491"/>
    <n v="42937.24"/>
    <n v="7776.41"/>
    <n v="21082184.84"/>
    <x v="2"/>
    <s v="Sea"/>
    <x v="1"/>
    <n v="3818217.31"/>
  </r>
  <r>
    <s v="Cashew"/>
    <s v="Farmgate Nigeria Limited"/>
    <s v="Austria"/>
    <n v="44307"/>
    <n v="238"/>
    <n v="28152.42"/>
    <n v="8234.85"/>
    <n v="6700275.96"/>
    <x v="2"/>
    <s v="Sea"/>
    <x v="1"/>
    <n v="1959894.3"/>
  </r>
  <r>
    <s v="Cashew"/>
    <s v="Nigeria Agro Export Company"/>
    <s v="Austria"/>
    <n v="44382"/>
    <n v="305"/>
    <n v="18218.73"/>
    <n v="9792.49"/>
    <n v="5556712.6500000004"/>
    <x v="2"/>
    <s v="Sea"/>
    <x v="1"/>
    <n v="2986709.45"/>
  </r>
  <r>
    <s v="Cashew"/>
    <s v="Nigerian Export Promotion Council (NEPC)"/>
    <s v="Italy"/>
    <n v="44558"/>
    <n v="360"/>
    <n v="25462.65"/>
    <n v="9477.39"/>
    <n v="9166554"/>
    <x v="2"/>
    <s v="Sea"/>
    <x v="1"/>
    <n v="3411860.4"/>
  </r>
  <r>
    <s v="Cashew"/>
    <s v="Prime Agro Exports Nigeria Limited"/>
    <s v="Italy"/>
    <n v="44287"/>
    <n v="394"/>
    <n v="47388.5"/>
    <n v="9454.0300000000007"/>
    <n v="18671069"/>
    <x v="2"/>
    <s v="Sea"/>
    <x v="1"/>
    <n v="3724887.82"/>
  </r>
  <r>
    <s v="Cashew"/>
    <s v="Nigeria Agro Export Company"/>
    <s v="Italy"/>
    <n v="44341"/>
    <n v="112"/>
    <n v="37672.07"/>
    <n v="5265.33"/>
    <n v="4219271.84"/>
    <x v="2"/>
    <s v="Sea"/>
    <x v="1"/>
    <n v="589716.96"/>
  </r>
  <r>
    <s v="Cashew"/>
    <s v="Nigeria Agro Export Company"/>
    <s v="Italy"/>
    <n v="44345"/>
    <n v="494"/>
    <n v="29181.06"/>
    <n v="2446.06"/>
    <n v="14415443.640000001"/>
    <x v="2"/>
    <s v="Sea"/>
    <x v="1"/>
    <n v="1208353.6399999999"/>
  </r>
  <r>
    <s v="Cashew"/>
    <s v="Farmgate Nigeria Limited"/>
    <s v="France"/>
    <n v="44545"/>
    <n v="773"/>
    <n v="38681.14"/>
    <n v="8033.55"/>
    <n v="29900521.219999999"/>
    <x v="2"/>
    <s v="Sea"/>
    <x v="1"/>
    <n v="6209934.1500000004"/>
  </r>
  <r>
    <s v="Cashew"/>
    <s v="Prime Agro Exports Nigeria Limited"/>
    <s v="France"/>
    <n v="44554"/>
    <n v="279"/>
    <n v="13571.23"/>
    <n v="9897.25"/>
    <n v="3786373.17"/>
    <x v="3"/>
    <s v="Sea"/>
    <x v="1"/>
    <n v="2761332.75"/>
  </r>
  <r>
    <s v="Cashew"/>
    <s v="Farmgate Nigeria Limited"/>
    <s v="France"/>
    <n v="44554"/>
    <n v="634"/>
    <n v="40807.39"/>
    <n v="9589.5300000000007"/>
    <n v="25871885.260000002"/>
    <x v="2"/>
    <s v="Sea"/>
    <x v="1"/>
    <n v="6079762.0199999996"/>
  </r>
  <r>
    <s v="Cashew"/>
    <s v="Agro Export Nigeria Ltd"/>
    <s v="France"/>
    <n v="44555"/>
    <n v="595"/>
    <n v="49952.76"/>
    <n v="3880.69"/>
    <n v="29721892.199999999"/>
    <x v="3"/>
    <s v="Sea"/>
    <x v="1"/>
    <n v="2309010.5499999998"/>
  </r>
  <r>
    <s v="Cashew"/>
    <s v="Nigerian Export Promotion Council (NEPC)"/>
    <s v="France"/>
    <n v="44298"/>
    <n v="777"/>
    <n v="30049.86"/>
    <n v="4993.55"/>
    <n v="23348741.219999999"/>
    <x v="3"/>
    <s v="Sea"/>
    <x v="1"/>
    <n v="3879988.35"/>
  </r>
  <r>
    <s v="Cashew"/>
    <s v="Greenfield Agro Exporters Nigeria Limited"/>
    <s v="France"/>
    <n v="44416"/>
    <n v="669"/>
    <n v="18940.330000000002"/>
    <n v="2890.92"/>
    <n v="12671080.77"/>
    <x v="2"/>
    <s v="Sea"/>
    <x v="1"/>
    <n v="1934025.48"/>
  </r>
  <r>
    <s v="Cashew"/>
    <s v="Golden Farms Nigeria Limited"/>
    <s v="Spain"/>
    <n v="44239"/>
    <n v="359"/>
    <n v="19044.29"/>
    <n v="6879.43"/>
    <n v="6836900.1100000003"/>
    <x v="2"/>
    <s v="Sea"/>
    <x v="1"/>
    <n v="2469715.37"/>
  </r>
  <r>
    <s v="Cashew"/>
    <s v="Agro Allied Exporters Nigeria Limited"/>
    <s v="Spain"/>
    <n v="44256"/>
    <n v="692"/>
    <n v="20019.73"/>
    <n v="4532.37"/>
    <n v="13853653.16"/>
    <x v="2"/>
    <s v="Sea"/>
    <x v="1"/>
    <n v="3136400.04"/>
  </r>
  <r>
    <s v="Cashew"/>
    <s v="Prime Agro Exports Nigeria Limited"/>
    <s v="Spain"/>
    <n v="44394"/>
    <n v="435"/>
    <n v="33734.239999999998"/>
    <n v="7258.28"/>
    <n v="14674394.4"/>
    <x v="2"/>
    <s v="Sea"/>
    <x v="1"/>
    <n v="3157351.8"/>
  </r>
  <r>
    <s v="Cashew"/>
    <s v="Prime Agro Exports Nigeria Limited"/>
    <s v="Switzerland"/>
    <n v="44223"/>
    <n v="870"/>
    <n v="48583.99"/>
    <n v="3988.43"/>
    <n v="42268071.299999997"/>
    <x v="2"/>
    <s v="Sea"/>
    <x v="1"/>
    <n v="3469934.1"/>
  </r>
  <r>
    <s v="Cashew"/>
    <s v="Prime Agro Exports Nigeria Limited"/>
    <s v="Switzerland"/>
    <n v="44474"/>
    <n v="388"/>
    <n v="14002.05"/>
    <n v="7799.02"/>
    <n v="5432795.4000000004"/>
    <x v="2"/>
    <s v="Sea"/>
    <x v="1"/>
    <n v="3026019.76"/>
  </r>
  <r>
    <s v="Cashew"/>
    <s v="Agriplus Nigeria Limited"/>
    <s v="Switzerland"/>
    <n v="44272"/>
    <n v="988"/>
    <n v="34090.050000000003"/>
    <n v="6763.49"/>
    <n v="33680969.399999999"/>
    <x v="2"/>
    <s v="Sea"/>
    <x v="1"/>
    <n v="6682328.1200000001"/>
  </r>
  <r>
    <s v="Cashew"/>
    <s v="Agriplus Nigeria Limited"/>
    <s v="Switzerland"/>
    <n v="44364"/>
    <n v="456"/>
    <n v="21633.599999999999"/>
    <n v="4135.4399999999996"/>
    <n v="9864921.5999999996"/>
    <x v="3"/>
    <s v="Sea"/>
    <x v="1"/>
    <n v="1885760.64"/>
  </r>
  <r>
    <s v="Cashew"/>
    <s v="Prime Agro Exports Nigeria Limited"/>
    <s v="Switzerland"/>
    <n v="44373"/>
    <n v="627"/>
    <n v="28634.29"/>
    <n v="6333.2"/>
    <n v="17953699.829999998"/>
    <x v="1"/>
    <s v="Sea"/>
    <x v="1"/>
    <n v="3970916.4"/>
  </r>
  <r>
    <s v="Cashew"/>
    <s v="Nigerian Export Promotion Council (NEPC)"/>
    <s v="Switzerland"/>
    <n v="44443"/>
    <n v="369"/>
    <n v="13952.52"/>
    <n v="6188.94"/>
    <n v="5148479.88"/>
    <x v="2"/>
    <s v="Sea"/>
    <x v="1"/>
    <n v="2283718.86"/>
  </r>
  <r>
    <s v="Cashew"/>
    <s v="Agriplus Nigeria Limited"/>
    <s v="Germany"/>
    <n v="44365"/>
    <n v="496"/>
    <n v="16337.54"/>
    <n v="7374.32"/>
    <n v="8103419.8399999999"/>
    <x v="0"/>
    <s v="Sea"/>
    <x v="1"/>
    <n v="3657662.72"/>
  </r>
  <r>
    <s v="Cashew"/>
    <s v="Nigeria Agro Export Company"/>
    <s v="Denmark"/>
    <n v="44563"/>
    <n v="225"/>
    <n v="27359.34"/>
    <n v="4792.7"/>
    <n v="6155851.5"/>
    <x v="2"/>
    <s v="Sea"/>
    <x v="2"/>
    <n v="1078357.5"/>
  </r>
  <r>
    <s v="Cashew"/>
    <s v="Solid Agro Nigeria Limited"/>
    <s v="Denmark"/>
    <n v="44633"/>
    <n v="425"/>
    <n v="18775.34"/>
    <n v="5343.85"/>
    <n v="7979519.5"/>
    <x v="2"/>
    <s v="Sea"/>
    <x v="2"/>
    <n v="2271136.25"/>
  </r>
  <r>
    <s v="Cashew"/>
    <s v="Solid Agro Nigeria Limited"/>
    <s v="Denmark"/>
    <n v="44703"/>
    <n v="930"/>
    <n v="37216.61"/>
    <n v="4076.71"/>
    <n v="34611447.299999997"/>
    <x v="1"/>
    <s v="Sea"/>
    <x v="2"/>
    <n v="3791340.3"/>
  </r>
  <r>
    <s v="Cashew"/>
    <s v="Agriplus Nigeria Limited"/>
    <s v="Denmark"/>
    <n v="44799"/>
    <n v="220"/>
    <n v="37731.49"/>
    <n v="5466.27"/>
    <n v="8300927.7999999998"/>
    <x v="1"/>
    <s v="Sea"/>
    <x v="2"/>
    <n v="1202579.3999999999"/>
  </r>
  <r>
    <s v="Cashew"/>
    <s v="Nigeria Agro Export Company"/>
    <s v="Sweden"/>
    <n v="44573"/>
    <n v="223"/>
    <n v="41689.96"/>
    <n v="7172.86"/>
    <n v="9296861.0800000001"/>
    <x v="2"/>
    <s v="Sea"/>
    <x v="2"/>
    <n v="1599547.78"/>
  </r>
  <r>
    <s v="Cashew"/>
    <s v="Golden Farms Nigeria Limited"/>
    <s v="Sweden"/>
    <n v="44847"/>
    <n v="238"/>
    <n v="31839.65"/>
    <n v="8488.9699999999993"/>
    <n v="7577836.7000000002"/>
    <x v="2"/>
    <s v="Sea"/>
    <x v="2"/>
    <n v="2020374.86"/>
  </r>
  <r>
    <s v="Cashew"/>
    <s v="Agro Allied Exporters Nigeria Limited"/>
    <s v="Sweden"/>
    <n v="44630"/>
    <n v="228"/>
    <n v="27992.79"/>
    <n v="4627.45"/>
    <n v="6382356.1200000001"/>
    <x v="3"/>
    <s v="Sea"/>
    <x v="2"/>
    <n v="1055058.6000000001"/>
  </r>
  <r>
    <s v="Cashew"/>
    <s v="Greenfield Agro Exporters Nigeria Limited"/>
    <s v="Sweden"/>
    <n v="44647"/>
    <n v="462"/>
    <n v="40352.050000000003"/>
    <n v="5985.5"/>
    <n v="18642647.100000001"/>
    <x v="2"/>
    <s v="Sea"/>
    <x v="2"/>
    <n v="2765301"/>
  </r>
  <r>
    <s v="Cashew"/>
    <s v="Nigerian Export Promotion Council (NEPC)"/>
    <s v="Sweden"/>
    <n v="44623"/>
    <n v="212"/>
    <n v="38606.82"/>
    <n v="8270.19"/>
    <n v="8184645.8399999999"/>
    <x v="2"/>
    <s v="Sea"/>
    <x v="2"/>
    <n v="1753280.28"/>
  </r>
  <r>
    <s v="Cashew"/>
    <s v="Agro Allied Exporters Nigeria Limited"/>
    <s v="Belgium"/>
    <n v="44917"/>
    <n v="197"/>
    <n v="32460.959999999999"/>
    <n v="3462.01"/>
    <n v="6394809.1200000001"/>
    <x v="2"/>
    <s v="Sea"/>
    <x v="2"/>
    <n v="682015.97"/>
  </r>
  <r>
    <s v="Cashew"/>
    <s v="Prime Agro Exports Nigeria Limited"/>
    <s v="Belgium"/>
    <n v="44665"/>
    <n v="969"/>
    <n v="18970.62"/>
    <n v="4948.6899999999996"/>
    <n v="18382530.780000001"/>
    <x v="2"/>
    <s v="Sea"/>
    <x v="2"/>
    <n v="4795280.6100000003"/>
  </r>
  <r>
    <s v="Cashew"/>
    <s v="Agro Export Nigeria Ltd"/>
    <s v="Belgium"/>
    <n v="44675"/>
    <n v="179"/>
    <n v="11948.5"/>
    <n v="8565.61"/>
    <n v="2138781.5"/>
    <x v="2"/>
    <s v="Sea"/>
    <x v="2"/>
    <n v="1533244.19"/>
  </r>
  <r>
    <s v="Cashew"/>
    <s v="Agro Export Nigeria Ltd"/>
    <s v="Belgium"/>
    <n v="44787"/>
    <n v="884"/>
    <n v="49041.91"/>
    <n v="3226.31"/>
    <n v="43353048.439999998"/>
    <x v="2"/>
    <s v="Sea"/>
    <x v="2"/>
    <n v="2852058.04"/>
  </r>
  <r>
    <s v="Cashew"/>
    <s v="Nigeria Agro Export Company"/>
    <s v="Austria"/>
    <n v="44889"/>
    <n v="509"/>
    <n v="37586.949999999997"/>
    <n v="3011.25"/>
    <n v="19131757.550000001"/>
    <x v="2"/>
    <s v="Sea"/>
    <x v="2"/>
    <n v="1532726.25"/>
  </r>
  <r>
    <s v="Cashew"/>
    <s v="Nigerian Export Promotion Council (NEPC)"/>
    <s v="Austria"/>
    <n v="44617"/>
    <n v="928"/>
    <n v="43869.35"/>
    <n v="7665.68"/>
    <n v="40710756.799999997"/>
    <x v="2"/>
    <s v="Sea"/>
    <x v="2"/>
    <n v="7113751.04"/>
  </r>
  <r>
    <s v="Cashew"/>
    <s v="Farmgate Nigeria Limited"/>
    <s v="Austria"/>
    <n v="44618"/>
    <n v="687"/>
    <n v="33342.97"/>
    <n v="6500.51"/>
    <n v="22906620.390000001"/>
    <x v="2"/>
    <s v="Sea"/>
    <x v="2"/>
    <n v="4465850.37"/>
  </r>
  <r>
    <s v="Cashew"/>
    <s v="Solid Agro Nigeria Limited"/>
    <s v="Austria"/>
    <n v="44646"/>
    <n v="606"/>
    <n v="27024.3"/>
    <n v="3236.49"/>
    <n v="16376725.800000001"/>
    <x v="2"/>
    <s v="Sea"/>
    <x v="2"/>
    <n v="1961312.94"/>
  </r>
  <r>
    <s v="Cashew"/>
    <s v="Greenfield Agro Exporters Nigeria Limited"/>
    <s v="Austria"/>
    <n v="44656"/>
    <n v="318"/>
    <n v="24796.29"/>
    <n v="9931.61"/>
    <n v="7885220.2199999997"/>
    <x v="0"/>
    <s v="Sea"/>
    <x v="2"/>
    <n v="3158251.98"/>
  </r>
  <r>
    <s v="Cashew"/>
    <s v="Prime Agro Exports Nigeria Limited"/>
    <s v="Austria"/>
    <n v="44698"/>
    <n v="603"/>
    <n v="25715.79"/>
    <n v="9586.4599999999991"/>
    <n v="15506621.369999999"/>
    <x v="0"/>
    <s v="Sea"/>
    <x v="2"/>
    <n v="5780635.3799999999"/>
  </r>
  <r>
    <s v="Cashew"/>
    <s v="Solid Agro Nigeria Limited"/>
    <s v="Austria"/>
    <n v="44813"/>
    <n v="504"/>
    <n v="16636.12"/>
    <n v="4596.82"/>
    <n v="8384604.4800000004"/>
    <x v="0"/>
    <s v="Sea"/>
    <x v="2"/>
    <n v="2316797.2799999998"/>
  </r>
  <r>
    <s v="Cashew"/>
    <s v="Golden Farms Nigeria Limited"/>
    <s v="Italy"/>
    <n v="44664"/>
    <n v="900"/>
    <n v="27487.89"/>
    <n v="7714.09"/>
    <n v="24739101"/>
    <x v="2"/>
    <s v="Sea"/>
    <x v="2"/>
    <n v="6942681"/>
  </r>
  <r>
    <s v="Cashew"/>
    <s v="Agriplus Nigeria Limited"/>
    <s v="Italy"/>
    <n v="44659"/>
    <n v="389"/>
    <n v="22294.639999999999"/>
    <n v="3359.32"/>
    <n v="8672614.9600000009"/>
    <x v="3"/>
    <s v="Sea"/>
    <x v="2"/>
    <n v="1306775.48"/>
  </r>
  <r>
    <s v="Cashew"/>
    <s v="Greenfield Agro Exporters Nigeria Limited"/>
    <s v="Germany"/>
    <n v="44659"/>
    <n v="253"/>
    <n v="10966.93"/>
    <n v="2635.2"/>
    <n v="2774633.29"/>
    <x v="0"/>
    <s v="Sea"/>
    <x v="2"/>
    <n v="666705.6"/>
  </r>
  <r>
    <s v="Cashew"/>
    <s v="Solid Agro Nigeria Limited"/>
    <s v="France"/>
    <n v="44564"/>
    <n v="633"/>
    <n v="25099.43"/>
    <n v="2601.7800000000002"/>
    <n v="15887939.189999999"/>
    <x v="2"/>
    <s v="Sea"/>
    <x v="2"/>
    <n v="1646926.74"/>
  </r>
  <r>
    <s v="Cashew"/>
    <s v="Prime Agro Exports Nigeria Limited"/>
    <s v="France"/>
    <n v="44566"/>
    <n v="749"/>
    <n v="28798.52"/>
    <n v="6193.18"/>
    <n v="21570091.48"/>
    <x v="2"/>
    <s v="Sea"/>
    <x v="2"/>
    <n v="4638691.82"/>
  </r>
  <r>
    <s v="Cashew"/>
    <s v="Greenfield Agro Exporters Nigeria Limited"/>
    <s v="France"/>
    <n v="44898"/>
    <n v="757"/>
    <n v="15651.76"/>
    <n v="2822.57"/>
    <n v="11848382.32"/>
    <x v="2"/>
    <s v="Sea"/>
    <x v="2"/>
    <n v="2136685.4900000002"/>
  </r>
  <r>
    <s v="Cashew"/>
    <s v="Prime Agro Exports Nigeria Limited"/>
    <s v="France"/>
    <n v="44764"/>
    <n v="412"/>
    <n v="39780.129999999997"/>
    <n v="7699.27"/>
    <n v="16389413.560000001"/>
    <x v="2"/>
    <s v="Sea"/>
    <x v="2"/>
    <n v="3172099.24"/>
  </r>
  <r>
    <s v="Cashew"/>
    <s v="Agriplus Nigeria Limited"/>
    <s v="France"/>
    <n v="44770"/>
    <n v="985"/>
    <n v="17927.04"/>
    <n v="2110.33"/>
    <n v="17658134.399999999"/>
    <x v="2"/>
    <s v="Sea"/>
    <x v="2"/>
    <n v="2078675.05"/>
  </r>
  <r>
    <s v="Cashew"/>
    <s v="Farmgate Nigeria Limited"/>
    <s v="Spain"/>
    <n v="44580"/>
    <n v="720"/>
    <n v="20018.86"/>
    <n v="3870.9"/>
    <n v="14413579.199999999"/>
    <x v="2"/>
    <s v="Sea"/>
    <x v="2"/>
    <n v="2787048"/>
  </r>
  <r>
    <s v="Cashew"/>
    <s v="Solid Agro Nigeria Limited"/>
    <s v="Spain"/>
    <n v="44854"/>
    <n v="494"/>
    <n v="15808.25"/>
    <n v="8514.16"/>
    <n v="7809275.5"/>
    <x v="2"/>
    <s v="Sea"/>
    <x v="2"/>
    <n v="4205995.04"/>
  </r>
  <r>
    <s v="Cashew"/>
    <s v="Greenfield Agro Exporters Nigeria Limited"/>
    <s v="Spain"/>
    <n v="44762"/>
    <n v="275"/>
    <n v="18649.39"/>
    <n v="2111.9899999999998"/>
    <n v="5128582.25"/>
    <x v="2"/>
    <s v="Sea"/>
    <x v="2"/>
    <n v="580797.25"/>
  </r>
  <r>
    <s v="Cashew"/>
    <s v="Prime Agro Exports Nigeria Limited"/>
    <s v="Switzerland"/>
    <n v="44894"/>
    <n v="558"/>
    <n v="37757.629999999997"/>
    <n v="8787.98"/>
    <n v="21068757.539999999"/>
    <x v="2"/>
    <s v="Sea"/>
    <x v="2"/>
    <n v="4903692.84"/>
  </r>
  <r>
    <s v="Cashew"/>
    <s v="Agriplus Nigeria Limited"/>
    <s v="Germany"/>
    <n v="44817"/>
    <n v="823"/>
    <n v="27043.87"/>
    <n v="3741.34"/>
    <n v="22257105.010000002"/>
    <x v="2"/>
    <s v="Sea"/>
    <x v="2"/>
    <n v="3079122.82"/>
  </r>
  <r>
    <s v="Cashew"/>
    <s v="Greenfield Agro Exporters Nigeria Limited"/>
    <s v="Netherlands"/>
    <n v="45209"/>
    <n v="561"/>
    <n v="12953.71"/>
    <n v="2565.69"/>
    <n v="7267031.3099999996"/>
    <x v="2"/>
    <s v="Sea"/>
    <x v="3"/>
    <n v="1439352.09"/>
  </r>
  <r>
    <s v="Cashew"/>
    <s v="Nigeria Agro Export Company"/>
    <s v="Netherlands"/>
    <n v="45277"/>
    <n v="506"/>
    <n v="49365.93"/>
    <n v="8498.57"/>
    <n v="24979160.579999998"/>
    <x v="2"/>
    <s v="Sea"/>
    <x v="3"/>
    <n v="4300276.42"/>
  </r>
  <r>
    <s v="Cashew"/>
    <s v="Agriplus Nigeria Limited"/>
    <s v="Denmark"/>
    <n v="45277"/>
    <n v="104"/>
    <n v="28856.79"/>
    <n v="6754.28"/>
    <n v="3001106.16"/>
    <x v="0"/>
    <s v="Sea"/>
    <x v="3"/>
    <n v="702445.12"/>
  </r>
  <r>
    <s v="Cashew"/>
    <s v="Nigeria Agro Export Company"/>
    <s v="Netherlands"/>
    <n v="45088"/>
    <n v="730"/>
    <n v="49937.99"/>
    <n v="9149.4"/>
    <n v="36454732.700000003"/>
    <x v="1"/>
    <s v="Sea"/>
    <x v="3"/>
    <n v="6679062"/>
  </r>
  <r>
    <s v="Cashew"/>
    <s v="Nigerian Export Promotion Council (NEPC)"/>
    <s v="Denmark"/>
    <n v="44950"/>
    <n v="245"/>
    <n v="22058.15"/>
    <n v="9141.0499999999993"/>
    <n v="5404246.75"/>
    <x v="0"/>
    <s v="Sea"/>
    <x v="3"/>
    <n v="2239557.25"/>
  </r>
  <r>
    <s v="Cashew"/>
    <s v="Nigerian Export Promotion Council (NEPC)"/>
    <s v="Denmark"/>
    <n v="44966"/>
    <n v="388"/>
    <n v="43524.13"/>
    <n v="7427.72"/>
    <n v="16887362.440000001"/>
    <x v="2"/>
    <s v="Sea"/>
    <x v="3"/>
    <n v="2881955.36"/>
  </r>
  <r>
    <s v="Cashew"/>
    <s v="Agriplus Nigeria Limited"/>
    <s v="Denmark"/>
    <n v="45167"/>
    <n v="296"/>
    <n v="28499.89"/>
    <n v="4918.3100000000004"/>
    <n v="8435967.4399999995"/>
    <x v="3"/>
    <s v="Sea"/>
    <x v="3"/>
    <n v="1455819.76"/>
  </r>
  <r>
    <s v="Cashew"/>
    <s v="Agro Allied Exporters Nigeria Limited"/>
    <s v="Sweden"/>
    <n v="45289"/>
    <n v="768"/>
    <n v="39606.639999999999"/>
    <n v="7529.98"/>
    <n v="30417899.52"/>
    <x v="2"/>
    <s v="Sea"/>
    <x v="3"/>
    <n v="5783024.6399999997"/>
  </r>
  <r>
    <s v="Cashew"/>
    <s v="Greenfield Agro Exporters Nigeria Limited"/>
    <s v="Sweden"/>
    <n v="45290"/>
    <n v="128"/>
    <n v="13118.57"/>
    <n v="7901.12"/>
    <n v="1679176.96"/>
    <x v="2"/>
    <s v="Sea"/>
    <x v="3"/>
    <n v="1011343.36"/>
  </r>
  <r>
    <s v="Cashew"/>
    <s v="Solid Agro Nigeria Limited"/>
    <s v="Sweden"/>
    <n v="44995"/>
    <n v="403"/>
    <n v="12673.28"/>
    <n v="3954.67"/>
    <n v="5107331.84"/>
    <x v="0"/>
    <s v="Sea"/>
    <x v="3"/>
    <n v="1593732.01"/>
  </r>
  <r>
    <s v="Cashew"/>
    <s v="Solid Agro Nigeria Limited"/>
    <s v="Belgium"/>
    <n v="44941"/>
    <n v="555"/>
    <n v="16865.509999999998"/>
    <n v="4394.07"/>
    <n v="9360358.0500000007"/>
    <x v="2"/>
    <s v="Sea"/>
    <x v="3"/>
    <n v="2438708.85"/>
  </r>
  <r>
    <s v="Cashew"/>
    <s v="Agro Export Nigeria Ltd"/>
    <s v="Belgium"/>
    <n v="44957"/>
    <n v="506"/>
    <n v="35141.25"/>
    <n v="6995.65"/>
    <n v="17781472.5"/>
    <x v="1"/>
    <s v="Sea"/>
    <x v="3"/>
    <n v="3539798.9"/>
  </r>
  <r>
    <s v="Cashew"/>
    <s v="Farmgate Nigeria Limited"/>
    <s v="Belgium"/>
    <n v="44964"/>
    <n v="687"/>
    <n v="31309.13"/>
    <n v="5015.01"/>
    <n v="21509372.309999999"/>
    <x v="2"/>
    <s v="Sea"/>
    <x v="3"/>
    <n v="3445311.87"/>
  </r>
  <r>
    <s v="Cashew"/>
    <s v="Agro Export Nigeria Ltd"/>
    <s v="Belgium"/>
    <n v="45074"/>
    <n v="653"/>
    <n v="43827.24"/>
    <n v="5249.1"/>
    <n v="28619187.719999999"/>
    <x v="2"/>
    <s v="Sea"/>
    <x v="3"/>
    <n v="3427662.3"/>
  </r>
  <r>
    <s v="Cashew"/>
    <s v="Solid Agro Nigeria Limited"/>
    <s v="Belgium"/>
    <n v="45178"/>
    <n v="705"/>
    <n v="20889.939999999999"/>
    <n v="5798.03"/>
    <n v="14727407.699999999"/>
    <x v="1"/>
    <s v="Sea"/>
    <x v="3"/>
    <n v="4087611.15"/>
  </r>
  <r>
    <s v="Cashew"/>
    <s v="Greenfield Agro Exporters Nigeria Limited"/>
    <s v="Austria"/>
    <n v="44935"/>
    <n v="494"/>
    <n v="30668.78"/>
    <n v="5725.02"/>
    <n v="15150377.32"/>
    <x v="2"/>
    <s v="Sea"/>
    <x v="3"/>
    <n v="2828159.88"/>
  </r>
  <r>
    <s v="Cashew"/>
    <s v="Greenfield Agro Exporters Nigeria Limited"/>
    <s v="Austria"/>
    <n v="45073"/>
    <n v="296"/>
    <n v="12168.22"/>
    <n v="6858.4"/>
    <n v="3601793.12"/>
    <x v="2"/>
    <s v="Sea"/>
    <x v="3"/>
    <n v="2030086.4"/>
  </r>
  <r>
    <s v="Cashew"/>
    <s v="Farmgate Nigeria Limited"/>
    <s v="Austria"/>
    <n v="45098"/>
    <n v="374"/>
    <n v="37904.800000000003"/>
    <n v="8329.34"/>
    <n v="14176395.199999999"/>
    <x v="3"/>
    <s v="Sea"/>
    <x v="3"/>
    <n v="3115173.16"/>
  </r>
  <r>
    <s v="Cashew"/>
    <s v="Agriplus Nigeria Limited"/>
    <s v="Italy"/>
    <n v="45191"/>
    <n v="287"/>
    <n v="16862.169999999998"/>
    <n v="4233.25"/>
    <n v="4839442.79"/>
    <x v="0"/>
    <s v="Sea"/>
    <x v="3"/>
    <n v="1214942.75"/>
  </r>
  <r>
    <s v="Cashew"/>
    <s v="Agro Export Nigeria Ltd"/>
    <s v="France"/>
    <n v="45241"/>
    <n v="608"/>
    <n v="26360.69"/>
    <n v="9315.67"/>
    <n v="16027299.52"/>
    <x v="2"/>
    <s v="Sea"/>
    <x v="3"/>
    <n v="5663927.3600000003"/>
  </r>
  <r>
    <s v="Cashew"/>
    <s v="Agro Export Nigeria Ltd"/>
    <s v="France"/>
    <n v="45055"/>
    <n v="409"/>
    <n v="48643.45"/>
    <n v="3745.48"/>
    <n v="19895171.050000001"/>
    <x v="2"/>
    <s v="Sea"/>
    <x v="3"/>
    <n v="1531901.32"/>
  </r>
  <r>
    <s v="Cashew"/>
    <s v="Nigeria Agro Export Company"/>
    <s v="Spain"/>
    <n v="45280"/>
    <n v="490"/>
    <n v="23893.95"/>
    <n v="5788.54"/>
    <n v="11708035.5"/>
    <x v="3"/>
    <s v="Sea"/>
    <x v="3"/>
    <n v="2836384.6"/>
  </r>
  <r>
    <s v="Cashew"/>
    <s v="Agro Export Nigeria Ltd"/>
    <s v="Spain"/>
    <n v="45264"/>
    <n v="413"/>
    <n v="13305.43"/>
    <n v="7780.18"/>
    <n v="5495142.5899999999"/>
    <x v="0"/>
    <s v="Sea"/>
    <x v="3"/>
    <n v="3213214.34"/>
  </r>
  <r>
    <s v="Cashew"/>
    <s v="Solid Agro Nigeria Limited"/>
    <s v="Spain"/>
    <n v="45078"/>
    <n v="290"/>
    <n v="40212.78"/>
    <n v="6892.54"/>
    <n v="11661706.199999999"/>
    <x v="0"/>
    <s v="Sea"/>
    <x v="3"/>
    <n v="1998836.6"/>
  </r>
  <r>
    <s v="Cashew"/>
    <s v="Greenfield Agro Exporters Nigeria Limited"/>
    <s v="Switzerland"/>
    <n v="45069"/>
    <n v="221"/>
    <n v="49351.360000000001"/>
    <n v="5461.08"/>
    <n v="10906650.560000001"/>
    <x v="2"/>
    <s v="Sea"/>
    <x v="3"/>
    <n v="1206898.68"/>
  </r>
  <r>
    <s v="Cashew"/>
    <s v="Agro Export Nigeria Ltd"/>
    <s v="Switzerland"/>
    <n v="45049"/>
    <n v="600"/>
    <n v="35084.68"/>
    <n v="5515.51"/>
    <n v="21050808"/>
    <x v="1"/>
    <s v="Sea"/>
    <x v="3"/>
    <n v="3309306"/>
  </r>
  <r>
    <s v="Cashew"/>
    <s v="Golden Farms Nigeria Limited"/>
    <s v="Germany"/>
    <n v="44965"/>
    <n v="998"/>
    <n v="30576.799999999999"/>
    <n v="2142.19"/>
    <n v="30515646.399999999"/>
    <x v="2"/>
    <s v="Sea"/>
    <x v="3"/>
    <n v="2137905.62"/>
  </r>
  <r>
    <s v="Cashew"/>
    <s v="Greenfield Agro Exporters Nigeria Limited"/>
    <s v="Germany"/>
    <n v="45016"/>
    <n v="278"/>
    <n v="28564.880000000001"/>
    <n v="8098.26"/>
    <n v="7941036.6399999997"/>
    <x v="2"/>
    <s v="Sea"/>
    <x v="3"/>
    <n v="2251316.2799999998"/>
  </r>
  <r>
    <s v="Cashew"/>
    <s v="Greenfield Agro Exporters Nigeria Limited"/>
    <s v="Germany"/>
    <n v="44990"/>
    <n v="315"/>
    <n v="42814.92"/>
    <n v="6620.22"/>
    <n v="13486699.800000001"/>
    <x v="2"/>
    <s v="Sea"/>
    <x v="3"/>
    <n v="2085369.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C4D410-1EE2-D946-BD86-BEC923E52F02}" name="PivotTable19" cacheId="10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>
  <location ref="U118:Y166" firstHeaderRow="0" firstDataRow="1" firstDataCol="1"/>
  <pivotFields count="13">
    <pivotField showAll="0"/>
    <pivotField showAll="0"/>
    <pivotField showAll="0"/>
    <pivotField axis="axisRow" showAll="0">
      <items count="11">
        <item x="7"/>
        <item x="8"/>
        <item x="4"/>
        <item x="6"/>
        <item x="2"/>
        <item x="9"/>
        <item x="3"/>
        <item x="1"/>
        <item x="0"/>
        <item x="5"/>
        <item t="default"/>
      </items>
    </pivotField>
    <pivotField showAll="0"/>
    <pivotField dataField="1" showAll="0"/>
    <pivotField showAll="0"/>
    <pivotField showAll="0"/>
    <pivotField dataField="1" showAll="0">
      <items count="137">
        <item x="34"/>
        <item x="112"/>
        <item x="22"/>
        <item x="23"/>
        <item x="96"/>
        <item x="110"/>
        <item x="62"/>
        <item x="117"/>
        <item x="21"/>
        <item x="116"/>
        <item x="73"/>
        <item x="93"/>
        <item x="51"/>
        <item x="118"/>
        <item x="9"/>
        <item x="80"/>
        <item x="12"/>
        <item x="3"/>
        <item x="105"/>
        <item x="50"/>
        <item x="101"/>
        <item x="99"/>
        <item x="20"/>
        <item x="94"/>
        <item x="127"/>
        <item x="15"/>
        <item x="36"/>
        <item x="111"/>
        <item x="8"/>
        <item x="17"/>
        <item x="74"/>
        <item x="78"/>
        <item x="0"/>
        <item x="41"/>
        <item x="85"/>
        <item x="38"/>
        <item x="69"/>
        <item x="67"/>
        <item x="60"/>
        <item x="37"/>
        <item x="65"/>
        <item x="27"/>
        <item x="26"/>
        <item x="103"/>
        <item x="7"/>
        <item x="55"/>
        <item x="43"/>
        <item x="77"/>
        <item x="6"/>
        <item x="90"/>
        <item x="76"/>
        <item x="113"/>
        <item x="59"/>
        <item x="91"/>
        <item x="102"/>
        <item x="58"/>
        <item x="100"/>
        <item x="39"/>
        <item x="86"/>
        <item x="72"/>
        <item x="108"/>
        <item x="134"/>
        <item x="115"/>
        <item x="24"/>
        <item x="82"/>
        <item x="81"/>
        <item x="33"/>
        <item x="53"/>
        <item x="46"/>
        <item x="135"/>
        <item x="29"/>
        <item x="10"/>
        <item x="30"/>
        <item x="88"/>
        <item x="19"/>
        <item x="28"/>
        <item x="56"/>
        <item x="4"/>
        <item x="14"/>
        <item x="79"/>
        <item x="75"/>
        <item x="63"/>
        <item x="57"/>
        <item x="54"/>
        <item x="128"/>
        <item x="13"/>
        <item x="129"/>
        <item x="122"/>
        <item x="83"/>
        <item x="52"/>
        <item x="126"/>
        <item x="125"/>
        <item x="47"/>
        <item x="40"/>
        <item x="121"/>
        <item x="95"/>
        <item x="61"/>
        <item x="16"/>
        <item x="68"/>
        <item x="109"/>
        <item x="31"/>
        <item x="5"/>
        <item x="71"/>
        <item x="107"/>
        <item x="98"/>
        <item x="66"/>
        <item x="2"/>
        <item x="97"/>
        <item x="44"/>
        <item x="104"/>
        <item x="18"/>
        <item x="131"/>
        <item x="120"/>
        <item x="87"/>
        <item x="89"/>
        <item x="49"/>
        <item x="133"/>
        <item x="114"/>
        <item x="48"/>
        <item x="123"/>
        <item x="11"/>
        <item x="42"/>
        <item x="25"/>
        <item x="32"/>
        <item x="119"/>
        <item x="124"/>
        <item x="130"/>
        <item x="70"/>
        <item x="132"/>
        <item x="1"/>
        <item x="64"/>
        <item x="45"/>
        <item x="84"/>
        <item x="106"/>
        <item x="35"/>
        <item x="92"/>
        <item t="default"/>
      </items>
    </pivotField>
    <pivotField showAll="0"/>
    <pivotField showAll="0"/>
    <pivotField axis="axisRow" showAll="0">
      <items count="5">
        <item x="0"/>
        <item x="1"/>
        <item x="2"/>
        <item x="3"/>
        <item t="default"/>
      </items>
    </pivotField>
    <pivotField dataField="1" showAll="0"/>
  </pivotFields>
  <rowFields count="2">
    <field x="3"/>
    <field x="11"/>
  </rowFields>
  <rowItems count="48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>
      <x v="2"/>
    </i>
    <i r="1">
      <x/>
    </i>
    <i r="1">
      <x v="1"/>
    </i>
    <i r="1">
      <x v="3"/>
    </i>
    <i>
      <x v="3"/>
    </i>
    <i r="1">
      <x/>
    </i>
    <i r="1">
      <x v="1"/>
    </i>
    <i r="1">
      <x v="2"/>
    </i>
    <i r="1">
      <x v="3"/>
    </i>
    <i>
      <x v="4"/>
    </i>
    <i r="1">
      <x/>
    </i>
    <i r="1">
      <x v="1"/>
    </i>
    <i r="1">
      <x v="2"/>
    </i>
    <i r="1">
      <x v="3"/>
    </i>
    <i>
      <x v="5"/>
    </i>
    <i r="1">
      <x/>
    </i>
    <i r="1">
      <x v="1"/>
    </i>
    <i r="1">
      <x v="3"/>
    </i>
    <i>
      <x v="6"/>
    </i>
    <i r="1">
      <x/>
    </i>
    <i r="1">
      <x v="1"/>
    </i>
    <i r="1">
      <x v="2"/>
    </i>
    <i r="1">
      <x v="3"/>
    </i>
    <i>
      <x v="7"/>
    </i>
    <i r="1">
      <x/>
    </i>
    <i r="1">
      <x v="1"/>
    </i>
    <i r="1">
      <x v="2"/>
    </i>
    <i r="1">
      <x v="3"/>
    </i>
    <i>
      <x v="8"/>
    </i>
    <i r="1">
      <x/>
    </i>
    <i r="1">
      <x v="1"/>
    </i>
    <i r="1">
      <x v="2"/>
    </i>
    <i r="1">
      <x v="3"/>
    </i>
    <i>
      <x v="9"/>
    </i>
    <i r="1">
      <x/>
    </i>
    <i r="1">
      <x v="1"/>
    </i>
    <i r="1">
      <x v="3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Total Profit" fld="12" baseField="0" baseItem="0"/>
    <dataField name="Average of Units Sold" fld="5" subtotal="average" baseField="0" baseItem="0"/>
    <dataField name="Sum of Export Value" fld="8" baseField="0" baseItem="0"/>
    <dataField name="Sum of Total Profit2" fld="12" baseField="0" baseItem="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C2A130-8995-3F4F-A76E-41CAEEF7580D}" name="PivotTable18" cacheId="9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>
  <location ref="U62:Y113" firstHeaderRow="0" firstDataRow="1" firstDataCol="1"/>
  <pivotFields count="12">
    <pivotField showAll="0"/>
    <pivotField showAll="0"/>
    <pivotField axis="axisRow" showAll="0">
      <items count="11">
        <item x="9"/>
        <item x="5"/>
        <item x="3"/>
        <item x="7"/>
        <item x="0"/>
        <item x="2"/>
        <item x="4"/>
        <item x="1"/>
        <item x="8"/>
        <item x="6"/>
        <item t="default"/>
      </items>
    </pivotField>
    <pivotField showAll="0"/>
    <pivotField dataField="1" showAll="0"/>
    <pivotField dataField="1" showAll="0"/>
    <pivotField showAll="0"/>
    <pivotField dataField="1" showAll="0"/>
    <pivotField showAll="0"/>
    <pivotField showAll="0"/>
    <pivotField axis="axisRow" showAll="0">
      <items count="5">
        <item x="0"/>
        <item x="1"/>
        <item x="2"/>
        <item x="3"/>
        <item t="default"/>
      </items>
    </pivotField>
    <pivotField dataField="1" showAll="0"/>
  </pivotFields>
  <rowFields count="2">
    <field x="2"/>
    <field x="10"/>
  </rowFields>
  <rowItems count="51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>
      <x v="2"/>
    </i>
    <i r="1">
      <x/>
    </i>
    <i r="1">
      <x v="1"/>
    </i>
    <i r="1">
      <x v="2"/>
    </i>
    <i r="1">
      <x v="3"/>
    </i>
    <i>
      <x v="3"/>
    </i>
    <i r="1">
      <x/>
    </i>
    <i r="1">
      <x v="1"/>
    </i>
    <i r="1">
      <x v="2"/>
    </i>
    <i r="1">
      <x v="3"/>
    </i>
    <i>
      <x v="4"/>
    </i>
    <i r="1">
      <x/>
    </i>
    <i r="1">
      <x v="1"/>
    </i>
    <i r="1">
      <x v="2"/>
    </i>
    <i r="1">
      <x v="3"/>
    </i>
    <i>
      <x v="5"/>
    </i>
    <i r="1">
      <x/>
    </i>
    <i r="1">
      <x v="1"/>
    </i>
    <i r="1">
      <x v="2"/>
    </i>
    <i r="1">
      <x v="3"/>
    </i>
    <i>
      <x v="6"/>
    </i>
    <i r="1">
      <x/>
    </i>
    <i r="1">
      <x v="1"/>
    </i>
    <i r="1">
      <x v="2"/>
    </i>
    <i r="1">
      <x v="3"/>
    </i>
    <i>
      <x v="7"/>
    </i>
    <i r="1">
      <x/>
    </i>
    <i r="1">
      <x v="1"/>
    </i>
    <i r="1">
      <x v="2"/>
    </i>
    <i r="1">
      <x v="3"/>
    </i>
    <i>
      <x v="8"/>
    </i>
    <i r="1">
      <x/>
    </i>
    <i r="1">
      <x v="1"/>
    </i>
    <i r="1">
      <x v="2"/>
    </i>
    <i r="1">
      <x v="3"/>
    </i>
    <i>
      <x v="9"/>
    </i>
    <i r="1">
      <x/>
    </i>
    <i r="1">
      <x v="1"/>
    </i>
    <i r="1">
      <x v="2"/>
    </i>
    <i r="1">
      <x v="3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Total Profit" fld="11" baseField="0" baseItem="0"/>
    <dataField name="Sum of Export Value" fld="7" baseField="0" baseItem="0"/>
    <dataField name="Sum of unit_price" fld="5" baseField="0" baseItem="0"/>
    <dataField name="Sum of Units Sold" fld="4" baseField="0" baseItem="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C6D1EC-BFF6-2148-A761-FF08CF42725A}" name="PivotTable16" cacheId="7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>
  <location ref="U4:Y56" firstHeaderRow="0" firstDataRow="1" firstDataCol="1"/>
  <pivotFields count="12">
    <pivotField showAll="0"/>
    <pivotField showAll="0"/>
    <pivotField axis="axisRow" showAll="0">
      <items count="12">
        <item x="5"/>
        <item x="4"/>
        <item x="2"/>
        <item x="7"/>
        <item x="10"/>
        <item x="6"/>
        <item x="1"/>
        <item x="8"/>
        <item x="3"/>
        <item x="9"/>
        <item x="0"/>
        <item t="default"/>
      </items>
    </pivotField>
    <pivotField showAll="0"/>
    <pivotField dataField="1" showAll="0"/>
    <pivotField dataField="1" showAll="0"/>
    <pivotField showAll="0"/>
    <pivotField dataField="1" showAll="0"/>
    <pivotField showAll="0"/>
    <pivotField showAll="0"/>
    <pivotField axis="axisRow" showAll="0">
      <items count="6">
        <item x="1"/>
        <item x="2"/>
        <item x="3"/>
        <item x="4"/>
        <item x="0"/>
        <item t="default"/>
      </items>
    </pivotField>
    <pivotField dataField="1" showAll="0"/>
  </pivotFields>
  <rowFields count="2">
    <field x="2"/>
    <field x="10"/>
  </rowFields>
  <rowItems count="52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>
      <x v="2"/>
    </i>
    <i r="1">
      <x/>
    </i>
    <i r="1">
      <x v="1"/>
    </i>
    <i r="1">
      <x v="2"/>
    </i>
    <i r="1">
      <x v="3"/>
    </i>
    <i>
      <x v="3"/>
    </i>
    <i r="1">
      <x/>
    </i>
    <i r="1">
      <x v="1"/>
    </i>
    <i r="1">
      <x v="2"/>
    </i>
    <i r="1">
      <x v="3"/>
    </i>
    <i>
      <x v="4"/>
    </i>
    <i r="1">
      <x/>
    </i>
    <i r="1">
      <x v="1"/>
    </i>
    <i r="1">
      <x v="2"/>
    </i>
    <i r="1">
      <x v="3"/>
    </i>
    <i>
      <x v="5"/>
    </i>
    <i r="1">
      <x/>
    </i>
    <i r="1">
      <x v="1"/>
    </i>
    <i r="1">
      <x v="2"/>
    </i>
    <i r="1">
      <x v="3"/>
    </i>
    <i>
      <x v="6"/>
    </i>
    <i r="1">
      <x/>
    </i>
    <i r="1">
      <x v="1"/>
    </i>
    <i r="1">
      <x v="3"/>
    </i>
    <i>
      <x v="7"/>
    </i>
    <i r="1">
      <x/>
    </i>
    <i r="1">
      <x v="1"/>
    </i>
    <i r="1">
      <x v="2"/>
    </i>
    <i r="1">
      <x v="3"/>
    </i>
    <i>
      <x v="8"/>
    </i>
    <i r="1">
      <x/>
    </i>
    <i r="1">
      <x v="1"/>
    </i>
    <i r="1">
      <x v="2"/>
    </i>
    <i r="1">
      <x v="3"/>
    </i>
    <i>
      <x v="9"/>
    </i>
    <i r="1">
      <x/>
    </i>
    <i r="1">
      <x v="1"/>
    </i>
    <i r="1">
      <x v="2"/>
    </i>
    <i r="1">
      <x v="3"/>
    </i>
    <i>
      <x v="10"/>
    </i>
    <i r="1">
      <x v="4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Units Sold" fld="4" baseField="0" baseItem="0"/>
    <dataField name="Average of unit_price" fld="5" subtotal="average" baseField="0" baseItem="0"/>
    <dataField name="Sum of Export Value" fld="7" baseField="0" baseItem="0"/>
    <dataField name="Sum of Total Profit" fld="11" baseField="0" baseItem="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9CE23C-2538-E744-832A-685BA48CD3AA}" name="PivotTable33" cacheId="16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>
  <location ref="A3:AK56" firstHeaderRow="1" firstDataRow="3" firstDataCol="1"/>
  <pivotFields count="13">
    <pivotField axis="axisCol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axis="axisRow" showAll="0">
      <items count="11">
        <item x="4"/>
        <item x="3"/>
        <item x="1"/>
        <item x="6"/>
        <item x="9"/>
        <item x="5"/>
        <item x="0"/>
        <item x="7"/>
        <item x="2"/>
        <item x="8"/>
        <item t="default"/>
      </items>
    </pivotField>
    <pivotField showAll="0"/>
    <pivotField dataField="1" showAll="0"/>
    <pivotField dataField="1" showAll="0"/>
    <pivotField showAll="0"/>
    <pivotField dataField="1" showAll="0"/>
    <pivotField showAll="0"/>
    <pivotField showAll="0"/>
    <pivotField axis="axisRow" showAll="0">
      <items count="5">
        <item x="0"/>
        <item x="1"/>
        <item x="2"/>
        <item x="3"/>
        <item t="default"/>
      </items>
    </pivotField>
    <pivotField dataField="1" showAll="0"/>
    <pivotField dragToRow="0" dragToCol="0" dragToPage="0" showAll="0" defaultSubtotal="0"/>
  </pivotFields>
  <rowFields count="2">
    <field x="2"/>
    <field x="10"/>
  </rowFields>
  <rowItems count="51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>
      <x v="2"/>
    </i>
    <i r="1">
      <x/>
    </i>
    <i r="1">
      <x v="1"/>
    </i>
    <i r="1">
      <x v="2"/>
    </i>
    <i r="1">
      <x v="3"/>
    </i>
    <i>
      <x v="3"/>
    </i>
    <i r="1">
      <x/>
    </i>
    <i r="1">
      <x v="1"/>
    </i>
    <i r="1">
      <x v="2"/>
    </i>
    <i r="1">
      <x v="3"/>
    </i>
    <i>
      <x v="4"/>
    </i>
    <i r="1">
      <x/>
    </i>
    <i r="1">
      <x v="1"/>
    </i>
    <i r="1">
      <x v="2"/>
    </i>
    <i r="1">
      <x v="3"/>
    </i>
    <i>
      <x v="5"/>
    </i>
    <i r="1">
      <x/>
    </i>
    <i r="1">
      <x v="1"/>
    </i>
    <i r="1">
      <x v="2"/>
    </i>
    <i r="1">
      <x v="3"/>
    </i>
    <i>
      <x v="6"/>
    </i>
    <i r="1">
      <x/>
    </i>
    <i r="1">
      <x v="1"/>
    </i>
    <i r="1">
      <x v="2"/>
    </i>
    <i r="1">
      <x v="3"/>
    </i>
    <i>
      <x v="7"/>
    </i>
    <i r="1">
      <x/>
    </i>
    <i r="1">
      <x v="1"/>
    </i>
    <i r="1">
      <x v="2"/>
    </i>
    <i r="1">
      <x v="3"/>
    </i>
    <i>
      <x v="8"/>
    </i>
    <i r="1">
      <x/>
    </i>
    <i r="1">
      <x v="1"/>
    </i>
    <i r="1">
      <x v="2"/>
    </i>
    <i r="1">
      <x v="3"/>
    </i>
    <i>
      <x v="9"/>
    </i>
    <i r="1">
      <x/>
    </i>
    <i r="1">
      <x v="1"/>
    </i>
    <i r="1">
      <x v="2"/>
    </i>
    <i r="1">
      <x v="3"/>
    </i>
    <i t="grand">
      <x/>
    </i>
  </rowItems>
  <colFields count="2">
    <field x="0"/>
    <field x="-2"/>
  </colFields>
  <colItems count="36">
    <i>
      <x/>
      <x/>
    </i>
    <i r="1" i="1">
      <x v="1"/>
    </i>
    <i r="1" i="2">
      <x v="2"/>
    </i>
    <i r="1" i="3">
      <x v="3"/>
    </i>
    <i>
      <x v="1"/>
      <x/>
    </i>
    <i r="1" i="1">
      <x v="1"/>
    </i>
    <i r="1" i="2">
      <x v="2"/>
    </i>
    <i r="1" i="3">
      <x v="3"/>
    </i>
    <i>
      <x v="2"/>
      <x/>
    </i>
    <i r="1" i="1">
      <x v="1"/>
    </i>
    <i r="1" i="2">
      <x v="2"/>
    </i>
    <i r="1" i="3">
      <x v="3"/>
    </i>
    <i>
      <x v="3"/>
      <x/>
    </i>
    <i r="1" i="1">
      <x v="1"/>
    </i>
    <i r="1" i="2">
      <x v="2"/>
    </i>
    <i r="1" i="3">
      <x v="3"/>
    </i>
    <i>
      <x v="4"/>
      <x/>
    </i>
    <i r="1" i="1">
      <x v="1"/>
    </i>
    <i r="1" i="2">
      <x v="2"/>
    </i>
    <i r="1" i="3">
      <x v="3"/>
    </i>
    <i>
      <x v="5"/>
      <x/>
    </i>
    <i r="1" i="1">
      <x v="1"/>
    </i>
    <i r="1" i="2">
      <x v="2"/>
    </i>
    <i r="1" i="3">
      <x v="3"/>
    </i>
    <i>
      <x v="6"/>
      <x/>
    </i>
    <i r="1" i="1">
      <x v="1"/>
    </i>
    <i r="1" i="2">
      <x v="2"/>
    </i>
    <i r="1" i="3">
      <x v="3"/>
    </i>
    <i>
      <x v="7"/>
      <x/>
    </i>
    <i r="1" i="1">
      <x v="1"/>
    </i>
    <i r="1" i="2">
      <x v="2"/>
    </i>
    <i r="1" i="3">
      <x v="3"/>
    </i>
    <i t="grand">
      <x/>
    </i>
    <i t="grand" i="1">
      <x/>
    </i>
    <i t="grand" i="2">
      <x/>
    </i>
    <i t="grand" i="3">
      <x/>
    </i>
  </colItems>
  <dataFields count="4">
    <dataField name="Sum of Units Sold" fld="4" baseField="0" baseItem="0"/>
    <dataField name="Average of unit_price" fld="5" subtotal="average" baseField="0" baseItem="0"/>
    <dataField name="Sum of Export Value" fld="7" baseField="0" baseItem="0"/>
    <dataField name="Sum of Total Profit" fld="11" baseField="0" baseItem="0"/>
  </dataFields>
  <formats count="10">
    <format dxfId="0">
      <pivotArea dataOnly="0" fieldPosition="0">
        <references count="1">
          <reference field="2" count="1">
            <x v="9"/>
          </reference>
        </references>
      </pivotArea>
    </format>
    <format dxfId="1">
      <pivotArea dataOnly="0" fieldPosition="0">
        <references count="1">
          <reference field="2" count="1">
            <x v="8"/>
          </reference>
        </references>
      </pivotArea>
    </format>
    <format dxfId="2">
      <pivotArea dataOnly="0" fieldPosition="0">
        <references count="1">
          <reference field="2" count="1">
            <x v="7"/>
          </reference>
        </references>
      </pivotArea>
    </format>
    <format dxfId="3">
      <pivotArea dataOnly="0" fieldPosition="0">
        <references count="1">
          <reference field="2" count="1">
            <x v="6"/>
          </reference>
        </references>
      </pivotArea>
    </format>
    <format dxfId="4">
      <pivotArea dataOnly="0" fieldPosition="0">
        <references count="1">
          <reference field="2" count="1">
            <x v="5"/>
          </reference>
        </references>
      </pivotArea>
    </format>
    <format dxfId="5">
      <pivotArea dataOnly="0" fieldPosition="0">
        <references count="1">
          <reference field="2" count="1">
            <x v="4"/>
          </reference>
        </references>
      </pivotArea>
    </format>
    <format dxfId="6">
      <pivotArea dataOnly="0" fieldPosition="0">
        <references count="1">
          <reference field="2" count="1">
            <x v="3"/>
          </reference>
        </references>
      </pivotArea>
    </format>
    <format dxfId="7">
      <pivotArea dataOnly="0" fieldPosition="0">
        <references count="1">
          <reference field="2" count="1">
            <x v="2"/>
          </reference>
        </references>
      </pivotArea>
    </format>
    <format dxfId="8">
      <pivotArea dataOnly="0" fieldPosition="0">
        <references count="1">
          <reference field="2" count="1">
            <x v="1"/>
          </reference>
        </references>
      </pivotArea>
    </format>
    <format dxfId="9">
      <pivotArea dataOnly="0" fieldPosition="0">
        <references count="1">
          <reference field="2" count="1">
            <x v="0"/>
          </reference>
        </references>
      </pivotArea>
    </format>
  </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AF99CA-5917-E04A-A89E-8E4E14174A49}" name="PivotTable15" cacheId="5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>
  <location ref="P11:T57" firstHeaderRow="0" firstDataRow="1" firstDataCol="1"/>
  <pivotFields count="12">
    <pivotField showAll="0">
      <items count="2">
        <item x="0"/>
        <item t="default"/>
      </items>
    </pivotField>
    <pivotField showAll="0"/>
    <pivotField axis="axisRow" showAll="0">
      <items count="11">
        <item x="4"/>
        <item x="3"/>
        <item x="1"/>
        <item x="6"/>
        <item sd="0" x="9"/>
        <item x="5"/>
        <item x="0"/>
        <item x="7"/>
        <item x="2"/>
        <item x="8"/>
        <item t="default"/>
      </items>
    </pivotField>
    <pivotField showAll="0">
      <items count="135">
        <item x="18"/>
        <item x="78"/>
        <item x="115"/>
        <item x="38"/>
        <item x="101"/>
        <item x="74"/>
        <item x="109"/>
        <item x="67"/>
        <item x="96"/>
        <item x="116"/>
        <item x="97"/>
        <item x="2"/>
        <item x="120"/>
        <item x="106"/>
        <item x="79"/>
        <item x="102"/>
        <item x="11"/>
        <item x="46"/>
        <item x="51"/>
        <item x="68"/>
        <item x="39"/>
        <item x="29"/>
        <item x="124"/>
        <item x="47"/>
        <item x="30"/>
        <item x="87"/>
        <item x="3"/>
        <item x="104"/>
        <item x="6"/>
        <item x="52"/>
        <item x="19"/>
        <item x="20"/>
        <item x="59"/>
        <item x="0"/>
        <item x="107"/>
        <item x="126"/>
        <item x="83"/>
        <item x="40"/>
        <item x="60"/>
        <item x="61"/>
        <item x="55"/>
        <item x="112"/>
        <item x="25"/>
        <item x="98"/>
        <item x="113"/>
        <item x="127"/>
        <item x="31"/>
        <item x="64"/>
        <item x="41"/>
        <item x="88"/>
        <item x="89"/>
        <item x="117"/>
        <item x="48"/>
        <item x="131"/>
        <item x="110"/>
        <item x="65"/>
        <item x="80"/>
        <item x="114"/>
        <item x="14"/>
        <item x="75"/>
        <item x="69"/>
        <item x="90"/>
        <item x="81"/>
        <item x="82"/>
        <item x="8"/>
        <item x="132"/>
        <item x="15"/>
        <item x="133"/>
        <item x="56"/>
        <item x="62"/>
        <item x="94"/>
        <item x="84"/>
        <item x="7"/>
        <item x="21"/>
        <item x="53"/>
        <item x="85"/>
        <item x="91"/>
        <item x="95"/>
        <item x="4"/>
        <item x="49"/>
        <item x="92"/>
        <item x="76"/>
        <item x="129"/>
        <item x="32"/>
        <item x="57"/>
        <item x="121"/>
        <item x="118"/>
        <item x="58"/>
        <item x="130"/>
        <item x="33"/>
        <item x="125"/>
        <item x="128"/>
        <item x="108"/>
        <item x="70"/>
        <item x="73"/>
        <item x="122"/>
        <item x="35"/>
        <item x="71"/>
        <item x="34"/>
        <item x="12"/>
        <item x="50"/>
        <item x="42"/>
        <item x="5"/>
        <item x="66"/>
        <item x="22"/>
        <item x="43"/>
        <item x="103"/>
        <item x="99"/>
        <item x="100"/>
        <item x="26"/>
        <item x="54"/>
        <item x="23"/>
        <item x="9"/>
        <item x="86"/>
        <item x="36"/>
        <item x="37"/>
        <item x="77"/>
        <item x="111"/>
        <item x="16"/>
        <item x="44"/>
        <item x="24"/>
        <item x="63"/>
        <item x="27"/>
        <item x="13"/>
        <item x="105"/>
        <item x="10"/>
        <item x="1"/>
        <item x="123"/>
        <item x="28"/>
        <item x="72"/>
        <item x="17"/>
        <item x="45"/>
        <item x="93"/>
        <item x="119"/>
        <item t="default"/>
      </items>
    </pivotField>
    <pivotField dataField="1" showAll="0"/>
    <pivotField dataField="1" showAll="0"/>
    <pivotField showAll="0"/>
    <pivotField dataField="1" showAll="0"/>
    <pivotField showAll="0"/>
    <pivotField showAll="0"/>
    <pivotField axis="axisRow" showAll="0">
      <items count="5">
        <item x="0"/>
        <item x="1"/>
        <item x="2"/>
        <item x="3"/>
        <item t="default"/>
      </items>
    </pivotField>
    <pivotField dataField="1" showAll="0"/>
  </pivotFields>
  <rowFields count="2">
    <field x="2"/>
    <field x="10"/>
  </rowFields>
  <rowItems count="46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>
      <x v="2"/>
    </i>
    <i r="1">
      <x/>
    </i>
    <i r="1">
      <x v="1"/>
    </i>
    <i r="1">
      <x v="2"/>
    </i>
    <i r="1">
      <x v="3"/>
    </i>
    <i>
      <x v="3"/>
    </i>
    <i r="1">
      <x/>
    </i>
    <i r="1">
      <x v="1"/>
    </i>
    <i r="1">
      <x v="2"/>
    </i>
    <i r="1">
      <x v="3"/>
    </i>
    <i>
      <x v="4"/>
    </i>
    <i>
      <x v="5"/>
    </i>
    <i r="1">
      <x/>
    </i>
    <i r="1">
      <x v="1"/>
    </i>
    <i r="1">
      <x v="2"/>
    </i>
    <i r="1">
      <x v="3"/>
    </i>
    <i>
      <x v="6"/>
    </i>
    <i r="1">
      <x/>
    </i>
    <i r="1">
      <x v="1"/>
    </i>
    <i r="1">
      <x v="3"/>
    </i>
    <i>
      <x v="7"/>
    </i>
    <i r="1">
      <x/>
    </i>
    <i r="1">
      <x v="1"/>
    </i>
    <i r="1">
      <x v="2"/>
    </i>
    <i r="1">
      <x v="3"/>
    </i>
    <i>
      <x v="8"/>
    </i>
    <i r="1">
      <x/>
    </i>
    <i r="1">
      <x v="1"/>
    </i>
    <i r="1">
      <x v="2"/>
    </i>
    <i r="1">
      <x v="3"/>
    </i>
    <i>
      <x v="9"/>
    </i>
    <i r="1">
      <x/>
    </i>
    <i r="1">
      <x v="1"/>
    </i>
    <i r="1">
      <x v="2"/>
    </i>
    <i r="1">
      <x v="3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Units Sold" fld="4" baseField="0" baseItem="0"/>
    <dataField name="Average of unit_price" fld="5" subtotal="average" baseField="0" baseItem="0"/>
    <dataField name="Sum of Export Value" fld="7" baseField="0" baseItem="0"/>
    <dataField name="Sum of Total Profit" fld="11" baseField="0" baseItem="0"/>
  </dataFields>
  <formats count="13">
    <format dxfId="33">
      <pivotArea dataOnly="0" fieldPosition="0">
        <references count="1">
          <reference field="2" count="1">
            <x v="9"/>
          </reference>
        </references>
      </pivotArea>
    </format>
    <format dxfId="34">
      <pivotArea dataOnly="0" fieldPosition="0">
        <references count="1">
          <reference field="2" count="1">
            <x v="8"/>
          </reference>
        </references>
      </pivotArea>
    </format>
    <format dxfId="35">
      <pivotArea dataOnly="0" fieldPosition="0">
        <references count="1">
          <reference field="2" count="1">
            <x v="7"/>
          </reference>
        </references>
      </pivotArea>
    </format>
    <format dxfId="36">
      <pivotArea dataOnly="0" labelOnly="1" fieldPosition="0">
        <references count="1">
          <reference field="2" count="1">
            <x v="6"/>
          </reference>
        </references>
      </pivotArea>
    </format>
    <format dxfId="37">
      <pivotArea collapsedLevelsAreSubtotals="1" fieldPosition="0">
        <references count="1">
          <reference field="2" count="1">
            <x v="5"/>
          </reference>
        </references>
      </pivotArea>
    </format>
    <format dxfId="38">
      <pivotArea dataOnly="0" labelOnly="1" fieldPosition="0">
        <references count="1">
          <reference field="2" count="1">
            <x v="5"/>
          </reference>
        </references>
      </pivotArea>
    </format>
    <format dxfId="39">
      <pivotArea dataOnly="0" fieldPosition="0">
        <references count="1">
          <reference field="2" count="1">
            <x v="4"/>
          </reference>
        </references>
      </pivotArea>
    </format>
    <format dxfId="40">
      <pivotArea dataOnly="0" fieldPosition="0">
        <references count="1">
          <reference field="2" count="1">
            <x v="3"/>
          </reference>
        </references>
      </pivotArea>
    </format>
    <format dxfId="41">
      <pivotArea collapsedLevelsAreSubtotals="1" fieldPosition="0">
        <references count="1">
          <reference field="2" count="1">
            <x v="2"/>
          </reference>
        </references>
      </pivotArea>
    </format>
    <format dxfId="42">
      <pivotArea dataOnly="0" labelOnly="1" fieldPosition="0">
        <references count="1">
          <reference field="2" count="1">
            <x v="2"/>
          </reference>
        </references>
      </pivotArea>
    </format>
    <format dxfId="43">
      <pivotArea dataOnly="0" fieldPosition="0">
        <references count="1">
          <reference field="2" count="1">
            <x v="1"/>
          </reference>
        </references>
      </pivotArea>
    </format>
    <format dxfId="44">
      <pivotArea dataOnly="0" fieldPosition="0">
        <references count="1">
          <reference field="2" count="1">
            <x v="0"/>
          </reference>
        </references>
      </pivotArea>
    </format>
    <format dxfId="45">
      <pivotArea field="10" dataOnly="0" grandRow="1" axis="axisRow" fieldPosition="1">
        <references count="1">
          <reference field="10" count="0" defaultSubtotal="1" sumSubtotal="1" countASubtotal="1" avgSubtotal="1" maxSubtotal="1" minSubtotal="1" productSubtotal="1" countSubtotal="1" stdDevSubtotal="1" stdDevPSubtotal="1" varSubtotal="1" varPSubtotal="1"/>
        </references>
      </pivotArea>
    </format>
  </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1061E8-BE05-6A4C-984E-25EEC4EDBF50}" name="PivotTable12" cacheId="6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>
  <location ref="P11:T46" firstHeaderRow="0" firstDataRow="1" firstDataCol="1"/>
  <pivotFields count="13">
    <pivotField showAll="0"/>
    <pivotField showAll="0"/>
    <pivotField showAll="0"/>
    <pivotField axis="axisRow" showAll="0">
      <items count="11">
        <item x="9"/>
        <item x="5"/>
        <item sd="0" x="3"/>
        <item x="7"/>
        <item x="0"/>
        <item x="2"/>
        <item sd="0" x="4"/>
        <item x="1"/>
        <item sd="0" x="8"/>
        <item sd="0" x="6"/>
        <item t="default"/>
      </items>
    </pivotField>
    <pivotField showAll="0"/>
    <pivotField dataField="1" showAll="0"/>
    <pivotField dataField="1" showAll="0"/>
    <pivotField showAll="0"/>
    <pivotField dataField="1" showAll="0"/>
    <pivotField showAll="0"/>
    <pivotField showAll="0"/>
    <pivotField axis="axisRow" showAll="0">
      <items count="5">
        <item x="0"/>
        <item x="1"/>
        <item x="2"/>
        <item x="3"/>
        <item t="default"/>
      </items>
    </pivotField>
    <pivotField dataField="1" showAll="0"/>
  </pivotFields>
  <rowFields count="2">
    <field x="3"/>
    <field x="11"/>
  </rowFields>
  <rowItems count="35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>
      <x v="2"/>
    </i>
    <i>
      <x v="3"/>
    </i>
    <i r="1">
      <x/>
    </i>
    <i r="1">
      <x v="1"/>
    </i>
    <i r="1">
      <x v="2"/>
    </i>
    <i r="1">
      <x v="3"/>
    </i>
    <i>
      <x v="4"/>
    </i>
    <i r="1">
      <x/>
    </i>
    <i r="1">
      <x v="1"/>
    </i>
    <i r="1">
      <x v="2"/>
    </i>
    <i r="1">
      <x v="3"/>
    </i>
    <i>
      <x v="5"/>
    </i>
    <i r="1">
      <x/>
    </i>
    <i r="1">
      <x v="1"/>
    </i>
    <i r="1">
      <x v="2"/>
    </i>
    <i r="1">
      <x v="3"/>
    </i>
    <i>
      <x v="6"/>
    </i>
    <i>
      <x v="7"/>
    </i>
    <i r="1">
      <x/>
    </i>
    <i r="1">
      <x v="1"/>
    </i>
    <i r="1">
      <x v="2"/>
    </i>
    <i r="1">
      <x v="3"/>
    </i>
    <i>
      <x v="8"/>
    </i>
    <i>
      <x v="9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Units Sold" fld="5" baseField="0" baseItem="0"/>
    <dataField name="Average of unit_price" fld="6" subtotal="average" baseField="0" baseItem="0"/>
    <dataField name="Sum of Export Value" fld="8" baseField="0" baseItem="0"/>
    <dataField name="Sum of Total Profit" fld="12" baseField="0" baseItem="0"/>
  </dataFields>
  <formats count="13">
    <format dxfId="74">
      <pivotArea collapsedLevelsAreSubtotals="1" fieldPosition="0">
        <references count="1">
          <reference field="3" count="1">
            <x v="9"/>
          </reference>
        </references>
      </pivotArea>
    </format>
    <format dxfId="73">
      <pivotArea dataOnly="0" labelOnly="1" fieldPosition="0">
        <references count="1">
          <reference field="3" count="1">
            <x v="9"/>
          </reference>
        </references>
      </pivotArea>
    </format>
    <format dxfId="72">
      <pivotArea dataOnly="0" fieldPosition="0">
        <references count="1">
          <reference field="3" count="1">
            <x v="8"/>
          </reference>
        </references>
      </pivotArea>
    </format>
    <format dxfId="71">
      <pivotArea collapsedLevelsAreSubtotals="1" fieldPosition="0">
        <references count="1">
          <reference field="3" count="1">
            <x v="7"/>
          </reference>
        </references>
      </pivotArea>
    </format>
    <format dxfId="70">
      <pivotArea dataOnly="0" labelOnly="1" fieldPosition="0">
        <references count="1">
          <reference field="3" count="1">
            <x v="7"/>
          </reference>
        </references>
      </pivotArea>
    </format>
    <format dxfId="69">
      <pivotArea collapsedLevelsAreSubtotals="1" fieldPosition="0">
        <references count="1">
          <reference field="3" count="1">
            <x v="6"/>
          </reference>
        </references>
      </pivotArea>
    </format>
    <format dxfId="68">
      <pivotArea dataOnly="0" labelOnly="1" fieldPosition="0">
        <references count="1">
          <reference field="3" count="1">
            <x v="6"/>
          </reference>
        </references>
      </pivotArea>
    </format>
    <format dxfId="67">
      <pivotArea dataOnly="0" fieldPosition="0">
        <references count="1">
          <reference field="3" count="1">
            <x v="5"/>
          </reference>
        </references>
      </pivotArea>
    </format>
    <format dxfId="66">
      <pivotArea dataOnly="0" fieldPosition="0">
        <references count="1">
          <reference field="3" count="1">
            <x v="4"/>
          </reference>
        </references>
      </pivotArea>
    </format>
    <format dxfId="65">
      <pivotArea dataOnly="0" fieldPosition="0">
        <references count="1">
          <reference field="3" count="1">
            <x v="3"/>
          </reference>
        </references>
      </pivotArea>
    </format>
    <format dxfId="64">
      <pivotArea dataOnly="0" fieldPosition="0">
        <references count="1">
          <reference field="3" count="1">
            <x v="2"/>
          </reference>
        </references>
      </pivotArea>
    </format>
    <format dxfId="63">
      <pivotArea dataOnly="0" fieldPosition="0">
        <references count="1">
          <reference field="3" count="1">
            <x v="1"/>
          </reference>
        </references>
      </pivotArea>
    </format>
    <format dxfId="62">
      <pivotArea dataOnly="0" fieldPosition="0">
        <references count="1">
          <reference field="3" count="1">
            <x v="0"/>
          </reference>
        </references>
      </pivotArea>
    </format>
  </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43F27D0-823E-C645-B88C-03AA4147D9C9}" name="PivotTable13" cacheId="6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>
  <location ref="P12:T48" firstHeaderRow="0" firstDataRow="1" firstDataCol="1"/>
  <pivotFields count="12">
    <pivotField showAll="0"/>
    <pivotField showAll="0"/>
    <pivotField axis="axisRow" showAll="0">
      <items count="11">
        <item x="7"/>
        <item x="8"/>
        <item x="4"/>
        <item x="6"/>
        <item sd="0" x="2"/>
        <item x="9"/>
        <item sd="0" x="3"/>
        <item sd="0" x="1"/>
        <item x="0"/>
        <item x="5"/>
        <item t="default"/>
      </items>
    </pivotField>
    <pivotField showAll="0"/>
    <pivotField dataField="1" showAll="0"/>
    <pivotField dataField="1" showAll="0"/>
    <pivotField showAll="0"/>
    <pivotField dataField="1" showAll="0"/>
    <pivotField showAll="0"/>
    <pivotField showAll="0"/>
    <pivotField axis="axisRow" showAll="0">
      <items count="5">
        <item x="0"/>
        <item x="1"/>
        <item x="2"/>
        <item x="3"/>
        <item t="default"/>
      </items>
    </pivotField>
    <pivotField dataField="1" showAll="0"/>
  </pivotFields>
  <rowFields count="2">
    <field x="2"/>
    <field x="10"/>
  </rowFields>
  <rowItems count="36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>
      <x v="2"/>
    </i>
    <i r="1">
      <x/>
    </i>
    <i r="1">
      <x v="1"/>
    </i>
    <i r="1">
      <x v="3"/>
    </i>
    <i>
      <x v="3"/>
    </i>
    <i r="1">
      <x/>
    </i>
    <i r="1">
      <x v="1"/>
    </i>
    <i r="1">
      <x v="2"/>
    </i>
    <i r="1">
      <x v="3"/>
    </i>
    <i>
      <x v="4"/>
    </i>
    <i>
      <x v="5"/>
    </i>
    <i r="1">
      <x/>
    </i>
    <i r="1">
      <x v="1"/>
    </i>
    <i r="1">
      <x v="3"/>
    </i>
    <i>
      <x v="6"/>
    </i>
    <i>
      <x v="7"/>
    </i>
    <i>
      <x v="8"/>
    </i>
    <i r="1">
      <x/>
    </i>
    <i r="1">
      <x v="1"/>
    </i>
    <i r="1">
      <x v="2"/>
    </i>
    <i r="1">
      <x v="3"/>
    </i>
    <i>
      <x v="9"/>
    </i>
    <i r="1">
      <x/>
    </i>
    <i r="1">
      <x v="1"/>
    </i>
    <i r="1">
      <x v="3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Units Sold" fld="4" baseField="0" baseItem="0"/>
    <dataField name="Average of unit_price" fld="5" subtotal="average" baseField="0" baseItem="0"/>
    <dataField name="Sum of Export Value" fld="7" baseField="0" baseItem="0"/>
    <dataField name="Sum of Total profit" fld="11" baseField="0" baseItem="0"/>
  </dataFields>
  <formats count="8">
    <format dxfId="61">
      <pivotArea dataOnly="0" fieldPosition="0">
        <references count="1">
          <reference field="2" count="1">
            <x v="0"/>
          </reference>
        </references>
      </pivotArea>
    </format>
    <format dxfId="60">
      <pivotArea dataOnly="0" fieldPosition="0">
        <references count="1">
          <reference field="2" count="1">
            <x v="1"/>
          </reference>
        </references>
      </pivotArea>
    </format>
    <format dxfId="59">
      <pivotArea dataOnly="0" fieldPosition="0">
        <references count="1">
          <reference field="2" count="1">
            <x v="2"/>
          </reference>
        </references>
      </pivotArea>
    </format>
    <format dxfId="58">
      <pivotArea dataOnly="0" fieldPosition="0">
        <references count="1">
          <reference field="2" count="1">
            <x v="3"/>
          </reference>
        </references>
      </pivotArea>
    </format>
    <format dxfId="57">
      <pivotArea dataOnly="0" fieldPosition="0">
        <references count="1">
          <reference field="2" count="1">
            <x v="4"/>
          </reference>
        </references>
      </pivotArea>
    </format>
    <format dxfId="56">
      <pivotArea dataOnly="0" fieldPosition="0">
        <references count="1">
          <reference field="2" count="1">
            <x v="6"/>
          </reference>
        </references>
      </pivotArea>
    </format>
    <format dxfId="55">
      <pivotArea dataOnly="0" fieldPosition="0">
        <references count="1">
          <reference field="2" count="1">
            <x v="7"/>
          </reference>
        </references>
      </pivotArea>
    </format>
    <format dxfId="54">
      <pivotArea dataOnly="0" fieldPosition="0">
        <references count="1">
          <reference field="2" count="1">
            <x v="9"/>
          </reference>
        </references>
      </pivotArea>
    </format>
  </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C23EF0-9131-D44F-B5DA-BEE3AB0DF870}" name="PivotTable14" cacheId="7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>
  <location ref="P12:T46" firstHeaderRow="0" firstDataRow="1" firstDataCol="1"/>
  <pivotFields count="12">
    <pivotField showAll="0"/>
    <pivotField showAll="0"/>
    <pivotField axis="axisRow" showAll="0">
      <items count="11">
        <item x="5"/>
        <item x="4"/>
        <item sd="0" x="2"/>
        <item x="9"/>
        <item x="8"/>
        <item x="0"/>
        <item sd="0" x="1"/>
        <item x="3"/>
        <item sd="0" x="7"/>
        <item x="6"/>
        <item t="default"/>
      </items>
    </pivotField>
    <pivotField showAll="0"/>
    <pivotField dataField="1" showAll="0"/>
    <pivotField dataField="1" showAll="0"/>
    <pivotField showAll="0"/>
    <pivotField dataField="1" showAll="0"/>
    <pivotField showAll="0"/>
    <pivotField showAll="0"/>
    <pivotField axis="axisRow" showAll="0">
      <items count="5">
        <item x="0"/>
        <item x="1"/>
        <item x="2"/>
        <item x="3"/>
        <item t="default"/>
      </items>
    </pivotField>
    <pivotField dataField="1" showAll="0"/>
  </pivotFields>
  <rowFields count="2">
    <field x="2"/>
    <field x="10"/>
  </rowFields>
  <rowItems count="34">
    <i>
      <x/>
    </i>
    <i r="1">
      <x/>
    </i>
    <i r="1">
      <x v="1"/>
    </i>
    <i r="1">
      <x v="2"/>
    </i>
    <i r="1">
      <x v="3"/>
    </i>
    <i>
      <x v="1"/>
    </i>
    <i r="1">
      <x/>
    </i>
    <i r="1">
      <x v="2"/>
    </i>
    <i r="1">
      <x v="3"/>
    </i>
    <i>
      <x v="2"/>
    </i>
    <i>
      <x v="3"/>
    </i>
    <i r="1">
      <x v="1"/>
    </i>
    <i r="1">
      <x v="3"/>
    </i>
    <i>
      <x v="4"/>
    </i>
    <i r="1">
      <x v="1"/>
    </i>
    <i r="1">
      <x v="2"/>
    </i>
    <i r="1">
      <x v="3"/>
    </i>
    <i>
      <x v="5"/>
    </i>
    <i r="1">
      <x/>
    </i>
    <i r="1">
      <x v="1"/>
    </i>
    <i r="1">
      <x v="3"/>
    </i>
    <i>
      <x v="6"/>
    </i>
    <i>
      <x v="7"/>
    </i>
    <i r="1">
      <x/>
    </i>
    <i r="1">
      <x v="1"/>
    </i>
    <i r="1">
      <x v="2"/>
    </i>
    <i r="1">
      <x v="3"/>
    </i>
    <i>
      <x v="8"/>
    </i>
    <i>
      <x v="9"/>
    </i>
    <i r="1">
      <x/>
    </i>
    <i r="1">
      <x v="1"/>
    </i>
    <i r="1">
      <x v="2"/>
    </i>
    <i r="1">
      <x v="3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Units Sold" fld="4" baseField="0" baseItem="0"/>
    <dataField name="Sum of unit_price" fld="5" baseField="0" baseItem="0"/>
    <dataField name="Sum of Export Value" fld="7" baseField="0" baseItem="0"/>
    <dataField name="Sum of Total profit" fld="11" baseField="0" baseItem="0"/>
  </dataFields>
  <formats count="8">
    <format dxfId="53">
      <pivotArea dataOnly="0" fieldPosition="0">
        <references count="1">
          <reference field="2" count="1">
            <x v="0"/>
          </reference>
        </references>
      </pivotArea>
    </format>
    <format dxfId="52">
      <pivotArea dataOnly="0" fieldPosition="0">
        <references count="1">
          <reference field="2" count="1">
            <x v="1"/>
          </reference>
        </references>
      </pivotArea>
    </format>
    <format dxfId="51">
      <pivotArea dataOnly="0" fieldPosition="0">
        <references count="1">
          <reference field="2" count="1">
            <x v="2"/>
          </reference>
        </references>
      </pivotArea>
    </format>
    <format dxfId="50">
      <pivotArea dataOnly="0" fieldPosition="0">
        <references count="1">
          <reference field="2" count="1">
            <x v="4"/>
          </reference>
        </references>
      </pivotArea>
    </format>
    <format dxfId="49">
      <pivotArea dataOnly="0" fieldPosition="0">
        <references count="2">
          <reference field="2" count="1">
            <x v="5"/>
          </reference>
          <reference field="10" count="0" defaultSubtotal="1" sumSubtotal="1" countASubtotal="1" avgSubtotal="1" maxSubtotal="1" minSubtotal="1" productSubtotal="1" countSubtotal="1" stdDevSubtotal="1" stdDevPSubtotal="1" varSubtotal="1" varPSubtotal="1"/>
        </references>
      </pivotArea>
    </format>
    <format dxfId="48">
      <pivotArea dataOnly="0" fieldPosition="0">
        <references count="1">
          <reference field="2" count="1">
            <x v="6"/>
          </reference>
        </references>
      </pivotArea>
    </format>
    <format dxfId="47">
      <pivotArea dataOnly="0" fieldPosition="0">
        <references count="2">
          <reference field="2" count="1">
            <x v="8"/>
          </reference>
          <reference field="10" count="0" defaultSubtotal="1" sumSubtotal="1" countASubtotal="1" avgSubtotal="1" maxSubtotal="1" minSubtotal="1" productSubtotal="1" countSubtotal="1" stdDevSubtotal="1" stdDevPSubtotal="1" varSubtotal="1" varPSubtotal="1"/>
        </references>
      </pivotArea>
    </format>
    <format dxfId="46">
      <pivotArea dataOnly="0" fieldPosition="0">
        <references count="1">
          <reference field="2" count="2">
            <x v="8"/>
            <x v="9"/>
          </reference>
        </references>
      </pivotArea>
    </format>
  </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6B820C-1DFA-AD49-98E3-DC5FD4F44F09}" name="PivotTable20" cacheId="10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>
  <location ref="P12:T50" firstHeaderRow="0" firstDataRow="1" firstDataCol="1"/>
  <pivotFields count="12">
    <pivotField showAll="0"/>
    <pivotField showAll="0"/>
    <pivotField axis="axisRow" showAll="0">
      <items count="11">
        <item sd="0" x="7"/>
        <item x="6"/>
        <item sd="0" x="9"/>
        <item x="8"/>
        <item sd="0" x="4"/>
        <item x="0"/>
        <item x="2"/>
        <item x="3"/>
        <item x="1"/>
        <item x="5"/>
        <item t="default"/>
      </items>
    </pivotField>
    <pivotField showAll="0"/>
    <pivotField dataField="1" showAll="0"/>
    <pivotField dataField="1" showAll="0">
      <items count="123">
        <item x="47"/>
        <item x="30"/>
        <item x="42"/>
        <item x="65"/>
        <item x="3"/>
        <item x="98"/>
        <item x="88"/>
        <item x="41"/>
        <item x="71"/>
        <item x="19"/>
        <item x="9"/>
        <item x="7"/>
        <item x="87"/>
        <item x="109"/>
        <item x="5"/>
        <item x="118"/>
        <item x="114"/>
        <item x="84"/>
        <item x="102"/>
        <item x="83"/>
        <item x="22"/>
        <item x="99"/>
        <item x="70"/>
        <item x="2"/>
        <item x="26"/>
        <item x="21"/>
        <item x="48"/>
        <item x="37"/>
        <item x="43"/>
        <item x="101"/>
        <item x="76"/>
        <item x="73"/>
        <item x="59"/>
        <item x="10"/>
        <item x="17"/>
        <item x="68"/>
        <item x="39"/>
        <item x="20"/>
        <item x="81"/>
        <item x="28"/>
        <item x="12"/>
        <item x="97"/>
        <item x="93"/>
        <item x="66"/>
        <item x="51"/>
        <item x="61"/>
        <item x="106"/>
        <item x="32"/>
        <item x="13"/>
        <item x="77"/>
        <item x="69"/>
        <item x="85"/>
        <item x="103"/>
        <item x="72"/>
        <item x="14"/>
        <item x="64"/>
        <item x="75"/>
        <item x="108"/>
        <item x="79"/>
        <item x="1"/>
        <item x="6"/>
        <item x="82"/>
        <item x="54"/>
        <item x="100"/>
        <item x="58"/>
        <item x="25"/>
        <item x="55"/>
        <item x="8"/>
        <item x="24"/>
        <item x="91"/>
        <item x="95"/>
        <item x="18"/>
        <item x="38"/>
        <item x="62"/>
        <item x="90"/>
        <item x="31"/>
        <item x="104"/>
        <item x="4"/>
        <item x="44"/>
        <item x="16"/>
        <item x="105"/>
        <item x="94"/>
        <item x="34"/>
        <item x="46"/>
        <item x="111"/>
        <item x="67"/>
        <item x="92"/>
        <item x="40"/>
        <item x="36"/>
        <item x="121"/>
        <item x="112"/>
        <item x="23"/>
        <item x="89"/>
        <item x="60"/>
        <item x="120"/>
        <item x="117"/>
        <item x="113"/>
        <item x="50"/>
        <item x="52"/>
        <item x="86"/>
        <item x="119"/>
        <item x="45"/>
        <item x="63"/>
        <item x="74"/>
        <item x="107"/>
        <item x="53"/>
        <item x="56"/>
        <item x="116"/>
        <item x="27"/>
        <item x="80"/>
        <item x="15"/>
        <item x="35"/>
        <item x="110"/>
        <item x="96"/>
        <item x="49"/>
        <item x="115"/>
        <item x="57"/>
        <item x="11"/>
        <item x="33"/>
        <item x="29"/>
        <item x="78"/>
        <item x="0"/>
        <item t="default"/>
      </items>
    </pivotField>
    <pivotField showAll="0"/>
    <pivotField dataField="1" showAll="0"/>
    <pivotField showAll="0"/>
    <pivotField showAll="0"/>
    <pivotField axis="axisRow" showAll="0">
      <items count="5">
        <item x="0"/>
        <item x="1"/>
        <item x="2"/>
        <item x="3"/>
        <item t="default"/>
      </items>
    </pivotField>
    <pivotField dataField="1" showAll="0"/>
  </pivotFields>
  <rowFields count="2">
    <field x="2"/>
    <field x="10"/>
  </rowFields>
  <rowItems count="38">
    <i>
      <x/>
    </i>
    <i>
      <x v="1"/>
    </i>
    <i r="1">
      <x/>
    </i>
    <i r="1">
      <x v="1"/>
    </i>
    <i r="1">
      <x v="2"/>
    </i>
    <i r="1">
      <x v="3"/>
    </i>
    <i>
      <x v="2"/>
    </i>
    <i>
      <x v="3"/>
    </i>
    <i r="1">
      <x/>
    </i>
    <i r="1">
      <x v="1"/>
    </i>
    <i r="1">
      <x v="2"/>
    </i>
    <i r="1">
      <x v="3"/>
    </i>
    <i>
      <x v="4"/>
    </i>
    <i>
      <x v="5"/>
    </i>
    <i r="1">
      <x/>
    </i>
    <i r="1">
      <x v="1"/>
    </i>
    <i r="1">
      <x v="2"/>
    </i>
    <i r="1">
      <x v="3"/>
    </i>
    <i>
      <x v="6"/>
    </i>
    <i r="1">
      <x/>
    </i>
    <i r="1">
      <x v="1"/>
    </i>
    <i r="1">
      <x v="2"/>
    </i>
    <i r="1">
      <x v="3"/>
    </i>
    <i>
      <x v="7"/>
    </i>
    <i r="1">
      <x/>
    </i>
    <i r="1">
      <x v="1"/>
    </i>
    <i r="1">
      <x v="3"/>
    </i>
    <i>
      <x v="8"/>
    </i>
    <i r="1">
      <x/>
    </i>
    <i r="1">
      <x v="1"/>
    </i>
    <i r="1">
      <x v="2"/>
    </i>
    <i r="1">
      <x v="3"/>
    </i>
    <i>
      <x v="9"/>
    </i>
    <i r="1">
      <x/>
    </i>
    <i r="1">
      <x v="1"/>
    </i>
    <i r="1">
      <x v="2"/>
    </i>
    <i r="1">
      <x v="3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Units Sold" fld="4" baseField="0" baseItem="0"/>
    <dataField name="Sum of unit_price" fld="5" baseField="0" baseItem="0"/>
    <dataField name="Sum of Export Value" fld="7" baseField="0" baseItem="0"/>
    <dataField name="Sum of Total Profit" fld="11" baseField="0" baseItem="0"/>
  </dataFields>
  <formats count="11">
    <format dxfId="32">
      <pivotArea dataOnly="0" fieldPosition="0">
        <references count="1">
          <reference field="2" count="1">
            <x v="0"/>
          </reference>
        </references>
      </pivotArea>
    </format>
    <format dxfId="31">
      <pivotArea dataOnly="0" fieldPosition="0">
        <references count="1">
          <reference field="2" count="2">
            <x v="2"/>
            <x v="3"/>
          </reference>
        </references>
      </pivotArea>
    </format>
    <format dxfId="30">
      <pivotArea dataOnly="0" fieldPosition="0">
        <references count="1">
          <reference field="2" count="1">
            <x v="4"/>
          </reference>
        </references>
      </pivotArea>
    </format>
    <format dxfId="29">
      <pivotArea collapsedLevelsAreSubtotals="1" fieldPosition="0">
        <references count="1">
          <reference field="2" count="1">
            <x v="6"/>
          </reference>
        </references>
      </pivotArea>
    </format>
    <format dxfId="28">
      <pivotArea dataOnly="0" labelOnly="1" fieldPosition="0">
        <references count="1">
          <reference field="2" count="1">
            <x v="6"/>
          </reference>
        </references>
      </pivotArea>
    </format>
    <format dxfId="27">
      <pivotArea collapsedLevelsAreSubtotals="1" fieldPosition="0">
        <references count="1">
          <reference field="2" count="1">
            <x v="7"/>
          </reference>
        </references>
      </pivotArea>
    </format>
    <format dxfId="26">
      <pivotArea dataOnly="0" labelOnly="1" fieldPosition="0">
        <references count="1">
          <reference field="2" count="1">
            <x v="7"/>
          </reference>
        </references>
      </pivotArea>
    </format>
    <format dxfId="25">
      <pivotArea collapsedLevelsAreSubtotals="1" fieldPosition="0">
        <references count="1">
          <reference field="2" count="1">
            <x v="8"/>
          </reference>
        </references>
      </pivotArea>
    </format>
    <format dxfId="24">
      <pivotArea dataOnly="0" labelOnly="1" fieldPosition="0">
        <references count="1">
          <reference field="2" count="1">
            <x v="8"/>
          </reference>
        </references>
      </pivotArea>
    </format>
    <format dxfId="23">
      <pivotArea collapsedLevelsAreSubtotals="1" fieldPosition="0">
        <references count="1">
          <reference field="2" count="1">
            <x v="9"/>
          </reference>
        </references>
      </pivotArea>
    </format>
    <format dxfId="22">
      <pivotArea dataOnly="0" labelOnly="1" fieldPosition="0">
        <references count="1">
          <reference field="2" count="1">
            <x v="9"/>
          </reference>
        </references>
      </pivotArea>
    </format>
  </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4231E0C-037E-5C47-A2E9-A46DD476D892}" name="PivotTable21" cacheId="1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>
  <location ref="P12:T59" firstHeaderRow="0" firstDataRow="1" firstDataCol="1"/>
  <pivotFields count="12">
    <pivotField showAll="0"/>
    <pivotField showAll="0"/>
    <pivotField axis="axisRow" showAll="0">
      <items count="11">
        <item sd="0" x="3"/>
        <item x="2"/>
        <item x="5"/>
        <item x="8"/>
        <item x="0"/>
        <item x="6"/>
        <item x="1"/>
        <item x="7"/>
        <item x="4"/>
        <item x="9"/>
        <item t="default"/>
      </items>
    </pivotField>
    <pivotField showAll="0"/>
    <pivotField dataField="1" showAll="0"/>
    <pivotField dataField="1" showAll="0"/>
    <pivotField showAll="0"/>
    <pivotField dataField="1" showAll="0"/>
    <pivotField showAll="0"/>
    <pivotField showAll="0"/>
    <pivotField axis="axisRow" showAll="0">
      <items count="5">
        <item x="0"/>
        <item x="1"/>
        <item x="2"/>
        <item x="3"/>
        <item t="default"/>
      </items>
    </pivotField>
    <pivotField dataField="1" showAll="0"/>
  </pivotFields>
  <rowFields count="2">
    <field x="2"/>
    <field x="10"/>
  </rowFields>
  <rowItems count="47">
    <i>
      <x/>
    </i>
    <i>
      <x v="1"/>
    </i>
    <i r="1">
      <x/>
    </i>
    <i r="1">
      <x v="1"/>
    </i>
    <i r="1">
      <x v="2"/>
    </i>
    <i r="1">
      <x v="3"/>
    </i>
    <i>
      <x v="2"/>
    </i>
    <i r="1">
      <x/>
    </i>
    <i r="1">
      <x v="1"/>
    </i>
    <i r="1">
      <x v="2"/>
    </i>
    <i r="1">
      <x v="3"/>
    </i>
    <i>
      <x v="3"/>
    </i>
    <i r="1">
      <x/>
    </i>
    <i r="1">
      <x v="1"/>
    </i>
    <i r="1">
      <x v="2"/>
    </i>
    <i r="1">
      <x v="3"/>
    </i>
    <i>
      <x v="4"/>
    </i>
    <i r="1">
      <x/>
    </i>
    <i r="1">
      <x v="1"/>
    </i>
    <i r="1">
      <x v="2"/>
    </i>
    <i r="1">
      <x v="3"/>
    </i>
    <i>
      <x v="5"/>
    </i>
    <i r="1">
      <x/>
    </i>
    <i r="1">
      <x v="1"/>
    </i>
    <i r="1">
      <x v="2"/>
    </i>
    <i r="1">
      <x v="3"/>
    </i>
    <i>
      <x v="6"/>
    </i>
    <i r="1">
      <x/>
    </i>
    <i r="1">
      <x v="1"/>
    </i>
    <i r="1">
      <x v="2"/>
    </i>
    <i r="1">
      <x v="3"/>
    </i>
    <i>
      <x v="7"/>
    </i>
    <i r="1">
      <x/>
    </i>
    <i r="1">
      <x v="1"/>
    </i>
    <i r="1">
      <x v="2"/>
    </i>
    <i r="1">
      <x v="3"/>
    </i>
    <i>
      <x v="8"/>
    </i>
    <i r="1">
      <x/>
    </i>
    <i r="1">
      <x v="1"/>
    </i>
    <i r="1">
      <x v="2"/>
    </i>
    <i r="1">
      <x v="3"/>
    </i>
    <i>
      <x v="9"/>
    </i>
    <i r="1">
      <x/>
    </i>
    <i r="1">
      <x v="1"/>
    </i>
    <i r="1">
      <x v="2"/>
    </i>
    <i r="1">
      <x v="3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Units Sold" fld="4" baseField="0" baseItem="0"/>
    <dataField name="Average of unit_price" fld="5" subtotal="average" baseField="0" baseItem="0"/>
    <dataField name="Sum of Export Value" fld="7" baseField="0" baseItem="0"/>
    <dataField name="Sum of Total Profit" fld="11" baseField="0" baseItem="0"/>
  </dataFields>
  <formats count="10">
    <format dxfId="21">
      <pivotArea dataOnly="0" fieldPosition="0">
        <references count="1">
          <reference field="2" count="2">
            <x v="0"/>
            <x v="1"/>
          </reference>
        </references>
      </pivotArea>
    </format>
    <format dxfId="20">
      <pivotArea collapsedLevelsAreSubtotals="1" fieldPosition="0">
        <references count="1">
          <reference field="2" count="1">
            <x v="2"/>
          </reference>
        </references>
      </pivotArea>
    </format>
    <format dxfId="19">
      <pivotArea collapsedLevelsAreSubtotals="1" fieldPosition="0">
        <references count="1">
          <reference field="2" count="1">
            <x v="3"/>
          </reference>
        </references>
      </pivotArea>
    </format>
    <format dxfId="18">
      <pivotArea collapsedLevelsAreSubtotals="1" fieldPosition="0">
        <references count="1">
          <reference field="2" count="1">
            <x v="4"/>
          </reference>
        </references>
      </pivotArea>
    </format>
    <format dxfId="17">
      <pivotArea collapsedLevelsAreSubtotals="1" fieldPosition="0">
        <references count="1">
          <reference field="2" count="1">
            <x v="5"/>
          </reference>
        </references>
      </pivotArea>
    </format>
    <format dxfId="16">
      <pivotArea collapsedLevelsAreSubtotals="1" fieldPosition="0">
        <references count="1">
          <reference field="2" count="1">
            <x v="6"/>
          </reference>
        </references>
      </pivotArea>
    </format>
    <format dxfId="15">
      <pivotArea collapsedLevelsAreSubtotals="1" fieldPosition="0">
        <references count="1">
          <reference field="2" count="1">
            <x v="7"/>
          </reference>
        </references>
      </pivotArea>
    </format>
    <format dxfId="14">
      <pivotArea collapsedLevelsAreSubtotals="1" fieldPosition="0">
        <references count="1">
          <reference field="2" count="1">
            <x v="8"/>
          </reference>
        </references>
      </pivotArea>
    </format>
    <format dxfId="13">
      <pivotArea collapsedLevelsAreSubtotals="1" fieldPosition="0">
        <references count="1">
          <reference field="2" count="1">
            <x v="9"/>
          </reference>
        </references>
      </pivotArea>
    </format>
    <format dxfId="12">
      <pivotArea dataOnly="0" labelOnly="1" fieldPosition="0">
        <references count="1">
          <reference field="2" count="8">
            <x v="2"/>
            <x v="3"/>
            <x v="4"/>
            <x v="5"/>
            <x v="6"/>
            <x v="7"/>
            <x v="8"/>
            <x v="9"/>
          </reference>
        </references>
      </pivotArea>
    </format>
  </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A3C7F1-6C75-FC4D-B1D4-43A801702B75}" name="PivotTable22" cacheId="1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>
  <location ref="P13:T24" firstHeaderRow="0" firstDataRow="1" firstDataCol="1"/>
  <pivotFields count="12">
    <pivotField showAll="0"/>
    <pivotField showAll="0"/>
    <pivotField axis="axisRow" showAll="0">
      <items count="11">
        <item sd="0" x="0"/>
        <item sd="0" x="1"/>
        <item sd="0" x="2"/>
        <item sd="0" x="9"/>
        <item sd="0" x="8"/>
        <item sd="0" x="7"/>
        <item sd="0" x="5"/>
        <item sd="0" x="6"/>
        <item sd="0" x="4"/>
        <item sd="0" x="3"/>
        <item t="default"/>
      </items>
    </pivotField>
    <pivotField showAll="0"/>
    <pivotField dataField="1" showAll="0">
      <items count="120">
        <item x="99"/>
        <item x="28"/>
        <item x="80"/>
        <item x="74"/>
        <item x="15"/>
        <item x="98"/>
        <item x="42"/>
        <item x="37"/>
        <item x="59"/>
        <item x="21"/>
        <item x="66"/>
        <item x="79"/>
        <item x="108"/>
        <item x="43"/>
        <item x="29"/>
        <item x="63"/>
        <item x="82"/>
        <item x="3"/>
        <item x="105"/>
        <item x="113"/>
        <item x="118"/>
        <item x="65"/>
        <item x="62"/>
        <item x="41"/>
        <item x="89"/>
        <item x="69"/>
        <item x="84"/>
        <item x="30"/>
        <item x="73"/>
        <item x="94"/>
        <item x="20"/>
        <item x="72"/>
        <item x="14"/>
        <item x="0"/>
        <item x="44"/>
        <item x="53"/>
        <item x="40"/>
        <item x="56"/>
        <item x="24"/>
        <item x="81"/>
        <item x="67"/>
        <item x="49"/>
        <item x="27"/>
        <item x="23"/>
        <item x="109"/>
        <item x="46"/>
        <item x="34"/>
        <item x="87"/>
        <item x="96"/>
        <item x="25"/>
        <item x="61"/>
        <item x="111"/>
        <item x="83"/>
        <item x="52"/>
        <item x="117"/>
        <item x="101"/>
        <item x="115"/>
        <item x="10"/>
        <item x="6"/>
        <item x="106"/>
        <item x="22"/>
        <item x="2"/>
        <item x="35"/>
        <item x="100"/>
        <item x="8"/>
        <item x="114"/>
        <item x="92"/>
        <item x="33"/>
        <item x="76"/>
        <item x="60"/>
        <item x="93"/>
        <item x="1"/>
        <item x="77"/>
        <item x="64"/>
        <item x="86"/>
        <item x="70"/>
        <item x="45"/>
        <item x="7"/>
        <item x="31"/>
        <item x="13"/>
        <item x="11"/>
        <item x="54"/>
        <item x="32"/>
        <item x="26"/>
        <item x="5"/>
        <item x="97"/>
        <item x="78"/>
        <item x="95"/>
        <item x="50"/>
        <item x="88"/>
        <item x="103"/>
        <item x="102"/>
        <item x="110"/>
        <item x="57"/>
        <item x="12"/>
        <item x="58"/>
        <item x="38"/>
        <item x="85"/>
        <item x="39"/>
        <item x="116"/>
        <item x="48"/>
        <item x="19"/>
        <item x="51"/>
        <item x="47"/>
        <item x="17"/>
        <item x="68"/>
        <item x="55"/>
        <item x="104"/>
        <item x="75"/>
        <item x="18"/>
        <item x="9"/>
        <item x="4"/>
        <item x="16"/>
        <item x="91"/>
        <item x="107"/>
        <item x="36"/>
        <item x="112"/>
        <item x="71"/>
        <item x="90"/>
        <item t="default"/>
      </items>
    </pivotField>
    <pivotField dataField="1" showAll="0"/>
    <pivotField showAll="0"/>
    <pivotField dataField="1" showAll="0"/>
    <pivotField showAll="0"/>
    <pivotField showAll="0"/>
    <pivotField axis="axisRow" showAll="0">
      <items count="5">
        <item x="0"/>
        <item x="1"/>
        <item x="2"/>
        <item x="3"/>
        <item t="default"/>
      </items>
    </pivotField>
    <pivotField dataField="1" showAll="0"/>
  </pivotFields>
  <rowFields count="2">
    <field x="2"/>
    <field x="1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Units Sold" fld="4" baseField="0" baseItem="0"/>
    <dataField name="Sum of unit_price" fld="5" baseField="0" baseItem="0"/>
    <dataField name="Sum of Export Value" fld="7" baseField="0" baseItem="0"/>
    <dataField name="Sum of Total Profit" fld="11" baseField="0" baseItem="0"/>
  </dataFields>
  <formats count="1">
    <format dxfId="11">
      <pivotArea dataOnly="0" fieldPosition="0">
        <references count="1">
          <reference field="2" count="0"/>
        </references>
      </pivotArea>
    </format>
  </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E48FA1-F309-1A44-95E4-9A5B68EBB7A1}" name="PivotTable23" cacheId="12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>
  <location ref="P13:T28" firstHeaderRow="0" firstDataRow="1" firstDataCol="1"/>
  <pivotFields count="12">
    <pivotField showAll="0"/>
    <pivotField showAll="0"/>
    <pivotField axis="axisRow" showAll="0">
      <items count="11">
        <item x="3"/>
        <item sd="0" x="8"/>
        <item sd="0" x="1"/>
        <item sd="0" x="0"/>
        <item sd="0" x="7"/>
        <item sd="0" x="4"/>
        <item sd="0" x="9"/>
        <item sd="0" x="6"/>
        <item sd="0" x="2"/>
        <item sd="0" x="5"/>
        <item t="default"/>
      </items>
    </pivotField>
    <pivotField showAll="0"/>
    <pivotField dataField="1" showAll="0"/>
    <pivotField dataField="1" showAll="0"/>
    <pivotField showAll="0"/>
    <pivotField dataField="1" showAll="0"/>
    <pivotField showAll="0"/>
    <pivotField showAll="0"/>
    <pivotField axis="axisRow" showAll="0">
      <items count="5">
        <item x="0"/>
        <item x="1"/>
        <item x="2"/>
        <item x="3"/>
        <item t="default"/>
      </items>
    </pivotField>
    <pivotField dataField="1" showAll="0"/>
  </pivotFields>
  <rowFields count="2">
    <field x="2"/>
    <field x="10"/>
  </rowFields>
  <rowItems count="15">
    <i>
      <x/>
    </i>
    <i r="1">
      <x/>
    </i>
    <i r="1">
      <x v="1"/>
    </i>
    <i r="1">
      <x v="2"/>
    </i>
    <i r="1">
      <x v="3"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Units Sold" fld="4" baseField="0" baseItem="0"/>
    <dataField name="Average of unit_price" fld="5" subtotal="average" baseField="0" baseItem="0"/>
    <dataField name="Sum of Export Value" fld="7" baseField="0" baseItem="0"/>
    <dataField name="Sum of Total Profit" fld="11" baseField="0" baseItem="0"/>
  </dataFields>
  <formats count="1">
    <format dxfId="10">
      <pivotArea dataOnly="0" fieldPosition="0">
        <references count="1">
          <reference field="2" count="0"/>
        </references>
      </pivotArea>
    </format>
  </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3EFEB7-EF91-B04B-A6EA-EAF2C398EF6A}" name="PivotTable1" cacheId="17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2:F8" firstHeaderRow="1" firstDataRow="2" firstDataCol="1"/>
  <pivotFields count="12">
    <pivotField compact="0" outline="0" showAll="0"/>
    <pivotField compact="0" outline="0" showAll="0"/>
    <pivotField compact="0" outline="0" showAll="0"/>
    <pivotField compact="0" numFmtId="49" outline="0" showAll="0"/>
    <pivotField compact="0" outline="0" showAll="0"/>
    <pivotField compact="0" outline="0" showAll="0"/>
    <pivotField dataField="1" compact="0" outline="0" showAll="0"/>
    <pivotField compact="0" outline="0" showAll="0"/>
    <pivotField axis="axisCol" compact="0" outline="0" showAll="0">
      <items count="5">
        <item x="3"/>
        <item x="2"/>
        <item x="0"/>
        <item x="1"/>
        <item t="default"/>
      </items>
    </pivotField>
    <pivotField compact="0" outline="0" showAll="0"/>
    <pivotField axis="axisRow" compact="0" outline="0" showAll="0">
      <items count="5">
        <item x="0"/>
        <item x="1"/>
        <item x="2"/>
        <item x="3"/>
        <item t="default"/>
      </items>
    </pivotField>
    <pivotField compact="0" outline="0" showAll="0"/>
  </pivotFields>
  <rowFields count="1">
    <field x="10"/>
  </rowFields>
  <rowItems count="5">
    <i>
      <x/>
    </i>
    <i>
      <x v="1"/>
    </i>
    <i>
      <x v="2"/>
    </i>
    <i>
      <x v="3"/>
    </i>
    <i t="grand">
      <x/>
    </i>
  </rowItems>
  <colFields count="1">
    <field x="8"/>
  </colFields>
  <colItems count="5">
    <i>
      <x/>
    </i>
    <i>
      <x v="1"/>
    </i>
    <i>
      <x v="2"/>
    </i>
    <i>
      <x v="3"/>
    </i>
    <i t="grand">
      <x/>
    </i>
  </colItems>
  <dataFields count="1">
    <dataField name="Sum of Field7" fld="6" baseField="0" baseItem="0" numFmtId="2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9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0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2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I1129"/>
  <sheetViews>
    <sheetView showGridLines="0" zoomScale="66" zoomScaleNormal="66" workbookViewId="0">
      <selection activeCell="B2" sqref="B2:M1017"/>
    </sheetView>
  </sheetViews>
  <sheetFormatPr baseColWidth="10" defaultColWidth="8.33203125" defaultRowHeight="20" customHeight="1" x14ac:dyDescent="0.15"/>
  <cols>
    <col min="1" max="1" width="8.33203125" style="1" customWidth="1"/>
    <col min="2" max="2" width="13" style="1" customWidth="1"/>
    <col min="3" max="3" width="33.1640625" style="1" customWidth="1"/>
    <col min="4" max="4" width="13.5" style="1" customWidth="1"/>
    <col min="5" max="5" width="10" style="1" customWidth="1"/>
    <col min="6" max="6" width="9.6640625" style="1" customWidth="1"/>
    <col min="7" max="7" width="9.33203125" style="1" customWidth="1"/>
    <col min="8" max="8" width="12.33203125" style="1" customWidth="1"/>
    <col min="9" max="9" width="11.5" style="1" customWidth="1"/>
    <col min="10" max="10" width="14.33203125" style="1" customWidth="1"/>
    <col min="11" max="13" width="18" style="1" customWidth="1"/>
    <col min="14" max="14" width="8.33203125" style="1" customWidth="1"/>
    <col min="15" max="20" width="8.33203125" style="1"/>
    <col min="21" max="21" width="14.5" style="1" bestFit="1" customWidth="1"/>
    <col min="22" max="22" width="16.5" style="1" bestFit="1" customWidth="1"/>
    <col min="23" max="23" width="19.33203125" style="1" bestFit="1" customWidth="1"/>
    <col min="24" max="24" width="17.83203125" style="1" bestFit="1" customWidth="1"/>
    <col min="25" max="25" width="17.6640625" style="1" bestFit="1" customWidth="1"/>
    <col min="26" max="26" width="16.5" style="1" bestFit="1" customWidth="1"/>
    <col min="27" max="27" width="19.33203125" style="1" bestFit="1" customWidth="1"/>
    <col min="28" max="28" width="16.5" style="1" bestFit="1" customWidth="1"/>
    <col min="29" max="29" width="19.33203125" style="1" bestFit="1" customWidth="1"/>
    <col min="30" max="30" width="16.5" style="1" bestFit="1" customWidth="1"/>
    <col min="31" max="31" width="19.33203125" style="1" bestFit="1" customWidth="1"/>
    <col min="32" max="32" width="16.5" style="1" bestFit="1" customWidth="1"/>
    <col min="33" max="33" width="19.33203125" style="1" bestFit="1" customWidth="1"/>
    <col min="34" max="34" width="16.5" style="1" bestFit="1" customWidth="1"/>
    <col min="35" max="35" width="19.33203125" style="1" bestFit="1" customWidth="1"/>
    <col min="36" max="36" width="16.5" style="1" bestFit="1" customWidth="1"/>
    <col min="37" max="37" width="19.33203125" style="1" bestFit="1" customWidth="1"/>
    <col min="38" max="38" width="16.5" style="1" bestFit="1" customWidth="1"/>
    <col min="39" max="39" width="19.33203125" style="1" bestFit="1" customWidth="1"/>
    <col min="40" max="40" width="16.5" style="1" bestFit="1" customWidth="1"/>
    <col min="41" max="41" width="19.33203125" style="1" bestFit="1" customWidth="1"/>
    <col min="42" max="42" width="16.5" style="1" bestFit="1" customWidth="1"/>
    <col min="43" max="43" width="19.33203125" style="1" bestFit="1" customWidth="1"/>
    <col min="44" max="44" width="16.5" style="1" bestFit="1" customWidth="1"/>
    <col min="45" max="45" width="19.33203125" style="1" bestFit="1" customWidth="1"/>
    <col min="46" max="46" width="16.5" style="1" bestFit="1" customWidth="1"/>
    <col min="47" max="47" width="19.33203125" style="1" bestFit="1" customWidth="1"/>
    <col min="48" max="48" width="16.5" style="1" bestFit="1" customWidth="1"/>
    <col min="49" max="49" width="19.33203125" style="1" bestFit="1" customWidth="1"/>
    <col min="50" max="50" width="16.5" style="1" bestFit="1" customWidth="1"/>
    <col min="51" max="51" width="19.33203125" style="1" bestFit="1" customWidth="1"/>
    <col min="52" max="52" width="16.5" style="1" bestFit="1" customWidth="1"/>
    <col min="53" max="53" width="19.33203125" style="1" bestFit="1" customWidth="1"/>
    <col min="54" max="54" width="16.5" style="1" bestFit="1" customWidth="1"/>
    <col min="55" max="55" width="19.33203125" style="1" bestFit="1" customWidth="1"/>
    <col min="56" max="56" width="16.5" style="1" bestFit="1" customWidth="1"/>
    <col min="57" max="57" width="19.33203125" style="1" bestFit="1" customWidth="1"/>
    <col min="58" max="58" width="16.5" style="1" bestFit="1" customWidth="1"/>
    <col min="59" max="59" width="19.33203125" style="1" bestFit="1" customWidth="1"/>
    <col min="60" max="60" width="16.5" style="1" bestFit="1" customWidth="1"/>
    <col min="61" max="61" width="19.33203125" style="1" bestFit="1" customWidth="1"/>
    <col min="62" max="62" width="16.5" style="1" bestFit="1" customWidth="1"/>
    <col min="63" max="63" width="19.33203125" style="1" bestFit="1" customWidth="1"/>
    <col min="64" max="64" width="16.5" style="1" bestFit="1" customWidth="1"/>
    <col min="65" max="65" width="19.33203125" style="1" bestFit="1" customWidth="1"/>
    <col min="66" max="66" width="16.5" style="1" bestFit="1" customWidth="1"/>
    <col min="67" max="67" width="19.33203125" style="1" bestFit="1" customWidth="1"/>
    <col min="68" max="68" width="16.5" style="1" bestFit="1" customWidth="1"/>
    <col min="69" max="69" width="19.33203125" style="1" bestFit="1" customWidth="1"/>
    <col min="70" max="70" width="16.5" style="1" bestFit="1" customWidth="1"/>
    <col min="71" max="71" width="19.33203125" style="1" bestFit="1" customWidth="1"/>
    <col min="72" max="72" width="16.5" style="1" bestFit="1" customWidth="1"/>
    <col min="73" max="73" width="19.33203125" style="1" bestFit="1" customWidth="1"/>
    <col min="74" max="74" width="16.5" style="1" bestFit="1" customWidth="1"/>
    <col min="75" max="75" width="19.33203125" style="1" bestFit="1" customWidth="1"/>
    <col min="76" max="76" width="16.5" style="1" bestFit="1" customWidth="1"/>
    <col min="77" max="77" width="19.33203125" style="1" bestFit="1" customWidth="1"/>
    <col min="78" max="78" width="16.5" style="1" bestFit="1" customWidth="1"/>
    <col min="79" max="79" width="19.33203125" style="1" bestFit="1" customWidth="1"/>
    <col min="80" max="80" width="16.5" style="1" bestFit="1" customWidth="1"/>
    <col min="81" max="81" width="19.33203125" style="1" bestFit="1" customWidth="1"/>
    <col min="82" max="82" width="16.5" style="1" bestFit="1" customWidth="1"/>
    <col min="83" max="83" width="19.33203125" style="1" bestFit="1" customWidth="1"/>
    <col min="84" max="84" width="16.5" style="1" bestFit="1" customWidth="1"/>
    <col min="85" max="85" width="19.33203125" style="1" bestFit="1" customWidth="1"/>
    <col min="86" max="86" width="16.5" style="1" bestFit="1" customWidth="1"/>
    <col min="87" max="87" width="19.33203125" style="1" bestFit="1" customWidth="1"/>
    <col min="88" max="88" width="16.5" style="1" bestFit="1" customWidth="1"/>
    <col min="89" max="89" width="19.33203125" style="1" bestFit="1" customWidth="1"/>
    <col min="90" max="90" width="16.5" style="1" bestFit="1" customWidth="1"/>
    <col min="91" max="91" width="19.33203125" style="1" bestFit="1" customWidth="1"/>
    <col min="92" max="92" width="16.5" style="1" bestFit="1" customWidth="1"/>
    <col min="93" max="93" width="19.33203125" style="1" bestFit="1" customWidth="1"/>
    <col min="94" max="94" width="16.5" style="1" bestFit="1" customWidth="1"/>
    <col min="95" max="95" width="19.33203125" style="1" bestFit="1" customWidth="1"/>
    <col min="96" max="96" width="16.5" style="1" bestFit="1" customWidth="1"/>
    <col min="97" max="97" width="19.33203125" style="1" bestFit="1" customWidth="1"/>
    <col min="98" max="98" width="16.5" style="1" bestFit="1" customWidth="1"/>
    <col min="99" max="99" width="19.33203125" style="1" bestFit="1" customWidth="1"/>
    <col min="100" max="100" width="16.5" style="1" bestFit="1" customWidth="1"/>
    <col min="101" max="101" width="19.33203125" style="1" bestFit="1" customWidth="1"/>
    <col min="102" max="102" width="16.5" style="1" bestFit="1" customWidth="1"/>
    <col min="103" max="103" width="19.33203125" style="1" bestFit="1" customWidth="1"/>
    <col min="104" max="104" width="16.5" style="1" bestFit="1" customWidth="1"/>
    <col min="105" max="105" width="19.33203125" style="1" bestFit="1" customWidth="1"/>
    <col min="106" max="106" width="16.5" style="1" bestFit="1" customWidth="1"/>
    <col min="107" max="107" width="19.33203125" style="1" bestFit="1" customWidth="1"/>
    <col min="108" max="108" width="16.5" style="1" bestFit="1" customWidth="1"/>
    <col min="109" max="109" width="19.33203125" style="1" bestFit="1" customWidth="1"/>
    <col min="110" max="110" width="16.5" style="1" bestFit="1" customWidth="1"/>
    <col min="111" max="111" width="19.33203125" style="1" bestFit="1" customWidth="1"/>
    <col min="112" max="112" width="16.5" style="1" bestFit="1" customWidth="1"/>
    <col min="113" max="113" width="19.33203125" style="1" bestFit="1" customWidth="1"/>
    <col min="114" max="114" width="16.5" style="1" bestFit="1" customWidth="1"/>
    <col min="115" max="115" width="19.33203125" style="1" bestFit="1" customWidth="1"/>
    <col min="116" max="116" width="16.5" style="1" bestFit="1" customWidth="1"/>
    <col min="117" max="117" width="19.33203125" style="1" bestFit="1" customWidth="1"/>
    <col min="118" max="118" width="16.5" style="1" bestFit="1" customWidth="1"/>
    <col min="119" max="119" width="19.33203125" style="1" bestFit="1" customWidth="1"/>
    <col min="120" max="120" width="16.5" style="1" bestFit="1" customWidth="1"/>
    <col min="121" max="121" width="19.33203125" style="1" bestFit="1" customWidth="1"/>
    <col min="122" max="122" width="16.5" style="1" bestFit="1" customWidth="1"/>
    <col min="123" max="123" width="19.33203125" style="1" bestFit="1" customWidth="1"/>
    <col min="124" max="124" width="16.5" style="1" bestFit="1" customWidth="1"/>
    <col min="125" max="125" width="19.33203125" style="1" bestFit="1" customWidth="1"/>
    <col min="126" max="126" width="16.5" style="1" bestFit="1" customWidth="1"/>
    <col min="127" max="127" width="19.33203125" style="1" bestFit="1" customWidth="1"/>
    <col min="128" max="128" width="16.5" style="1" bestFit="1" customWidth="1"/>
    <col min="129" max="129" width="19.33203125" style="1" bestFit="1" customWidth="1"/>
    <col min="130" max="130" width="16.5" style="1" bestFit="1" customWidth="1"/>
    <col min="131" max="131" width="19.33203125" style="1" bestFit="1" customWidth="1"/>
    <col min="132" max="132" width="16.5" style="1" bestFit="1" customWidth="1"/>
    <col min="133" max="133" width="19.33203125" style="1" bestFit="1" customWidth="1"/>
    <col min="134" max="134" width="16.5" style="1" bestFit="1" customWidth="1"/>
    <col min="135" max="135" width="19.33203125" style="1" bestFit="1" customWidth="1"/>
    <col min="136" max="136" width="16.5" style="1" bestFit="1" customWidth="1"/>
    <col min="137" max="137" width="19.33203125" style="1" bestFit="1" customWidth="1"/>
    <col min="138" max="138" width="16.5" style="1" bestFit="1" customWidth="1"/>
    <col min="139" max="139" width="19.33203125" style="1" bestFit="1" customWidth="1"/>
    <col min="140" max="140" width="16.5" style="1" bestFit="1" customWidth="1"/>
    <col min="141" max="141" width="19.33203125" style="1" bestFit="1" customWidth="1"/>
    <col min="142" max="142" width="16.5" style="1" bestFit="1" customWidth="1"/>
    <col min="143" max="143" width="19.33203125" style="1" bestFit="1" customWidth="1"/>
    <col min="144" max="144" width="16.5" style="1" bestFit="1" customWidth="1"/>
    <col min="145" max="145" width="19.33203125" style="1" bestFit="1" customWidth="1"/>
    <col min="146" max="146" width="16.5" style="1" bestFit="1" customWidth="1"/>
    <col min="147" max="147" width="19.33203125" style="1" bestFit="1" customWidth="1"/>
    <col min="148" max="148" width="16.5" style="1" bestFit="1" customWidth="1"/>
    <col min="149" max="149" width="19.33203125" style="1" bestFit="1" customWidth="1"/>
    <col min="150" max="150" width="16.5" style="1" bestFit="1" customWidth="1"/>
    <col min="151" max="151" width="19.33203125" style="1" bestFit="1" customWidth="1"/>
    <col min="152" max="152" width="16.5" style="1" bestFit="1" customWidth="1"/>
    <col min="153" max="153" width="19.33203125" style="1" bestFit="1" customWidth="1"/>
    <col min="154" max="154" width="16.5" style="1" bestFit="1" customWidth="1"/>
    <col min="155" max="155" width="19.33203125" style="1" bestFit="1" customWidth="1"/>
    <col min="156" max="156" width="16.5" style="1" bestFit="1" customWidth="1"/>
    <col min="157" max="157" width="19.33203125" style="1" bestFit="1" customWidth="1"/>
    <col min="158" max="158" width="16.5" style="1" bestFit="1" customWidth="1"/>
    <col min="159" max="159" width="19.33203125" style="1" bestFit="1" customWidth="1"/>
    <col min="160" max="160" width="16.5" style="1" bestFit="1" customWidth="1"/>
    <col min="161" max="161" width="19.33203125" style="1" bestFit="1" customWidth="1"/>
    <col min="162" max="162" width="16.5" style="1" bestFit="1" customWidth="1"/>
    <col min="163" max="163" width="19.33203125" style="1" bestFit="1" customWidth="1"/>
    <col min="164" max="164" width="16.5" style="1" bestFit="1" customWidth="1"/>
    <col min="165" max="165" width="19.33203125" style="1" bestFit="1" customWidth="1"/>
    <col min="166" max="166" width="16.5" style="1" bestFit="1" customWidth="1"/>
    <col min="167" max="167" width="19.33203125" style="1" bestFit="1" customWidth="1"/>
    <col min="168" max="168" width="16.5" style="1" bestFit="1" customWidth="1"/>
    <col min="169" max="169" width="19.33203125" style="1" bestFit="1" customWidth="1"/>
    <col min="170" max="170" width="16.5" style="1" bestFit="1" customWidth="1"/>
    <col min="171" max="171" width="19.33203125" style="1" bestFit="1" customWidth="1"/>
    <col min="172" max="172" width="16.5" style="1" bestFit="1" customWidth="1"/>
    <col min="173" max="173" width="19.33203125" style="1" bestFit="1" customWidth="1"/>
    <col min="174" max="174" width="16.5" style="1" bestFit="1" customWidth="1"/>
    <col min="175" max="175" width="19.33203125" style="1" bestFit="1" customWidth="1"/>
    <col min="176" max="176" width="16.5" style="1" bestFit="1" customWidth="1"/>
    <col min="177" max="177" width="19.33203125" style="1" bestFit="1" customWidth="1"/>
    <col min="178" max="178" width="16.5" style="1" bestFit="1" customWidth="1"/>
    <col min="179" max="179" width="19.33203125" style="1" bestFit="1" customWidth="1"/>
    <col min="180" max="180" width="16.5" style="1" bestFit="1" customWidth="1"/>
    <col min="181" max="181" width="19.33203125" style="1" bestFit="1" customWidth="1"/>
    <col min="182" max="182" width="16.5" style="1" bestFit="1" customWidth="1"/>
    <col min="183" max="183" width="19.33203125" style="1" bestFit="1" customWidth="1"/>
    <col min="184" max="184" width="16.5" style="1" bestFit="1" customWidth="1"/>
    <col min="185" max="185" width="19.33203125" style="1" bestFit="1" customWidth="1"/>
    <col min="186" max="186" width="16.5" style="1" bestFit="1" customWidth="1"/>
    <col min="187" max="187" width="19.33203125" style="1" bestFit="1" customWidth="1"/>
    <col min="188" max="188" width="16.5" style="1" bestFit="1" customWidth="1"/>
    <col min="189" max="189" width="19.33203125" style="1" bestFit="1" customWidth="1"/>
    <col min="190" max="190" width="16.5" style="1" bestFit="1" customWidth="1"/>
    <col min="191" max="191" width="19.33203125" style="1" bestFit="1" customWidth="1"/>
    <col min="192" max="192" width="16.5" style="1" bestFit="1" customWidth="1"/>
    <col min="193" max="193" width="19.33203125" style="1" bestFit="1" customWidth="1"/>
    <col min="194" max="194" width="16.5" style="1" bestFit="1" customWidth="1"/>
    <col min="195" max="195" width="19.33203125" style="1" bestFit="1" customWidth="1"/>
    <col min="196" max="196" width="16.5" style="1" bestFit="1" customWidth="1"/>
    <col min="197" max="197" width="19.33203125" style="1" bestFit="1" customWidth="1"/>
    <col min="198" max="198" width="16.5" style="1" bestFit="1" customWidth="1"/>
    <col min="199" max="199" width="19.33203125" style="1" bestFit="1" customWidth="1"/>
    <col min="200" max="200" width="16.5" style="1" bestFit="1" customWidth="1"/>
    <col min="201" max="201" width="19.33203125" style="1" bestFit="1" customWidth="1"/>
    <col min="202" max="202" width="16.5" style="1" bestFit="1" customWidth="1"/>
    <col min="203" max="203" width="19.33203125" style="1" bestFit="1" customWidth="1"/>
    <col min="204" max="204" width="16.5" style="1" bestFit="1" customWidth="1"/>
    <col min="205" max="205" width="19.33203125" style="1" bestFit="1" customWidth="1"/>
    <col min="206" max="206" width="16.5" style="1" bestFit="1" customWidth="1"/>
    <col min="207" max="207" width="19.33203125" style="1" bestFit="1" customWidth="1"/>
    <col min="208" max="208" width="16.5" style="1" bestFit="1" customWidth="1"/>
    <col min="209" max="209" width="19.33203125" style="1" bestFit="1" customWidth="1"/>
    <col min="210" max="210" width="16.5" style="1" bestFit="1" customWidth="1"/>
    <col min="211" max="211" width="19.33203125" style="1" bestFit="1" customWidth="1"/>
    <col min="212" max="212" width="16.5" style="1" bestFit="1" customWidth="1"/>
    <col min="213" max="213" width="19.33203125" style="1" bestFit="1" customWidth="1"/>
    <col min="214" max="214" width="16.5" style="1" bestFit="1" customWidth="1"/>
    <col min="215" max="215" width="19.33203125" style="1" bestFit="1" customWidth="1"/>
    <col min="216" max="216" width="16.5" style="1" bestFit="1" customWidth="1"/>
    <col min="217" max="217" width="19.33203125" style="1" bestFit="1" customWidth="1"/>
    <col min="218" max="218" width="16.5" style="1" bestFit="1" customWidth="1"/>
    <col min="219" max="219" width="19.33203125" style="1" bestFit="1" customWidth="1"/>
    <col min="220" max="220" width="16.5" style="1" bestFit="1" customWidth="1"/>
    <col min="221" max="221" width="19.33203125" style="1" bestFit="1" customWidth="1"/>
    <col min="222" max="222" width="16.5" style="1" bestFit="1" customWidth="1"/>
    <col min="223" max="223" width="19.33203125" style="1" bestFit="1" customWidth="1"/>
    <col min="224" max="224" width="16.5" style="1" bestFit="1" customWidth="1"/>
    <col min="225" max="225" width="19.33203125" style="1" bestFit="1" customWidth="1"/>
    <col min="226" max="226" width="16.5" style="1" bestFit="1" customWidth="1"/>
    <col min="227" max="227" width="19.33203125" style="1" bestFit="1" customWidth="1"/>
    <col min="228" max="228" width="16.5" style="1" bestFit="1" customWidth="1"/>
    <col min="229" max="229" width="19.33203125" style="1" bestFit="1" customWidth="1"/>
    <col min="230" max="230" width="16.5" style="1" bestFit="1" customWidth="1"/>
    <col min="231" max="231" width="19.33203125" style="1" bestFit="1" customWidth="1"/>
    <col min="232" max="232" width="16.5" style="1" bestFit="1" customWidth="1"/>
    <col min="233" max="233" width="19.33203125" style="1" bestFit="1" customWidth="1"/>
    <col min="234" max="234" width="16.5" style="1" bestFit="1" customWidth="1"/>
    <col min="235" max="235" width="19.33203125" style="1" bestFit="1" customWidth="1"/>
    <col min="236" max="236" width="16.5" style="1" bestFit="1" customWidth="1"/>
    <col min="237" max="237" width="19.33203125" style="1" bestFit="1" customWidth="1"/>
    <col min="238" max="238" width="16.5" style="1" bestFit="1" customWidth="1"/>
    <col min="239" max="239" width="19.33203125" style="1" bestFit="1" customWidth="1"/>
    <col min="240" max="240" width="16.5" style="1" bestFit="1" customWidth="1"/>
    <col min="241" max="241" width="19.33203125" style="1" bestFit="1" customWidth="1"/>
    <col min="242" max="242" width="16.5" style="1" bestFit="1" customWidth="1"/>
    <col min="243" max="243" width="19.33203125" style="1" bestFit="1" customWidth="1"/>
    <col min="244" max="244" width="16.5" style="1" bestFit="1" customWidth="1"/>
    <col min="245" max="245" width="19.33203125" style="1" bestFit="1" customWidth="1"/>
    <col min="246" max="246" width="16.5" style="1" bestFit="1" customWidth="1"/>
    <col min="247" max="247" width="19.33203125" style="1" bestFit="1" customWidth="1"/>
    <col min="248" max="248" width="16.5" style="1" bestFit="1" customWidth="1"/>
    <col min="249" max="249" width="19.33203125" style="1" bestFit="1" customWidth="1"/>
    <col min="250" max="250" width="16.5" style="1" bestFit="1" customWidth="1"/>
    <col min="251" max="251" width="19.33203125" style="1" bestFit="1" customWidth="1"/>
    <col min="252" max="252" width="16.5" style="1" bestFit="1" customWidth="1"/>
    <col min="253" max="253" width="19.33203125" style="1" bestFit="1" customWidth="1"/>
    <col min="254" max="254" width="16.5" style="1" bestFit="1" customWidth="1"/>
    <col min="255" max="255" width="19.33203125" style="1" bestFit="1" customWidth="1"/>
    <col min="256" max="256" width="16.5" style="1" bestFit="1" customWidth="1"/>
    <col min="257" max="257" width="19.33203125" style="1" bestFit="1" customWidth="1"/>
    <col min="258" max="258" width="16.5" style="1" bestFit="1" customWidth="1"/>
    <col min="259" max="259" width="19.33203125" style="1" bestFit="1" customWidth="1"/>
    <col min="260" max="260" width="16.5" style="1" bestFit="1" customWidth="1"/>
    <col min="261" max="261" width="19.33203125" style="1" bestFit="1" customWidth="1"/>
    <col min="262" max="262" width="16.5" style="1" bestFit="1" customWidth="1"/>
    <col min="263" max="263" width="19.33203125" style="1" bestFit="1" customWidth="1"/>
    <col min="264" max="264" width="16.5" style="1" bestFit="1" customWidth="1"/>
    <col min="265" max="265" width="19.33203125" style="1" bestFit="1" customWidth="1"/>
    <col min="266" max="266" width="16.5" style="1" bestFit="1" customWidth="1"/>
    <col min="267" max="267" width="19.33203125" style="1" bestFit="1" customWidth="1"/>
    <col min="268" max="268" width="16.5" style="1" bestFit="1" customWidth="1"/>
    <col min="269" max="269" width="19.33203125" style="1" bestFit="1" customWidth="1"/>
    <col min="270" max="270" width="16.5" style="1" bestFit="1" customWidth="1"/>
    <col min="271" max="271" width="19.33203125" style="1" bestFit="1" customWidth="1"/>
    <col min="272" max="272" width="16.5" style="1" bestFit="1" customWidth="1"/>
    <col min="273" max="273" width="19.33203125" style="1" bestFit="1" customWidth="1"/>
    <col min="274" max="274" width="16.5" style="1" bestFit="1" customWidth="1"/>
    <col min="275" max="275" width="19.33203125" style="1" bestFit="1" customWidth="1"/>
    <col min="276" max="276" width="16.5" style="1" bestFit="1" customWidth="1"/>
    <col min="277" max="277" width="19.33203125" style="1" bestFit="1" customWidth="1"/>
    <col min="278" max="278" width="16.5" style="1" bestFit="1" customWidth="1"/>
    <col min="279" max="279" width="19.33203125" style="1" bestFit="1" customWidth="1"/>
    <col min="280" max="280" width="16.5" style="1" bestFit="1" customWidth="1"/>
    <col min="281" max="281" width="19.33203125" style="1" bestFit="1" customWidth="1"/>
    <col min="282" max="282" width="16.5" style="1" bestFit="1" customWidth="1"/>
    <col min="283" max="283" width="19.33203125" style="1" bestFit="1" customWidth="1"/>
    <col min="284" max="284" width="16.5" style="1" bestFit="1" customWidth="1"/>
    <col min="285" max="285" width="19.33203125" style="1" bestFit="1" customWidth="1"/>
    <col min="286" max="286" width="16.5" style="1" bestFit="1" customWidth="1"/>
    <col min="287" max="287" width="19.33203125" style="1" bestFit="1" customWidth="1"/>
    <col min="288" max="288" width="16.5" style="1" bestFit="1" customWidth="1"/>
    <col min="289" max="289" width="19.33203125" style="1" bestFit="1" customWidth="1"/>
    <col min="290" max="290" width="16.5" style="1" bestFit="1" customWidth="1"/>
    <col min="291" max="291" width="19.33203125" style="1" bestFit="1" customWidth="1"/>
    <col min="292" max="292" width="16.5" style="1" bestFit="1" customWidth="1"/>
    <col min="293" max="293" width="19.33203125" style="1" bestFit="1" customWidth="1"/>
    <col min="294" max="294" width="21.1640625" style="1" bestFit="1" customWidth="1"/>
    <col min="295" max="295" width="24.1640625" style="1" bestFit="1" customWidth="1"/>
    <col min="296" max="16384" width="8.33203125" style="1"/>
  </cols>
  <sheetData>
    <row r="1" spans="1:25" ht="27.75" customHeight="1" x14ac:dyDescent="0.15">
      <c r="A1" s="28" t="s">
        <v>0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</row>
    <row r="2" spans="1:25" ht="20.75" customHeight="1" thickBot="1" x14ac:dyDescent="0.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31" t="s">
        <v>12</v>
      </c>
      <c r="M2" s="64" t="s">
        <v>793</v>
      </c>
    </row>
    <row r="3" spans="1:25" ht="20.25" customHeight="1" x14ac:dyDescent="0.15">
      <c r="A3" s="64"/>
      <c r="B3" s="65"/>
      <c r="C3" s="66"/>
      <c r="D3" s="64"/>
      <c r="E3" s="64"/>
      <c r="F3" s="64"/>
      <c r="G3" s="64"/>
      <c r="H3" s="64"/>
      <c r="I3" s="64"/>
      <c r="J3" s="64"/>
      <c r="K3" s="64"/>
      <c r="L3" s="67"/>
    </row>
    <row r="4" spans="1:25" ht="20" customHeight="1" x14ac:dyDescent="0.15">
      <c r="A4" s="5"/>
      <c r="B4" s="6" t="s">
        <v>13</v>
      </c>
      <c r="C4" s="7" t="s">
        <v>19</v>
      </c>
      <c r="D4" s="8" t="s">
        <v>15</v>
      </c>
      <c r="E4" s="8" t="s">
        <v>20</v>
      </c>
      <c r="F4" s="9">
        <v>900</v>
      </c>
      <c r="G4" s="10">
        <v>42463.53</v>
      </c>
      <c r="H4" s="10">
        <v>5468.54</v>
      </c>
      <c r="I4" s="9">
        <v>38217177</v>
      </c>
      <c r="J4" s="8" t="s">
        <v>17</v>
      </c>
      <c r="K4" s="8" t="s">
        <v>18</v>
      </c>
      <c r="L4" s="9">
        <f>YEAR(E4)</f>
        <v>2020</v>
      </c>
      <c r="M4" s="11">
        <f>H4*F4</f>
        <v>4921686</v>
      </c>
      <c r="U4" s="36" t="s">
        <v>787</v>
      </c>
      <c r="V4" s="32" t="s">
        <v>785</v>
      </c>
      <c r="W4" s="37" t="s">
        <v>797</v>
      </c>
      <c r="X4" s="37" t="s">
        <v>790</v>
      </c>
      <c r="Y4" s="59" t="s">
        <v>796</v>
      </c>
    </row>
    <row r="5" spans="1:25" ht="20" customHeight="1" x14ac:dyDescent="0.15">
      <c r="A5" s="12"/>
      <c r="B5" s="13" t="s">
        <v>13</v>
      </c>
      <c r="C5" s="14" t="s">
        <v>19</v>
      </c>
      <c r="D5" s="15" t="s">
        <v>15</v>
      </c>
      <c r="E5" s="15" t="s">
        <v>21</v>
      </c>
      <c r="F5" s="16">
        <v>620</v>
      </c>
      <c r="G5" s="17">
        <v>35549.32</v>
      </c>
      <c r="H5" s="17">
        <v>2269.9699999999998</v>
      </c>
      <c r="I5" s="19">
        <v>22040578.399999999</v>
      </c>
      <c r="J5" s="15" t="s">
        <v>22</v>
      </c>
      <c r="K5" s="15" t="s">
        <v>18</v>
      </c>
      <c r="L5" s="9">
        <f>YEAR(E5)</f>
        <v>2020</v>
      </c>
      <c r="M5" s="11">
        <f t="shared" ref="M5:M26" si="0">H5*F5</f>
        <v>1407381.4</v>
      </c>
      <c r="U5" s="39" t="s">
        <v>89</v>
      </c>
      <c r="V5" s="40">
        <v>8590</v>
      </c>
      <c r="W5" s="41">
        <v>28890.208823529403</v>
      </c>
      <c r="X5" s="41">
        <v>254010316.86999995</v>
      </c>
      <c r="Y5" s="60">
        <v>60435220.819999993</v>
      </c>
    </row>
    <row r="6" spans="1:25" ht="20" customHeight="1" x14ac:dyDescent="0.15">
      <c r="A6" s="12"/>
      <c r="B6" s="13" t="s">
        <v>13</v>
      </c>
      <c r="C6" s="14" t="s">
        <v>14</v>
      </c>
      <c r="D6" s="15" t="s">
        <v>15</v>
      </c>
      <c r="E6" s="15" t="s">
        <v>34</v>
      </c>
      <c r="F6" s="16">
        <v>479</v>
      </c>
      <c r="G6" s="17">
        <v>17626.87</v>
      </c>
      <c r="H6" s="17">
        <v>6801.41</v>
      </c>
      <c r="I6" s="17">
        <v>8443270.7300000004</v>
      </c>
      <c r="J6" s="15" t="s">
        <v>28</v>
      </c>
      <c r="K6" s="15" t="s">
        <v>18</v>
      </c>
      <c r="L6" s="9">
        <f>YEAR(E6)</f>
        <v>2020</v>
      </c>
      <c r="M6" s="11">
        <f t="shared" si="0"/>
        <v>3257875.39</v>
      </c>
      <c r="U6" s="63">
        <v>2020</v>
      </c>
      <c r="V6" s="43">
        <v>1274</v>
      </c>
      <c r="W6" s="44">
        <v>32033.89333333333</v>
      </c>
      <c r="X6" s="44">
        <v>41422727.839999996</v>
      </c>
      <c r="Y6" s="61">
        <v>9808586.5800000001</v>
      </c>
    </row>
    <row r="7" spans="1:25" ht="20" customHeight="1" x14ac:dyDescent="0.15">
      <c r="A7" s="12"/>
      <c r="B7" s="13" t="s">
        <v>13</v>
      </c>
      <c r="C7" s="14" t="s">
        <v>19</v>
      </c>
      <c r="D7" s="15" t="s">
        <v>26</v>
      </c>
      <c r="E7" s="15" t="s">
        <v>40</v>
      </c>
      <c r="F7" s="16">
        <v>151</v>
      </c>
      <c r="G7" s="17">
        <v>15679.05</v>
      </c>
      <c r="H7" s="17">
        <v>8708.7099999999991</v>
      </c>
      <c r="I7" s="17">
        <v>2367536.5499999998</v>
      </c>
      <c r="J7" s="15" t="s">
        <v>28</v>
      </c>
      <c r="K7" s="15" t="s">
        <v>18</v>
      </c>
      <c r="L7" s="9">
        <f>YEAR(E7)</f>
        <v>2020</v>
      </c>
      <c r="M7" s="11">
        <f t="shared" si="0"/>
        <v>1315015.21</v>
      </c>
      <c r="U7" s="63">
        <v>2021</v>
      </c>
      <c r="V7" s="43">
        <v>1997</v>
      </c>
      <c r="W7" s="44">
        <v>26329.574999999997</v>
      </c>
      <c r="X7" s="44">
        <v>48756716.780000001</v>
      </c>
      <c r="Y7" s="61">
        <v>16323889.560000001</v>
      </c>
    </row>
    <row r="8" spans="1:25" ht="20" customHeight="1" x14ac:dyDescent="0.15">
      <c r="A8" s="12"/>
      <c r="B8" s="13" t="s">
        <v>13</v>
      </c>
      <c r="C8" s="14" t="s">
        <v>23</v>
      </c>
      <c r="D8" s="15" t="s">
        <v>26</v>
      </c>
      <c r="E8" s="15" t="s">
        <v>42</v>
      </c>
      <c r="F8" s="16">
        <v>987</v>
      </c>
      <c r="G8" s="19">
        <v>38561.5</v>
      </c>
      <c r="H8" s="17">
        <v>9018.41</v>
      </c>
      <c r="I8" s="19">
        <v>38060200.5</v>
      </c>
      <c r="J8" s="15" t="s">
        <v>17</v>
      </c>
      <c r="K8" s="15" t="s">
        <v>18</v>
      </c>
      <c r="L8" s="9">
        <f>YEAR(E8)</f>
        <v>2020</v>
      </c>
      <c r="M8" s="11">
        <f t="shared" si="0"/>
        <v>8901170.6699999999</v>
      </c>
      <c r="U8" s="63">
        <v>2022</v>
      </c>
      <c r="V8" s="43">
        <v>4155</v>
      </c>
      <c r="W8" s="44">
        <v>29853.109999999997</v>
      </c>
      <c r="X8" s="44">
        <v>130902306.61</v>
      </c>
      <c r="Y8" s="61">
        <v>26329325.239999998</v>
      </c>
    </row>
    <row r="9" spans="1:25" ht="20" customHeight="1" x14ac:dyDescent="0.15">
      <c r="A9" s="12"/>
      <c r="B9" s="13" t="s">
        <v>13</v>
      </c>
      <c r="C9" s="14" t="s">
        <v>25</v>
      </c>
      <c r="D9" s="15" t="s">
        <v>26</v>
      </c>
      <c r="E9" s="15" t="s">
        <v>48</v>
      </c>
      <c r="F9" s="16">
        <v>445</v>
      </c>
      <c r="G9" s="17">
        <v>20520.439999999999</v>
      </c>
      <c r="H9" s="17">
        <v>6305.29</v>
      </c>
      <c r="I9" s="19">
        <v>9131595.8000000007</v>
      </c>
      <c r="J9" s="15" t="s">
        <v>17</v>
      </c>
      <c r="K9" s="15" t="s">
        <v>18</v>
      </c>
      <c r="L9" s="9">
        <f>YEAR(E9)</f>
        <v>2020</v>
      </c>
      <c r="M9" s="11">
        <f t="shared" si="0"/>
        <v>2805854.05</v>
      </c>
      <c r="U9" s="63">
        <v>2023</v>
      </c>
      <c r="V9" s="43">
        <v>1164</v>
      </c>
      <c r="W9" s="44">
        <v>26913.933333333334</v>
      </c>
      <c r="X9" s="44">
        <v>32928565.640000001</v>
      </c>
      <c r="Y9" s="61">
        <v>7973419.4400000004</v>
      </c>
    </row>
    <row r="10" spans="1:25" ht="20" customHeight="1" x14ac:dyDescent="0.15">
      <c r="A10" s="12"/>
      <c r="B10" s="13" t="s">
        <v>13</v>
      </c>
      <c r="C10" s="14" t="s">
        <v>14</v>
      </c>
      <c r="D10" s="15" t="s">
        <v>26</v>
      </c>
      <c r="E10" s="15" t="s">
        <v>50</v>
      </c>
      <c r="F10" s="16">
        <v>774</v>
      </c>
      <c r="G10" s="17">
        <v>24784.46</v>
      </c>
      <c r="H10" s="17">
        <v>6047.25</v>
      </c>
      <c r="I10" s="17">
        <v>19183172.039999999</v>
      </c>
      <c r="J10" s="15" t="s">
        <v>17</v>
      </c>
      <c r="K10" s="15" t="s">
        <v>18</v>
      </c>
      <c r="L10" s="9">
        <f>YEAR(E10)</f>
        <v>2020</v>
      </c>
      <c r="M10" s="11">
        <f t="shared" si="0"/>
        <v>4680571.5</v>
      </c>
      <c r="U10" s="42" t="s">
        <v>70</v>
      </c>
      <c r="V10" s="43">
        <v>9698</v>
      </c>
      <c r="W10" s="44">
        <v>30900.379999999997</v>
      </c>
      <c r="X10" s="44">
        <v>308481472.67000002</v>
      </c>
      <c r="Y10" s="61">
        <v>58187605.529999994</v>
      </c>
    </row>
    <row r="11" spans="1:25" ht="20" customHeight="1" x14ac:dyDescent="0.15">
      <c r="A11" s="12"/>
      <c r="B11" s="13" t="s">
        <v>13</v>
      </c>
      <c r="C11" s="14" t="s">
        <v>35</v>
      </c>
      <c r="D11" s="15" t="s">
        <v>53</v>
      </c>
      <c r="E11" s="15" t="s">
        <v>56</v>
      </c>
      <c r="F11" s="16">
        <v>413</v>
      </c>
      <c r="G11" s="17">
        <v>28753.55</v>
      </c>
      <c r="H11" s="17">
        <v>6243.28</v>
      </c>
      <c r="I11" s="17">
        <v>11875216.15</v>
      </c>
      <c r="J11" s="15" t="s">
        <v>17</v>
      </c>
      <c r="K11" s="15" t="s">
        <v>18</v>
      </c>
      <c r="L11" s="9">
        <f>YEAR(E11)</f>
        <v>2020</v>
      </c>
      <c r="M11" s="11">
        <f t="shared" si="0"/>
        <v>2578474.6399999997</v>
      </c>
      <c r="U11" s="63">
        <v>2020</v>
      </c>
      <c r="V11" s="43">
        <v>1589</v>
      </c>
      <c r="W11" s="44">
        <v>30736.35666666667</v>
      </c>
      <c r="X11" s="44">
        <v>46539162.479999989</v>
      </c>
      <c r="Y11" s="61">
        <v>10634336.280000001</v>
      </c>
    </row>
    <row r="12" spans="1:25" ht="20" customHeight="1" x14ac:dyDescent="0.15">
      <c r="A12" s="12"/>
      <c r="B12" s="13" t="s">
        <v>13</v>
      </c>
      <c r="C12" s="14" t="s">
        <v>38</v>
      </c>
      <c r="D12" s="15" t="s">
        <v>53</v>
      </c>
      <c r="E12" s="15" t="s">
        <v>64</v>
      </c>
      <c r="F12" s="16">
        <v>636</v>
      </c>
      <c r="G12" s="17">
        <v>18138.259999999998</v>
      </c>
      <c r="H12" s="17">
        <v>6241.93</v>
      </c>
      <c r="I12" s="17">
        <v>11535933.359999999</v>
      </c>
      <c r="J12" s="15" t="s">
        <v>17</v>
      </c>
      <c r="K12" s="15" t="s">
        <v>18</v>
      </c>
      <c r="L12" s="9">
        <f>YEAR(E12)</f>
        <v>2020</v>
      </c>
      <c r="M12" s="11">
        <f t="shared" si="0"/>
        <v>3969867.48</v>
      </c>
      <c r="U12" s="63">
        <v>2021</v>
      </c>
      <c r="V12" s="43">
        <v>2774</v>
      </c>
      <c r="W12" s="44">
        <v>34528.466</v>
      </c>
      <c r="X12" s="44">
        <v>99675342.069999993</v>
      </c>
      <c r="Y12" s="61">
        <v>20751577.370000001</v>
      </c>
    </row>
    <row r="13" spans="1:25" ht="20" customHeight="1" x14ac:dyDescent="0.15">
      <c r="A13" s="12"/>
      <c r="B13" s="13" t="s">
        <v>13</v>
      </c>
      <c r="C13" s="14" t="s">
        <v>23</v>
      </c>
      <c r="D13" s="15" t="s">
        <v>70</v>
      </c>
      <c r="E13" s="15" t="s">
        <v>78</v>
      </c>
      <c r="F13" s="16">
        <v>627</v>
      </c>
      <c r="G13" s="17">
        <v>34746.28</v>
      </c>
      <c r="H13" s="17">
        <v>9410.6200000000008</v>
      </c>
      <c r="I13" s="17">
        <v>21785917.559999999</v>
      </c>
      <c r="J13" s="15" t="s">
        <v>17</v>
      </c>
      <c r="K13" s="15" t="s">
        <v>18</v>
      </c>
      <c r="L13" s="9">
        <f>YEAR(E13)</f>
        <v>2020</v>
      </c>
      <c r="M13" s="11">
        <f t="shared" si="0"/>
        <v>5900458.7400000002</v>
      </c>
      <c r="U13" s="63">
        <v>2022</v>
      </c>
      <c r="V13" s="43">
        <v>2229</v>
      </c>
      <c r="W13" s="44">
        <v>28105.497500000001</v>
      </c>
      <c r="X13" s="44">
        <v>70269169.840000004</v>
      </c>
      <c r="Y13" s="61">
        <v>9862598.8099999987</v>
      </c>
    </row>
    <row r="14" spans="1:25" ht="20" customHeight="1" x14ac:dyDescent="0.15">
      <c r="A14" s="12"/>
      <c r="B14" s="13" t="s">
        <v>13</v>
      </c>
      <c r="C14" s="14" t="s">
        <v>38</v>
      </c>
      <c r="D14" s="15" t="s">
        <v>70</v>
      </c>
      <c r="E14" s="15" t="s">
        <v>85</v>
      </c>
      <c r="F14" s="16">
        <v>804</v>
      </c>
      <c r="G14" s="17">
        <v>24263.35</v>
      </c>
      <c r="H14" s="17">
        <v>4847.33</v>
      </c>
      <c r="I14" s="19">
        <v>19507733.399999999</v>
      </c>
      <c r="J14" s="15" t="s">
        <v>30</v>
      </c>
      <c r="K14" s="15" t="s">
        <v>18</v>
      </c>
      <c r="L14" s="9">
        <f>YEAR(E14)</f>
        <v>2020</v>
      </c>
      <c r="M14" s="11">
        <f t="shared" si="0"/>
        <v>3897253.32</v>
      </c>
      <c r="U14" s="63">
        <v>2023</v>
      </c>
      <c r="V14" s="43">
        <v>3106</v>
      </c>
      <c r="W14" s="44">
        <v>29606.614000000001</v>
      </c>
      <c r="X14" s="44">
        <v>91997798.280000001</v>
      </c>
      <c r="Y14" s="61">
        <v>16939093.07</v>
      </c>
    </row>
    <row r="15" spans="1:25" ht="20" customHeight="1" x14ac:dyDescent="0.15">
      <c r="A15" s="12"/>
      <c r="B15" s="13" t="s">
        <v>13</v>
      </c>
      <c r="C15" s="14" t="s">
        <v>43</v>
      </c>
      <c r="D15" s="15" t="s">
        <v>70</v>
      </c>
      <c r="E15" s="15" t="s">
        <v>87</v>
      </c>
      <c r="F15" s="16">
        <v>158</v>
      </c>
      <c r="G15" s="17">
        <v>33199.440000000002</v>
      </c>
      <c r="H15" s="17">
        <v>5295.09</v>
      </c>
      <c r="I15" s="17">
        <v>5245511.5199999996</v>
      </c>
      <c r="J15" s="15" t="s">
        <v>17</v>
      </c>
      <c r="K15" s="15" t="s">
        <v>18</v>
      </c>
      <c r="L15" s="9">
        <f>YEAR(E15)</f>
        <v>2020</v>
      </c>
      <c r="M15" s="11">
        <f t="shared" si="0"/>
        <v>836624.22</v>
      </c>
      <c r="U15" s="42" t="s">
        <v>26</v>
      </c>
      <c r="V15" s="43">
        <v>6803</v>
      </c>
      <c r="W15" s="44">
        <v>27749.165625000001</v>
      </c>
      <c r="X15" s="44">
        <v>187473238.19999996</v>
      </c>
      <c r="Y15" s="61">
        <v>44947543.719999991</v>
      </c>
    </row>
    <row r="16" spans="1:25" ht="20" customHeight="1" x14ac:dyDescent="0.15">
      <c r="A16" s="12"/>
      <c r="B16" s="13" t="s">
        <v>13</v>
      </c>
      <c r="C16" s="14" t="s">
        <v>79</v>
      </c>
      <c r="D16" s="15" t="s">
        <v>89</v>
      </c>
      <c r="E16" s="15" t="s">
        <v>91</v>
      </c>
      <c r="F16" s="16">
        <v>208</v>
      </c>
      <c r="G16" s="19">
        <v>31322.799999999999</v>
      </c>
      <c r="H16" s="17">
        <v>7800.08</v>
      </c>
      <c r="I16" s="19">
        <v>6515142.4000000004</v>
      </c>
      <c r="J16" s="15" t="s">
        <v>17</v>
      </c>
      <c r="K16" s="15" t="s">
        <v>18</v>
      </c>
      <c r="L16" s="9">
        <f>YEAR(E16)</f>
        <v>2020</v>
      </c>
      <c r="M16" s="11">
        <f t="shared" si="0"/>
        <v>1622416.64</v>
      </c>
      <c r="U16" s="63">
        <v>2020</v>
      </c>
      <c r="V16" s="43">
        <v>2357</v>
      </c>
      <c r="W16" s="44">
        <v>24886.362500000003</v>
      </c>
      <c r="X16" s="44">
        <v>68742504.889999986</v>
      </c>
      <c r="Y16" s="61">
        <v>17702611.43</v>
      </c>
    </row>
    <row r="17" spans="1:25" ht="20" customHeight="1" x14ac:dyDescent="0.15">
      <c r="A17" s="12"/>
      <c r="B17" s="13" t="s">
        <v>13</v>
      </c>
      <c r="C17" s="14" t="s">
        <v>35</v>
      </c>
      <c r="D17" s="15" t="s">
        <v>89</v>
      </c>
      <c r="E17" s="15" t="s">
        <v>103</v>
      </c>
      <c r="F17" s="16">
        <v>585</v>
      </c>
      <c r="G17" s="17">
        <v>36047.54</v>
      </c>
      <c r="H17" s="19">
        <v>7586.5</v>
      </c>
      <c r="I17" s="19">
        <v>21087810.899999999</v>
      </c>
      <c r="J17" s="15" t="s">
        <v>17</v>
      </c>
      <c r="K17" s="15" t="s">
        <v>18</v>
      </c>
      <c r="L17" s="9">
        <f>YEAR(E17)</f>
        <v>2020</v>
      </c>
      <c r="M17" s="11">
        <f t="shared" si="0"/>
        <v>4438102.5</v>
      </c>
      <c r="U17" s="63">
        <v>2021</v>
      </c>
      <c r="V17" s="43">
        <v>1613</v>
      </c>
      <c r="W17" s="44">
        <v>25104.865000000002</v>
      </c>
      <c r="X17" s="44">
        <v>27954304.420000002</v>
      </c>
      <c r="Y17" s="61">
        <v>11621741.35</v>
      </c>
    </row>
    <row r="18" spans="1:25" ht="20" customHeight="1" x14ac:dyDescent="0.15">
      <c r="A18" s="12"/>
      <c r="B18" s="13" t="s">
        <v>13</v>
      </c>
      <c r="C18" s="14" t="s">
        <v>31</v>
      </c>
      <c r="D18" s="15" t="s">
        <v>89</v>
      </c>
      <c r="E18" s="15" t="s">
        <v>105</v>
      </c>
      <c r="F18" s="16">
        <v>481</v>
      </c>
      <c r="G18" s="17">
        <v>28731.34</v>
      </c>
      <c r="H18" s="17">
        <v>7792.24</v>
      </c>
      <c r="I18" s="17">
        <v>13819774.539999999</v>
      </c>
      <c r="J18" s="15" t="s">
        <v>22</v>
      </c>
      <c r="K18" s="15" t="s">
        <v>18</v>
      </c>
      <c r="L18" s="9">
        <f>YEAR(E18)</f>
        <v>2020</v>
      </c>
      <c r="M18" s="11">
        <f t="shared" si="0"/>
        <v>3748067.44</v>
      </c>
      <c r="U18" s="63">
        <v>2022</v>
      </c>
      <c r="V18" s="43">
        <v>1800</v>
      </c>
      <c r="W18" s="44">
        <v>30270.695</v>
      </c>
      <c r="X18" s="44">
        <v>57047746.099999994</v>
      </c>
      <c r="Y18" s="61">
        <v>8343413.4500000002</v>
      </c>
    </row>
    <row r="19" spans="1:25" ht="20" customHeight="1" x14ac:dyDescent="0.15">
      <c r="A19" s="12"/>
      <c r="B19" s="13" t="s">
        <v>13</v>
      </c>
      <c r="C19" s="14" t="s">
        <v>19</v>
      </c>
      <c r="D19" s="15" t="s">
        <v>107</v>
      </c>
      <c r="E19" s="15" t="s">
        <v>109</v>
      </c>
      <c r="F19" s="16">
        <v>592</v>
      </c>
      <c r="G19" s="17">
        <v>10021.32</v>
      </c>
      <c r="H19" s="17">
        <v>7255.38</v>
      </c>
      <c r="I19" s="17">
        <v>5932621.4400000004</v>
      </c>
      <c r="J19" s="15" t="s">
        <v>17</v>
      </c>
      <c r="K19" s="15" t="s">
        <v>18</v>
      </c>
      <c r="L19" s="9">
        <f>YEAR(E19)</f>
        <v>2020</v>
      </c>
      <c r="M19" s="11">
        <f t="shared" si="0"/>
        <v>4295184.96</v>
      </c>
      <c r="U19" s="63">
        <v>2023</v>
      </c>
      <c r="V19" s="43">
        <v>1033</v>
      </c>
      <c r="W19" s="44">
        <v>30734.74</v>
      </c>
      <c r="X19" s="44">
        <v>33728682.789999999</v>
      </c>
      <c r="Y19" s="61">
        <v>7279777.4900000002</v>
      </c>
    </row>
    <row r="20" spans="1:25" ht="20" customHeight="1" x14ac:dyDescent="0.15">
      <c r="A20" s="12"/>
      <c r="B20" s="13" t="s">
        <v>13</v>
      </c>
      <c r="C20" s="14" t="s">
        <v>23</v>
      </c>
      <c r="D20" s="15" t="s">
        <v>107</v>
      </c>
      <c r="E20" s="15" t="s">
        <v>110</v>
      </c>
      <c r="F20" s="16">
        <v>537</v>
      </c>
      <c r="G20" s="17">
        <v>18603.64</v>
      </c>
      <c r="H20" s="17">
        <v>5520.33</v>
      </c>
      <c r="I20" s="17">
        <v>9990154.6799999997</v>
      </c>
      <c r="J20" s="15" t="s">
        <v>28</v>
      </c>
      <c r="K20" s="15" t="s">
        <v>18</v>
      </c>
      <c r="L20" s="9">
        <f>YEAR(E20)</f>
        <v>2020</v>
      </c>
      <c r="M20" s="11">
        <f t="shared" si="0"/>
        <v>2964417.21</v>
      </c>
      <c r="U20" s="42" t="s">
        <v>68</v>
      </c>
      <c r="V20" s="43">
        <v>12008</v>
      </c>
      <c r="W20" s="44">
        <v>29342.741428571426</v>
      </c>
      <c r="X20" s="44">
        <v>345016548.11999995</v>
      </c>
      <c r="Y20" s="61">
        <v>67378088.049999997</v>
      </c>
    </row>
    <row r="21" spans="1:25" ht="20" customHeight="1" x14ac:dyDescent="0.15">
      <c r="A21" s="12"/>
      <c r="B21" s="13" t="s">
        <v>13</v>
      </c>
      <c r="C21" s="14" t="s">
        <v>43</v>
      </c>
      <c r="D21" s="15" t="s">
        <v>107</v>
      </c>
      <c r="E21" s="15" t="s">
        <v>117</v>
      </c>
      <c r="F21" s="16">
        <v>492</v>
      </c>
      <c r="G21" s="17">
        <v>49229.66</v>
      </c>
      <c r="H21" s="17">
        <v>7287.84</v>
      </c>
      <c r="I21" s="17">
        <v>24220992.719999999</v>
      </c>
      <c r="J21" s="15" t="s">
        <v>17</v>
      </c>
      <c r="K21" s="15" t="s">
        <v>18</v>
      </c>
      <c r="L21" s="9">
        <f>YEAR(E21)</f>
        <v>2020</v>
      </c>
      <c r="M21" s="11">
        <f t="shared" si="0"/>
        <v>3585617.2800000003</v>
      </c>
      <c r="U21" s="63">
        <v>2020</v>
      </c>
      <c r="V21" s="43">
        <v>3177</v>
      </c>
      <c r="W21" s="44">
        <v>28323.227142857144</v>
      </c>
      <c r="X21" s="44">
        <v>87396764.010000005</v>
      </c>
      <c r="Y21" s="61">
        <v>20016146.169999998</v>
      </c>
    </row>
    <row r="22" spans="1:25" ht="20" customHeight="1" x14ac:dyDescent="0.15">
      <c r="A22" s="12"/>
      <c r="B22" s="13" t="s">
        <v>13</v>
      </c>
      <c r="C22" s="14" t="s">
        <v>23</v>
      </c>
      <c r="D22" s="15" t="s">
        <v>107</v>
      </c>
      <c r="E22" s="15" t="s">
        <v>119</v>
      </c>
      <c r="F22" s="16">
        <v>604</v>
      </c>
      <c r="G22" s="17">
        <v>26272.25</v>
      </c>
      <c r="H22" s="17">
        <v>3836.47</v>
      </c>
      <c r="I22" s="16">
        <v>15868439</v>
      </c>
      <c r="J22" s="15" t="s">
        <v>17</v>
      </c>
      <c r="K22" s="15" t="s">
        <v>18</v>
      </c>
      <c r="L22" s="9">
        <f>YEAR(E22)</f>
        <v>2020</v>
      </c>
      <c r="M22" s="11">
        <f t="shared" si="0"/>
        <v>2317227.88</v>
      </c>
      <c r="U22" s="63">
        <v>2021</v>
      </c>
      <c r="V22" s="43">
        <v>4278</v>
      </c>
      <c r="W22" s="44">
        <v>30810.565714285716</v>
      </c>
      <c r="X22" s="44">
        <v>138343352.59</v>
      </c>
      <c r="Y22" s="61">
        <v>26493034.860000003</v>
      </c>
    </row>
    <row r="23" spans="1:25" ht="20" customHeight="1" x14ac:dyDescent="0.15">
      <c r="A23" s="12"/>
      <c r="B23" s="13" t="s">
        <v>13</v>
      </c>
      <c r="C23" s="14" t="s">
        <v>43</v>
      </c>
      <c r="D23" s="15" t="s">
        <v>68</v>
      </c>
      <c r="E23" s="15" t="s">
        <v>120</v>
      </c>
      <c r="F23" s="16">
        <v>204</v>
      </c>
      <c r="G23" s="17">
        <v>22765.81</v>
      </c>
      <c r="H23" s="17">
        <v>5848.05</v>
      </c>
      <c r="I23" s="17">
        <v>4644225.24</v>
      </c>
      <c r="J23" s="15" t="s">
        <v>17</v>
      </c>
      <c r="K23" s="15" t="s">
        <v>18</v>
      </c>
      <c r="L23" s="9">
        <f>YEAR(E23)</f>
        <v>2020</v>
      </c>
      <c r="M23" s="11">
        <f t="shared" si="0"/>
        <v>1193002.2</v>
      </c>
      <c r="U23" s="63">
        <v>2022</v>
      </c>
      <c r="V23" s="43">
        <v>3536</v>
      </c>
      <c r="W23" s="44">
        <v>25451.376</v>
      </c>
      <c r="X23" s="44">
        <v>83353960.950000003</v>
      </c>
      <c r="Y23" s="61">
        <v>13673078.34</v>
      </c>
    </row>
    <row r="24" spans="1:25" ht="20" customHeight="1" x14ac:dyDescent="0.15">
      <c r="A24" s="12"/>
      <c r="B24" s="13" t="s">
        <v>13</v>
      </c>
      <c r="C24" s="14" t="s">
        <v>38</v>
      </c>
      <c r="D24" s="15" t="s">
        <v>68</v>
      </c>
      <c r="E24" s="15" t="s">
        <v>124</v>
      </c>
      <c r="F24" s="16">
        <v>898</v>
      </c>
      <c r="G24" s="17">
        <v>21737.75</v>
      </c>
      <c r="H24" s="17">
        <v>5661.66</v>
      </c>
      <c r="I24" s="19">
        <v>19520499.5</v>
      </c>
      <c r="J24" s="15" t="s">
        <v>17</v>
      </c>
      <c r="K24" s="15" t="s">
        <v>18</v>
      </c>
      <c r="L24" s="9">
        <f>YEAR(E24)</f>
        <v>2020</v>
      </c>
      <c r="M24" s="11">
        <f t="shared" si="0"/>
        <v>5084170.68</v>
      </c>
      <c r="U24" s="63">
        <v>2023</v>
      </c>
      <c r="V24" s="43">
        <v>1017</v>
      </c>
      <c r="W24" s="44">
        <v>37502.07</v>
      </c>
      <c r="X24" s="44">
        <v>35922470.57</v>
      </c>
      <c r="Y24" s="61">
        <v>7195828.6800000006</v>
      </c>
    </row>
    <row r="25" spans="1:25" ht="20" customHeight="1" x14ac:dyDescent="0.15">
      <c r="A25" s="12"/>
      <c r="B25" s="13" t="s">
        <v>13</v>
      </c>
      <c r="C25" s="14" t="s">
        <v>38</v>
      </c>
      <c r="D25" s="15" t="s">
        <v>68</v>
      </c>
      <c r="E25" s="15" t="s">
        <v>125</v>
      </c>
      <c r="F25" s="16">
        <v>519</v>
      </c>
      <c r="G25" s="17">
        <v>33727.94</v>
      </c>
      <c r="H25" s="17">
        <v>6857.59</v>
      </c>
      <c r="I25" s="17">
        <v>17504800.859999999</v>
      </c>
      <c r="J25" s="15" t="s">
        <v>17</v>
      </c>
      <c r="K25" s="15" t="s">
        <v>18</v>
      </c>
      <c r="L25" s="9">
        <f>YEAR(E25)</f>
        <v>2020</v>
      </c>
      <c r="M25" s="11">
        <f t="shared" si="0"/>
        <v>3559089.21</v>
      </c>
      <c r="U25" s="42" t="s">
        <v>114</v>
      </c>
      <c r="V25" s="43">
        <v>3988</v>
      </c>
      <c r="W25" s="44">
        <v>28067.57</v>
      </c>
      <c r="X25" s="44">
        <v>118217182.22999999</v>
      </c>
      <c r="Y25" s="61">
        <v>17457113.840000004</v>
      </c>
    </row>
    <row r="26" spans="1:25" ht="20" customHeight="1" x14ac:dyDescent="0.15">
      <c r="A26" s="12"/>
      <c r="B26" s="13" t="s">
        <v>13</v>
      </c>
      <c r="C26" s="14" t="s">
        <v>79</v>
      </c>
      <c r="D26" s="15" t="s">
        <v>68</v>
      </c>
      <c r="E26" s="15" t="s">
        <v>131</v>
      </c>
      <c r="F26" s="16">
        <v>123</v>
      </c>
      <c r="G26" s="17">
        <v>28223.94</v>
      </c>
      <c r="H26" s="17">
        <v>4207.7299999999996</v>
      </c>
      <c r="I26" s="17">
        <v>3471544.62</v>
      </c>
      <c r="J26" s="15" t="s">
        <v>17</v>
      </c>
      <c r="K26" s="15" t="s">
        <v>18</v>
      </c>
      <c r="L26" s="9">
        <f>YEAR(E26)</f>
        <v>2020</v>
      </c>
      <c r="M26" s="11">
        <f t="shared" si="0"/>
        <v>517550.78999999992</v>
      </c>
      <c r="U26" s="63">
        <v>2020</v>
      </c>
      <c r="V26" s="43">
        <v>825</v>
      </c>
      <c r="W26" s="44">
        <v>40168.050000000003</v>
      </c>
      <c r="X26" s="44">
        <v>33138641.25</v>
      </c>
      <c r="Y26" s="61">
        <v>3579031.5</v>
      </c>
    </row>
    <row r="27" spans="1:25" ht="20" customHeight="1" x14ac:dyDescent="0.15">
      <c r="A27" s="12"/>
      <c r="B27" s="13" t="s">
        <v>13</v>
      </c>
      <c r="C27" s="14" t="s">
        <v>79</v>
      </c>
      <c r="D27" s="15" t="s">
        <v>68</v>
      </c>
      <c r="E27" s="15" t="s">
        <v>133</v>
      </c>
      <c r="F27" s="16">
        <v>647</v>
      </c>
      <c r="G27" s="17">
        <v>24424.61</v>
      </c>
      <c r="H27" s="17">
        <v>4660.79</v>
      </c>
      <c r="I27" s="17">
        <v>15802722.67</v>
      </c>
      <c r="J27" s="15" t="s">
        <v>30</v>
      </c>
      <c r="K27" s="15" t="s">
        <v>18</v>
      </c>
      <c r="L27" s="9">
        <f>YEAR(E27)</f>
        <v>2020</v>
      </c>
      <c r="M27" s="11">
        <f t="shared" ref="M5:M68" si="1">H27*F27</f>
        <v>3015531.13</v>
      </c>
      <c r="U27" s="63">
        <v>2021</v>
      </c>
      <c r="V27" s="43">
        <v>496</v>
      </c>
      <c r="W27" s="44">
        <v>16337.54</v>
      </c>
      <c r="X27" s="44">
        <v>8103419.8399999999</v>
      </c>
      <c r="Y27" s="61">
        <v>3657662.7199999997</v>
      </c>
    </row>
    <row r="28" spans="1:25" ht="20" customHeight="1" x14ac:dyDescent="0.15">
      <c r="A28" s="12"/>
      <c r="B28" s="13" t="s">
        <v>13</v>
      </c>
      <c r="C28" s="14" t="s">
        <v>35</v>
      </c>
      <c r="D28" s="15" t="s">
        <v>68</v>
      </c>
      <c r="E28" s="15" t="s">
        <v>136</v>
      </c>
      <c r="F28" s="16">
        <v>396</v>
      </c>
      <c r="G28" s="17">
        <v>28963.42</v>
      </c>
      <c r="H28" s="17">
        <v>9765.76</v>
      </c>
      <c r="I28" s="17">
        <v>11469514.32</v>
      </c>
      <c r="J28" s="15" t="s">
        <v>30</v>
      </c>
      <c r="K28" s="15" t="s">
        <v>18</v>
      </c>
      <c r="L28" s="9">
        <f>YEAR(E28)</f>
        <v>2020</v>
      </c>
      <c r="M28" s="11">
        <f t="shared" si="1"/>
        <v>3867240.96</v>
      </c>
      <c r="U28" s="63">
        <v>2022</v>
      </c>
      <c r="V28" s="43">
        <v>1076</v>
      </c>
      <c r="W28" s="44">
        <v>19005.400000000001</v>
      </c>
      <c r="X28" s="44">
        <v>25031738.300000001</v>
      </c>
      <c r="Y28" s="61">
        <v>3745828.4200000004</v>
      </c>
    </row>
    <row r="29" spans="1:25" ht="20" customHeight="1" x14ac:dyDescent="0.15">
      <c r="A29" s="12"/>
      <c r="B29" s="13" t="s">
        <v>13</v>
      </c>
      <c r="C29" s="14" t="s">
        <v>43</v>
      </c>
      <c r="D29" s="15" t="s">
        <v>68</v>
      </c>
      <c r="E29" s="15" t="s">
        <v>137</v>
      </c>
      <c r="F29" s="16">
        <v>390</v>
      </c>
      <c r="G29" s="17">
        <v>38419.120000000003</v>
      </c>
      <c r="H29" s="17">
        <v>7127.08</v>
      </c>
      <c r="I29" s="19">
        <v>14983456.800000001</v>
      </c>
      <c r="J29" s="15" t="s">
        <v>17</v>
      </c>
      <c r="K29" s="15" t="s">
        <v>18</v>
      </c>
      <c r="L29" s="9">
        <f>YEAR(E29)</f>
        <v>2020</v>
      </c>
      <c r="M29" s="11">
        <f t="shared" si="1"/>
        <v>2779561.2</v>
      </c>
      <c r="U29" s="63">
        <v>2023</v>
      </c>
      <c r="V29" s="43">
        <v>1591</v>
      </c>
      <c r="W29" s="44">
        <v>33985.533333333333</v>
      </c>
      <c r="X29" s="44">
        <v>51943382.840000004</v>
      </c>
      <c r="Y29" s="61">
        <v>6474591.2000000002</v>
      </c>
    </row>
    <row r="30" spans="1:25" ht="20" customHeight="1" x14ac:dyDescent="0.15">
      <c r="A30" s="12"/>
      <c r="B30" s="13" t="s">
        <v>13</v>
      </c>
      <c r="C30" s="14" t="s">
        <v>14</v>
      </c>
      <c r="D30" s="15" t="s">
        <v>139</v>
      </c>
      <c r="E30" s="15" t="s">
        <v>143</v>
      </c>
      <c r="F30" s="16">
        <v>290</v>
      </c>
      <c r="G30" s="17">
        <v>18007.189999999999</v>
      </c>
      <c r="H30" s="17">
        <v>9572.06</v>
      </c>
      <c r="I30" s="19">
        <v>5222085.0999999996</v>
      </c>
      <c r="J30" s="15" t="s">
        <v>22</v>
      </c>
      <c r="K30" s="15" t="s">
        <v>18</v>
      </c>
      <c r="L30" s="9">
        <f>YEAR(E30)</f>
        <v>2020</v>
      </c>
      <c r="M30" s="11">
        <f t="shared" si="1"/>
        <v>2775897.4</v>
      </c>
      <c r="U30" s="42" t="s">
        <v>107</v>
      </c>
      <c r="V30" s="43">
        <v>5161</v>
      </c>
      <c r="W30" s="44">
        <v>28225.077272727271</v>
      </c>
      <c r="X30" s="44">
        <v>140735705.06999999</v>
      </c>
      <c r="Y30" s="61">
        <v>31561665.379999999</v>
      </c>
    </row>
    <row r="31" spans="1:25" ht="20" customHeight="1" x14ac:dyDescent="0.15">
      <c r="A31" s="12"/>
      <c r="B31" s="13" t="s">
        <v>13</v>
      </c>
      <c r="C31" s="14" t="s">
        <v>31</v>
      </c>
      <c r="D31" s="15" t="s">
        <v>139</v>
      </c>
      <c r="E31" s="15" t="s">
        <v>150</v>
      </c>
      <c r="F31" s="16">
        <v>511</v>
      </c>
      <c r="G31" s="17">
        <v>28130.25</v>
      </c>
      <c r="H31" s="17">
        <v>9295.18</v>
      </c>
      <c r="I31" s="17">
        <v>14374557.75</v>
      </c>
      <c r="J31" s="15" t="s">
        <v>17</v>
      </c>
      <c r="K31" s="15" t="s">
        <v>18</v>
      </c>
      <c r="L31" s="9">
        <f>YEAR(E31)</f>
        <v>2020</v>
      </c>
      <c r="M31" s="11">
        <f t="shared" si="1"/>
        <v>4749836.9800000004</v>
      </c>
      <c r="U31" s="63">
        <v>2020</v>
      </c>
      <c r="V31" s="43">
        <v>2225</v>
      </c>
      <c r="W31" s="44">
        <v>26031.717499999999</v>
      </c>
      <c r="X31" s="44">
        <v>56012207.840000004</v>
      </c>
      <c r="Y31" s="61">
        <v>13162447.329999998</v>
      </c>
    </row>
    <row r="32" spans="1:25" ht="20" customHeight="1" x14ac:dyDescent="0.15">
      <c r="A32" s="12"/>
      <c r="B32" s="13" t="s">
        <v>13</v>
      </c>
      <c r="C32" s="14" t="s">
        <v>43</v>
      </c>
      <c r="D32" s="15" t="s">
        <v>139</v>
      </c>
      <c r="E32" s="15" t="s">
        <v>151</v>
      </c>
      <c r="F32" s="16">
        <v>747</v>
      </c>
      <c r="G32" s="17">
        <v>32440.35</v>
      </c>
      <c r="H32" s="17">
        <v>7368.96</v>
      </c>
      <c r="I32" s="17">
        <v>24232941.449999999</v>
      </c>
      <c r="J32" s="15" t="s">
        <v>17</v>
      </c>
      <c r="K32" s="15" t="s">
        <v>18</v>
      </c>
      <c r="L32" s="9">
        <f>YEAR(E32)</f>
        <v>2020</v>
      </c>
      <c r="M32" s="11">
        <f t="shared" si="1"/>
        <v>5504613.1200000001</v>
      </c>
      <c r="U32" s="63">
        <v>2021</v>
      </c>
      <c r="V32" s="43">
        <v>1360</v>
      </c>
      <c r="W32" s="44">
        <v>34926.07</v>
      </c>
      <c r="X32" s="44">
        <v>46472338.480000004</v>
      </c>
      <c r="Y32" s="61">
        <v>8934818.8200000003</v>
      </c>
    </row>
    <row r="33" spans="1:25" ht="20" customHeight="1" x14ac:dyDescent="0.15">
      <c r="A33" s="12"/>
      <c r="B33" s="13" t="s">
        <v>13</v>
      </c>
      <c r="C33" s="14" t="s">
        <v>43</v>
      </c>
      <c r="D33" s="15" t="s">
        <v>139</v>
      </c>
      <c r="E33" s="15" t="s">
        <v>152</v>
      </c>
      <c r="F33" s="16">
        <v>729</v>
      </c>
      <c r="G33" s="17">
        <v>43688.56</v>
      </c>
      <c r="H33" s="16">
        <v>7472</v>
      </c>
      <c r="I33" s="17">
        <v>31848960.239999998</v>
      </c>
      <c r="J33" s="15" t="s">
        <v>22</v>
      </c>
      <c r="K33" s="15" t="s">
        <v>18</v>
      </c>
      <c r="L33" s="9">
        <f>YEAR(E33)</f>
        <v>2020</v>
      </c>
      <c r="M33" s="11">
        <f t="shared" si="1"/>
        <v>5447088</v>
      </c>
      <c r="U33" s="63">
        <v>2022</v>
      </c>
      <c r="V33" s="43">
        <v>1289</v>
      </c>
      <c r="W33" s="44">
        <v>24891.264999999999</v>
      </c>
      <c r="X33" s="44">
        <v>33411715.960000001</v>
      </c>
      <c r="Y33" s="61">
        <v>8249456.4800000004</v>
      </c>
    </row>
    <row r="34" spans="1:25" ht="20" customHeight="1" x14ac:dyDescent="0.15">
      <c r="A34" s="12"/>
      <c r="B34" s="13" t="s">
        <v>13</v>
      </c>
      <c r="C34" s="14" t="s">
        <v>25</v>
      </c>
      <c r="D34" s="15" t="s">
        <v>153</v>
      </c>
      <c r="E34" s="15" t="s">
        <v>156</v>
      </c>
      <c r="F34" s="16">
        <v>618</v>
      </c>
      <c r="G34" s="17">
        <v>34261.660000000003</v>
      </c>
      <c r="H34" s="17">
        <v>9850.59</v>
      </c>
      <c r="I34" s="17">
        <v>21173705.879999999</v>
      </c>
      <c r="J34" s="15" t="s">
        <v>17</v>
      </c>
      <c r="K34" s="15" t="s">
        <v>18</v>
      </c>
      <c r="L34" s="9">
        <f>YEAR(E34)</f>
        <v>2020</v>
      </c>
      <c r="M34" s="11">
        <f t="shared" si="1"/>
        <v>6087664.6200000001</v>
      </c>
      <c r="U34" s="63">
        <v>2023</v>
      </c>
      <c r="V34" s="43">
        <v>287</v>
      </c>
      <c r="W34" s="44">
        <v>16862.169999999998</v>
      </c>
      <c r="X34" s="44">
        <v>4839442.79</v>
      </c>
      <c r="Y34" s="61">
        <v>1214942.75</v>
      </c>
    </row>
    <row r="35" spans="1:25" ht="20" customHeight="1" x14ac:dyDescent="0.15">
      <c r="A35" s="12"/>
      <c r="B35" s="13" t="s">
        <v>13</v>
      </c>
      <c r="C35" s="14" t="s">
        <v>79</v>
      </c>
      <c r="D35" s="15" t="s">
        <v>153</v>
      </c>
      <c r="E35" s="15" t="s">
        <v>157</v>
      </c>
      <c r="F35" s="16">
        <v>706</v>
      </c>
      <c r="G35" s="17">
        <v>35409.89</v>
      </c>
      <c r="H35" s="16">
        <v>6520</v>
      </c>
      <c r="I35" s="17">
        <v>24999382.34</v>
      </c>
      <c r="J35" s="15" t="s">
        <v>22</v>
      </c>
      <c r="K35" s="15" t="s">
        <v>18</v>
      </c>
      <c r="L35" s="9">
        <f>YEAR(E35)</f>
        <v>2020</v>
      </c>
      <c r="M35" s="11">
        <f t="shared" si="1"/>
        <v>4603120</v>
      </c>
      <c r="U35" s="42" t="s">
        <v>15</v>
      </c>
      <c r="V35" s="43">
        <v>4868</v>
      </c>
      <c r="W35" s="44">
        <v>34435.353333333333</v>
      </c>
      <c r="X35" s="44">
        <v>171323702.76999998</v>
      </c>
      <c r="Y35" s="61">
        <v>27601485.34</v>
      </c>
    </row>
    <row r="36" spans="1:25" ht="20" customHeight="1" x14ac:dyDescent="0.15">
      <c r="A36" s="12"/>
      <c r="B36" s="13" t="s">
        <v>13</v>
      </c>
      <c r="C36" s="14" t="s">
        <v>19</v>
      </c>
      <c r="D36" s="15" t="s">
        <v>153</v>
      </c>
      <c r="E36" s="15" t="s">
        <v>159</v>
      </c>
      <c r="F36" s="16">
        <v>316</v>
      </c>
      <c r="G36" s="17">
        <v>35104.26</v>
      </c>
      <c r="H36" s="17">
        <v>2739.19</v>
      </c>
      <c r="I36" s="17">
        <v>11092946.16</v>
      </c>
      <c r="J36" s="15" t="s">
        <v>17</v>
      </c>
      <c r="K36" s="15" t="s">
        <v>18</v>
      </c>
      <c r="L36" s="9">
        <f>YEAR(E36)</f>
        <v>2020</v>
      </c>
      <c r="M36" s="11">
        <f t="shared" si="1"/>
        <v>865584.04</v>
      </c>
      <c r="U36" s="63">
        <v>2020</v>
      </c>
      <c r="V36" s="43">
        <v>1999</v>
      </c>
      <c r="W36" s="44">
        <v>31879.906666666666</v>
      </c>
      <c r="X36" s="44">
        <v>68701026.129999995</v>
      </c>
      <c r="Y36" s="61">
        <v>9586942.790000001</v>
      </c>
    </row>
    <row r="37" spans="1:25" ht="20" customHeight="1" x14ac:dyDescent="0.15">
      <c r="A37" s="12"/>
      <c r="B37" s="13" t="s">
        <v>13</v>
      </c>
      <c r="C37" s="14" t="s">
        <v>25</v>
      </c>
      <c r="D37" s="15" t="s">
        <v>153</v>
      </c>
      <c r="E37" s="15" t="s">
        <v>162</v>
      </c>
      <c r="F37" s="16">
        <v>890</v>
      </c>
      <c r="G37" s="17">
        <v>20914.84</v>
      </c>
      <c r="H37" s="17">
        <v>7851.32</v>
      </c>
      <c r="I37" s="19">
        <v>18614207.600000001</v>
      </c>
      <c r="J37" s="15" t="s">
        <v>17</v>
      </c>
      <c r="K37" s="15" t="s">
        <v>18</v>
      </c>
      <c r="L37" s="9">
        <f>YEAR(E37)</f>
        <v>2020</v>
      </c>
      <c r="M37" s="11">
        <f t="shared" si="1"/>
        <v>6987674.7999999998</v>
      </c>
      <c r="U37" s="63">
        <v>2021</v>
      </c>
      <c r="V37" s="43">
        <v>1072</v>
      </c>
      <c r="W37" s="44">
        <v>34006.943333333336</v>
      </c>
      <c r="X37" s="44">
        <v>33921752.049999997</v>
      </c>
      <c r="Y37" s="61">
        <v>5595852.04</v>
      </c>
    </row>
    <row r="38" spans="1:25" ht="20" customHeight="1" x14ac:dyDescent="0.15">
      <c r="A38" s="12"/>
      <c r="B38" s="13" t="s">
        <v>13</v>
      </c>
      <c r="C38" s="14" t="s">
        <v>38</v>
      </c>
      <c r="D38" s="15" t="s">
        <v>153</v>
      </c>
      <c r="E38" s="15" t="s">
        <v>164</v>
      </c>
      <c r="F38" s="16">
        <v>444</v>
      </c>
      <c r="G38" s="17">
        <v>25730.68</v>
      </c>
      <c r="H38" s="17">
        <v>5539.83</v>
      </c>
      <c r="I38" s="17">
        <v>11424421.92</v>
      </c>
      <c r="J38" s="15" t="s">
        <v>17</v>
      </c>
      <c r="K38" s="15" t="s">
        <v>18</v>
      </c>
      <c r="L38" s="9">
        <f>YEAR(E38)</f>
        <v>2020</v>
      </c>
      <c r="M38" s="11">
        <f>H38*F38</f>
        <v>2459684.52</v>
      </c>
      <c r="U38" s="63">
        <v>2023</v>
      </c>
      <c r="V38" s="43">
        <v>1797</v>
      </c>
      <c r="W38" s="44">
        <v>37419.21</v>
      </c>
      <c r="X38" s="44">
        <v>68700924.590000004</v>
      </c>
      <c r="Y38" s="61">
        <v>12418690.51</v>
      </c>
    </row>
    <row r="39" spans="1:25" ht="20" customHeight="1" x14ac:dyDescent="0.15">
      <c r="A39" s="12"/>
      <c r="B39" s="13" t="s">
        <v>13</v>
      </c>
      <c r="C39" s="14" t="s">
        <v>23</v>
      </c>
      <c r="D39" s="15" t="s">
        <v>114</v>
      </c>
      <c r="E39" s="15" t="s">
        <v>172</v>
      </c>
      <c r="F39" s="16">
        <v>825</v>
      </c>
      <c r="G39" s="17">
        <v>40168.050000000003</v>
      </c>
      <c r="H39" s="17">
        <v>4338.22</v>
      </c>
      <c r="I39" s="17">
        <v>33138641.25</v>
      </c>
      <c r="J39" s="15" t="s">
        <v>22</v>
      </c>
      <c r="K39" s="15" t="s">
        <v>18</v>
      </c>
      <c r="L39" s="9">
        <f>YEAR(E39)</f>
        <v>2020</v>
      </c>
      <c r="M39" s="11">
        <f t="shared" si="1"/>
        <v>3579031.5</v>
      </c>
      <c r="U39" s="42" t="s">
        <v>139</v>
      </c>
      <c r="V39" s="43">
        <v>6445</v>
      </c>
      <c r="W39" s="44">
        <v>25150.25153846154</v>
      </c>
      <c r="X39" s="44">
        <v>167259813.44999999</v>
      </c>
      <c r="Y39" s="61">
        <v>42863178.540000007</v>
      </c>
    </row>
    <row r="40" spans="1:25" ht="20" customHeight="1" x14ac:dyDescent="0.15">
      <c r="A40" s="12"/>
      <c r="B40" s="13" t="s">
        <v>13</v>
      </c>
      <c r="C40" s="14" t="s">
        <v>23</v>
      </c>
      <c r="D40" s="15" t="s">
        <v>15</v>
      </c>
      <c r="E40" s="15" t="s">
        <v>29</v>
      </c>
      <c r="F40" s="16">
        <v>670</v>
      </c>
      <c r="G40" s="17">
        <v>29082.54</v>
      </c>
      <c r="H40" s="17">
        <v>4982.72</v>
      </c>
      <c r="I40" s="19">
        <v>19485301.800000001</v>
      </c>
      <c r="J40" s="15" t="s">
        <v>30</v>
      </c>
      <c r="K40" s="15" t="s">
        <v>18</v>
      </c>
      <c r="L40" s="9">
        <f>YEAR(E40)</f>
        <v>2021</v>
      </c>
      <c r="M40" s="11">
        <f t="shared" si="1"/>
        <v>3338422.4000000004</v>
      </c>
      <c r="U40" s="63">
        <v>2020</v>
      </c>
      <c r="V40" s="43">
        <v>2277</v>
      </c>
      <c r="W40" s="44">
        <v>30566.587500000001</v>
      </c>
      <c r="X40" s="44">
        <v>75678544.539999992</v>
      </c>
      <c r="Y40" s="61">
        <v>18477435.5</v>
      </c>
    </row>
    <row r="41" spans="1:25" ht="20" customHeight="1" x14ac:dyDescent="0.15">
      <c r="A41" s="12"/>
      <c r="B41" s="13" t="s">
        <v>13</v>
      </c>
      <c r="C41" s="14" t="s">
        <v>31</v>
      </c>
      <c r="D41" s="15" t="s">
        <v>15</v>
      </c>
      <c r="E41" s="15" t="s">
        <v>32</v>
      </c>
      <c r="F41" s="16">
        <v>293</v>
      </c>
      <c r="G41" s="17">
        <v>35250.959999999999</v>
      </c>
      <c r="H41" s="17">
        <v>4432.8900000000003</v>
      </c>
      <c r="I41" s="17">
        <v>10328531.279999999</v>
      </c>
      <c r="J41" s="15" t="s">
        <v>17</v>
      </c>
      <c r="K41" s="15" t="s">
        <v>18</v>
      </c>
      <c r="L41" s="9">
        <f>YEAR(E41)</f>
        <v>2021</v>
      </c>
      <c r="M41" s="11">
        <f>H41*F41</f>
        <v>1298836.77</v>
      </c>
      <c r="U41" s="63">
        <v>2021</v>
      </c>
      <c r="V41" s="43">
        <v>1486</v>
      </c>
      <c r="W41" s="44">
        <v>24266.08666666667</v>
      </c>
      <c r="X41" s="44">
        <v>35364947.670000002</v>
      </c>
      <c r="Y41" s="61">
        <v>8763467.2100000009</v>
      </c>
    </row>
    <row r="42" spans="1:25" ht="20" customHeight="1" x14ac:dyDescent="0.15">
      <c r="A42" s="12"/>
      <c r="B42" s="13" t="s">
        <v>13</v>
      </c>
      <c r="C42" s="14" t="s">
        <v>25</v>
      </c>
      <c r="D42" s="15" t="s">
        <v>15</v>
      </c>
      <c r="E42" s="15" t="s">
        <v>33</v>
      </c>
      <c r="F42" s="16">
        <v>109</v>
      </c>
      <c r="G42" s="17">
        <v>37687.33</v>
      </c>
      <c r="H42" s="17">
        <v>8794.43</v>
      </c>
      <c r="I42" s="17">
        <v>4107918.97</v>
      </c>
      <c r="J42" s="15" t="s">
        <v>28</v>
      </c>
      <c r="K42" s="15" t="s">
        <v>18</v>
      </c>
      <c r="L42" s="9">
        <f>YEAR(E42)</f>
        <v>2021</v>
      </c>
      <c r="M42" s="11">
        <f t="shared" ref="M42:M43" si="2">H42*F42</f>
        <v>958592.87</v>
      </c>
      <c r="U42" s="63">
        <v>2022</v>
      </c>
      <c r="V42" s="43">
        <v>1489</v>
      </c>
      <c r="W42" s="44">
        <v>18158.833333333332</v>
      </c>
      <c r="X42" s="44">
        <v>27351436.949999999</v>
      </c>
      <c r="Y42" s="61">
        <v>7573840.29</v>
      </c>
    </row>
    <row r="43" spans="1:25" ht="20" customHeight="1" x14ac:dyDescent="0.15">
      <c r="A43" s="12"/>
      <c r="B43" s="13" t="s">
        <v>13</v>
      </c>
      <c r="C43" s="14" t="s">
        <v>35</v>
      </c>
      <c r="D43" s="15" t="s">
        <v>26</v>
      </c>
      <c r="E43" s="15" t="s">
        <v>36</v>
      </c>
      <c r="F43" s="16">
        <v>108</v>
      </c>
      <c r="G43" s="17">
        <v>37249.78</v>
      </c>
      <c r="H43" s="17">
        <v>4225.05</v>
      </c>
      <c r="I43" s="17">
        <v>4022976.24</v>
      </c>
      <c r="J43" s="15" t="s">
        <v>22</v>
      </c>
      <c r="K43" s="15" t="s">
        <v>18</v>
      </c>
      <c r="L43" s="9">
        <f>YEAR(E43)</f>
        <v>2021</v>
      </c>
      <c r="M43" s="11">
        <f t="shared" si="2"/>
        <v>456305.4</v>
      </c>
      <c r="U43" s="63">
        <v>2023</v>
      </c>
      <c r="V43" s="43">
        <v>1193</v>
      </c>
      <c r="W43" s="44">
        <v>25804.053333333333</v>
      </c>
      <c r="X43" s="44">
        <v>28864884.289999999</v>
      </c>
      <c r="Y43" s="61">
        <v>8048435.540000001</v>
      </c>
    </row>
    <row r="44" spans="1:25" ht="20" customHeight="1" x14ac:dyDescent="0.15">
      <c r="A44" s="12"/>
      <c r="B44" s="13" t="s">
        <v>13</v>
      </c>
      <c r="C44" s="14" t="s">
        <v>19</v>
      </c>
      <c r="D44" s="15" t="s">
        <v>26</v>
      </c>
      <c r="E44" s="15" t="s">
        <v>41</v>
      </c>
      <c r="F44" s="16">
        <v>344</v>
      </c>
      <c r="G44" s="17">
        <v>11762.79</v>
      </c>
      <c r="H44" s="17">
        <v>5039.24</v>
      </c>
      <c r="I44" s="17">
        <v>4046399.76</v>
      </c>
      <c r="J44" s="15" t="s">
        <v>17</v>
      </c>
      <c r="K44" s="15" t="s">
        <v>18</v>
      </c>
      <c r="L44" s="9">
        <f>YEAR(E44)</f>
        <v>2021</v>
      </c>
      <c r="M44" s="11">
        <f t="shared" si="1"/>
        <v>1733498.5599999998</v>
      </c>
      <c r="U44" s="42" t="s">
        <v>53</v>
      </c>
      <c r="V44" s="43">
        <v>5221</v>
      </c>
      <c r="W44" s="44">
        <v>29896.97</v>
      </c>
      <c r="X44" s="44">
        <v>163481007.26000002</v>
      </c>
      <c r="Y44" s="61">
        <v>36450099.880000003</v>
      </c>
    </row>
    <row r="45" spans="1:25" ht="20" customHeight="1" x14ac:dyDescent="0.15">
      <c r="A45" s="12"/>
      <c r="B45" s="13" t="s">
        <v>13</v>
      </c>
      <c r="C45" s="14" t="s">
        <v>43</v>
      </c>
      <c r="D45" s="15" t="s">
        <v>26</v>
      </c>
      <c r="E45" s="15" t="s">
        <v>44</v>
      </c>
      <c r="F45" s="16">
        <v>188</v>
      </c>
      <c r="G45" s="17">
        <v>38387.230000000003</v>
      </c>
      <c r="H45" s="17">
        <v>9785.67</v>
      </c>
      <c r="I45" s="17">
        <v>7216799.2400000002</v>
      </c>
      <c r="J45" s="15" t="s">
        <v>30</v>
      </c>
      <c r="K45" s="15" t="s">
        <v>18</v>
      </c>
      <c r="L45" s="9">
        <f>YEAR(E45)</f>
        <v>2021</v>
      </c>
      <c r="M45" s="11">
        <f t="shared" si="1"/>
        <v>1839705.96</v>
      </c>
      <c r="U45" s="63">
        <v>2020</v>
      </c>
      <c r="V45" s="43">
        <v>1049</v>
      </c>
      <c r="W45" s="44">
        <v>23445.904999999999</v>
      </c>
      <c r="X45" s="44">
        <v>23411149.509999998</v>
      </c>
      <c r="Y45" s="61">
        <v>6548342.1199999992</v>
      </c>
    </row>
    <row r="46" spans="1:25" ht="20" customHeight="1" x14ac:dyDescent="0.15">
      <c r="A46" s="12"/>
      <c r="B46" s="13" t="s">
        <v>13</v>
      </c>
      <c r="C46" s="14" t="s">
        <v>35</v>
      </c>
      <c r="D46" s="15" t="s">
        <v>26</v>
      </c>
      <c r="E46" s="15" t="s">
        <v>45</v>
      </c>
      <c r="F46" s="16">
        <v>973</v>
      </c>
      <c r="G46" s="17">
        <v>13019.66</v>
      </c>
      <c r="H46" s="17">
        <v>7802.91</v>
      </c>
      <c r="I46" s="17">
        <v>12668129.18</v>
      </c>
      <c r="J46" s="15" t="s">
        <v>17</v>
      </c>
      <c r="K46" s="15" t="s">
        <v>18</v>
      </c>
      <c r="L46" s="9">
        <f>YEAR(E46)</f>
        <v>2021</v>
      </c>
      <c r="M46" s="11">
        <f t="shared" si="1"/>
        <v>7592231.4299999997</v>
      </c>
      <c r="U46" s="63">
        <v>2021</v>
      </c>
      <c r="V46" s="43">
        <v>1510</v>
      </c>
      <c r="W46" s="44">
        <v>31446.502500000002</v>
      </c>
      <c r="X46" s="44">
        <v>52781102.590000004</v>
      </c>
      <c r="Y46" s="61">
        <v>12320095.23</v>
      </c>
    </row>
    <row r="47" spans="1:25" ht="20" customHeight="1" x14ac:dyDescent="0.15">
      <c r="A47" s="12"/>
      <c r="B47" s="13" t="s">
        <v>13</v>
      </c>
      <c r="C47" s="14" t="s">
        <v>23</v>
      </c>
      <c r="D47" s="15" t="s">
        <v>53</v>
      </c>
      <c r="E47" s="15" t="s">
        <v>65</v>
      </c>
      <c r="F47" s="16">
        <v>599</v>
      </c>
      <c r="G47" s="17">
        <v>46916.93</v>
      </c>
      <c r="H47" s="19">
        <v>8747.6</v>
      </c>
      <c r="I47" s="17">
        <v>28103241.07</v>
      </c>
      <c r="J47" s="15" t="s">
        <v>17</v>
      </c>
      <c r="K47" s="15" t="s">
        <v>18</v>
      </c>
      <c r="L47" s="9">
        <f>YEAR(E47)</f>
        <v>2021</v>
      </c>
      <c r="M47" s="11">
        <f t="shared" si="1"/>
        <v>5239812.4000000004</v>
      </c>
      <c r="U47" s="63">
        <v>2022</v>
      </c>
      <c r="V47" s="43">
        <v>1363</v>
      </c>
      <c r="W47" s="44">
        <v>36096.254000000001</v>
      </c>
      <c r="X47" s="44">
        <v>50084346.840000004</v>
      </c>
      <c r="Y47" s="61">
        <v>9193562.5199999996</v>
      </c>
    </row>
    <row r="48" spans="1:25" ht="20" customHeight="1" x14ac:dyDescent="0.15">
      <c r="A48" s="12"/>
      <c r="B48" s="13" t="s">
        <v>13</v>
      </c>
      <c r="C48" s="14" t="s">
        <v>31</v>
      </c>
      <c r="D48" s="15" t="s">
        <v>53</v>
      </c>
      <c r="E48" s="15" t="s">
        <v>66</v>
      </c>
      <c r="F48" s="16">
        <v>319</v>
      </c>
      <c r="G48" s="17">
        <v>26580.33</v>
      </c>
      <c r="H48" s="19">
        <v>9531.2000000000007</v>
      </c>
      <c r="I48" s="17">
        <v>8479125.2699999996</v>
      </c>
      <c r="J48" s="15" t="s">
        <v>17</v>
      </c>
      <c r="K48" s="15" t="s">
        <v>18</v>
      </c>
      <c r="L48" s="9">
        <f>YEAR(E48)</f>
        <v>2021</v>
      </c>
      <c r="M48" s="11">
        <f t="shared" si="1"/>
        <v>3040452.8000000003</v>
      </c>
      <c r="U48" s="63">
        <v>2023</v>
      </c>
      <c r="V48" s="43">
        <v>1299</v>
      </c>
      <c r="W48" s="44">
        <v>21799.496666666666</v>
      </c>
      <c r="X48" s="44">
        <v>37204408.32</v>
      </c>
      <c r="Y48" s="61">
        <v>8388100.0099999998</v>
      </c>
    </row>
    <row r="49" spans="1:25" ht="20" customHeight="1" x14ac:dyDescent="0.15">
      <c r="A49" s="12"/>
      <c r="B49" s="13" t="s">
        <v>13</v>
      </c>
      <c r="C49" s="14" t="s">
        <v>23</v>
      </c>
      <c r="D49" s="15" t="s">
        <v>53</v>
      </c>
      <c r="E49" s="15" t="s">
        <v>67</v>
      </c>
      <c r="F49" s="16">
        <v>195</v>
      </c>
      <c r="G49" s="17">
        <v>22573.75</v>
      </c>
      <c r="H49" s="17">
        <v>8379.0499999999993</v>
      </c>
      <c r="I49" s="17">
        <v>4401881.25</v>
      </c>
      <c r="J49" s="15" t="s">
        <v>17</v>
      </c>
      <c r="K49" s="15" t="s">
        <v>18</v>
      </c>
      <c r="L49" s="9">
        <f>YEAR(E49)</f>
        <v>2021</v>
      </c>
      <c r="M49" s="11">
        <f t="shared" si="1"/>
        <v>1633914.7499999998</v>
      </c>
      <c r="U49" s="42" t="s">
        <v>153</v>
      </c>
      <c r="V49" s="43">
        <v>8051</v>
      </c>
      <c r="W49" s="44">
        <v>31036.53571428571</v>
      </c>
      <c r="X49" s="44">
        <v>254679817.41</v>
      </c>
      <c r="Y49" s="61">
        <v>51742303.380000003</v>
      </c>
    </row>
    <row r="50" spans="1:25" ht="20" customHeight="1" x14ac:dyDescent="0.15">
      <c r="A50" s="12"/>
      <c r="B50" s="13" t="s">
        <v>13</v>
      </c>
      <c r="C50" s="14" t="s">
        <v>57</v>
      </c>
      <c r="D50" s="15" t="s">
        <v>68</v>
      </c>
      <c r="E50" s="15" t="s">
        <v>67</v>
      </c>
      <c r="F50" s="16">
        <v>551</v>
      </c>
      <c r="G50" s="17">
        <v>23671.25</v>
      </c>
      <c r="H50" s="17">
        <v>6023.56</v>
      </c>
      <c r="I50" s="17">
        <v>13042858.75</v>
      </c>
      <c r="J50" s="15" t="s">
        <v>17</v>
      </c>
      <c r="K50" s="15" t="s">
        <v>18</v>
      </c>
      <c r="L50" s="9">
        <f>YEAR(E50)</f>
        <v>2021</v>
      </c>
      <c r="M50" s="11">
        <f t="shared" si="1"/>
        <v>3318981.56</v>
      </c>
      <c r="U50" s="63">
        <v>2020</v>
      </c>
      <c r="V50" s="43">
        <v>2974</v>
      </c>
      <c r="W50" s="44">
        <v>30284.265999999996</v>
      </c>
      <c r="X50" s="44">
        <v>87304663.899999991</v>
      </c>
      <c r="Y50" s="61">
        <v>21003727.98</v>
      </c>
    </row>
    <row r="51" spans="1:25" ht="20" customHeight="1" x14ac:dyDescent="0.15">
      <c r="A51" s="12"/>
      <c r="B51" s="13" t="s">
        <v>13</v>
      </c>
      <c r="C51" s="14" t="s">
        <v>14</v>
      </c>
      <c r="D51" s="15" t="s">
        <v>53</v>
      </c>
      <c r="E51" s="15" t="s">
        <v>69</v>
      </c>
      <c r="F51" s="16">
        <v>397</v>
      </c>
      <c r="G51" s="16">
        <v>29715</v>
      </c>
      <c r="H51" s="17">
        <v>6060.24</v>
      </c>
      <c r="I51" s="16">
        <v>11796855</v>
      </c>
      <c r="J51" s="15" t="s">
        <v>28</v>
      </c>
      <c r="K51" s="15" t="s">
        <v>18</v>
      </c>
      <c r="L51" s="9">
        <f>YEAR(E51)</f>
        <v>2021</v>
      </c>
      <c r="M51" s="11">
        <f t="shared" si="1"/>
        <v>2405915.2799999998</v>
      </c>
      <c r="U51" s="63">
        <v>2021</v>
      </c>
      <c r="V51" s="43">
        <v>3698</v>
      </c>
      <c r="W51" s="44">
        <v>26816.083333333332</v>
      </c>
      <c r="X51" s="44">
        <v>114348937.40999998</v>
      </c>
      <c r="Y51" s="61">
        <v>21318677.879999999</v>
      </c>
    </row>
    <row r="52" spans="1:25" ht="20" customHeight="1" x14ac:dyDescent="0.15">
      <c r="A52" s="12"/>
      <c r="B52" s="13" t="s">
        <v>13</v>
      </c>
      <c r="C52" s="14" t="s">
        <v>23</v>
      </c>
      <c r="D52" s="15" t="s">
        <v>70</v>
      </c>
      <c r="E52" s="15" t="s">
        <v>73</v>
      </c>
      <c r="F52" s="16">
        <v>309</v>
      </c>
      <c r="G52" s="19">
        <v>36171.199999999997</v>
      </c>
      <c r="H52" s="17">
        <v>5485.99</v>
      </c>
      <c r="I52" s="19">
        <v>11176900.800000001</v>
      </c>
      <c r="J52" s="15" t="s">
        <v>17</v>
      </c>
      <c r="K52" s="15" t="s">
        <v>18</v>
      </c>
      <c r="L52" s="9">
        <f>YEAR(E52)</f>
        <v>2021</v>
      </c>
      <c r="M52" s="11">
        <f t="shared" si="1"/>
        <v>1695170.91</v>
      </c>
      <c r="U52" s="63">
        <v>2022</v>
      </c>
      <c r="V52" s="43">
        <v>558</v>
      </c>
      <c r="W52" s="44">
        <v>37757.629999999997</v>
      </c>
      <c r="X52" s="44">
        <v>21068757.539999999</v>
      </c>
      <c r="Y52" s="61">
        <v>4903692.84</v>
      </c>
    </row>
    <row r="53" spans="1:25" ht="20" customHeight="1" x14ac:dyDescent="0.15">
      <c r="A53" s="12"/>
      <c r="B53" s="13" t="s">
        <v>13</v>
      </c>
      <c r="C53" s="14" t="s">
        <v>38</v>
      </c>
      <c r="D53" s="15" t="s">
        <v>70</v>
      </c>
      <c r="E53" s="15" t="s">
        <v>74</v>
      </c>
      <c r="F53" s="16">
        <v>810</v>
      </c>
      <c r="G53" s="17">
        <v>37294.980000000003</v>
      </c>
      <c r="H53" s="19">
        <v>9804.7000000000007</v>
      </c>
      <c r="I53" s="19">
        <v>30208933.800000001</v>
      </c>
      <c r="J53" s="15" t="s">
        <v>17</v>
      </c>
      <c r="K53" s="15" t="s">
        <v>18</v>
      </c>
      <c r="L53" s="9">
        <f>YEAR(E53)</f>
        <v>2021</v>
      </c>
      <c r="M53" s="11">
        <f t="shared" si="1"/>
        <v>7941807.0000000009</v>
      </c>
      <c r="U53" s="63">
        <v>2023</v>
      </c>
      <c r="V53" s="43">
        <v>821</v>
      </c>
      <c r="W53" s="44">
        <v>42218.020000000004</v>
      </c>
      <c r="X53" s="44">
        <v>31957458.560000002</v>
      </c>
      <c r="Y53" s="61">
        <v>4516204.68</v>
      </c>
    </row>
    <row r="54" spans="1:25" ht="20" customHeight="1" x14ac:dyDescent="0.15">
      <c r="A54" s="12"/>
      <c r="B54" s="13" t="s">
        <v>13</v>
      </c>
      <c r="C54" s="14" t="s">
        <v>31</v>
      </c>
      <c r="D54" s="15" t="s">
        <v>70</v>
      </c>
      <c r="E54" s="15" t="s">
        <v>77</v>
      </c>
      <c r="F54" s="16">
        <v>779</v>
      </c>
      <c r="G54" s="19">
        <v>41434.9</v>
      </c>
      <c r="H54" s="17">
        <v>4902.3900000000003</v>
      </c>
      <c r="I54" s="19">
        <v>32277787.100000001</v>
      </c>
      <c r="J54" s="15" t="s">
        <v>17</v>
      </c>
      <c r="K54" s="15" t="s">
        <v>18</v>
      </c>
      <c r="L54" s="9">
        <f>YEAR(E54)</f>
        <v>2021</v>
      </c>
      <c r="M54" s="11">
        <f t="shared" si="1"/>
        <v>3818961.81</v>
      </c>
      <c r="U54" s="42" t="s">
        <v>788</v>
      </c>
      <c r="V54" s="43"/>
      <c r="W54" s="44"/>
      <c r="X54" s="44"/>
      <c r="Y54" s="61"/>
    </row>
    <row r="55" spans="1:25" ht="20" customHeight="1" x14ac:dyDescent="0.15">
      <c r="A55" s="12"/>
      <c r="B55" s="13" t="s">
        <v>13</v>
      </c>
      <c r="C55" s="14" t="s">
        <v>43</v>
      </c>
      <c r="D55" s="15" t="s">
        <v>70</v>
      </c>
      <c r="E55" s="15" t="s">
        <v>82</v>
      </c>
      <c r="F55" s="16">
        <v>407</v>
      </c>
      <c r="G55" s="17">
        <v>17240.740000000002</v>
      </c>
      <c r="H55" s="19">
        <v>7258.3</v>
      </c>
      <c r="I55" s="17">
        <v>7016981.1799999997</v>
      </c>
      <c r="J55" s="15" t="s">
        <v>17</v>
      </c>
      <c r="K55" s="15" t="s">
        <v>18</v>
      </c>
      <c r="L55" s="9">
        <f>YEAR(E55)</f>
        <v>2021</v>
      </c>
      <c r="M55" s="11">
        <f t="shared" si="1"/>
        <v>2954128.1</v>
      </c>
      <c r="U55" s="63" t="s">
        <v>788</v>
      </c>
      <c r="V55" s="43"/>
      <c r="W55" s="44"/>
      <c r="X55" s="44"/>
      <c r="Y55" s="61"/>
    </row>
    <row r="56" spans="1:25" ht="20" customHeight="1" x14ac:dyDescent="0.15">
      <c r="A56" s="12"/>
      <c r="B56" s="13" t="s">
        <v>13</v>
      </c>
      <c r="C56" s="14" t="s">
        <v>23</v>
      </c>
      <c r="D56" s="15" t="s">
        <v>70</v>
      </c>
      <c r="E56" s="15" t="s">
        <v>84</v>
      </c>
      <c r="F56" s="16">
        <v>469</v>
      </c>
      <c r="G56" s="17">
        <v>40500.51</v>
      </c>
      <c r="H56" s="17">
        <v>9256.9500000000007</v>
      </c>
      <c r="I56" s="17">
        <v>18994739.190000001</v>
      </c>
      <c r="J56" s="15" t="s">
        <v>30</v>
      </c>
      <c r="K56" s="15" t="s">
        <v>18</v>
      </c>
      <c r="L56" s="9">
        <f>YEAR(E56)</f>
        <v>2021</v>
      </c>
      <c r="M56" s="11">
        <f t="shared" si="1"/>
        <v>4341509.5500000007</v>
      </c>
      <c r="U56" s="46" t="s">
        <v>789</v>
      </c>
      <c r="V56" s="47">
        <v>70833</v>
      </c>
      <c r="W56" s="48">
        <v>29305.853237410065</v>
      </c>
      <c r="X56" s="48">
        <v>2110678804.0499997</v>
      </c>
      <c r="Y56" s="62">
        <v>438624304.48000002</v>
      </c>
    </row>
    <row r="57" spans="1:25" ht="20" customHeight="1" x14ac:dyDescent="0.15">
      <c r="A57" s="12"/>
      <c r="B57" s="13" t="s">
        <v>13</v>
      </c>
      <c r="C57" s="14" t="s">
        <v>79</v>
      </c>
      <c r="D57" s="15" t="s">
        <v>89</v>
      </c>
      <c r="E57" s="15" t="s">
        <v>92</v>
      </c>
      <c r="F57" s="16">
        <v>963</v>
      </c>
      <c r="G57" s="17">
        <v>16009.91</v>
      </c>
      <c r="H57" s="19">
        <v>7849.5</v>
      </c>
      <c r="I57" s="17">
        <v>15417543.33</v>
      </c>
      <c r="J57" s="15" t="s">
        <v>28</v>
      </c>
      <c r="K57" s="15" t="s">
        <v>18</v>
      </c>
      <c r="L57" s="9">
        <f>YEAR(E57)</f>
        <v>2021</v>
      </c>
      <c r="M57" s="11">
        <f t="shared" si="1"/>
        <v>7559068.5</v>
      </c>
    </row>
    <row r="58" spans="1:25" ht="20" customHeight="1" x14ac:dyDescent="0.15">
      <c r="A58" s="12"/>
      <c r="B58" s="13" t="s">
        <v>13</v>
      </c>
      <c r="C58" s="14" t="s">
        <v>25</v>
      </c>
      <c r="D58" s="15" t="s">
        <v>89</v>
      </c>
      <c r="E58" s="15" t="s">
        <v>94</v>
      </c>
      <c r="F58" s="16">
        <v>491</v>
      </c>
      <c r="G58" s="17">
        <v>42937.24</v>
      </c>
      <c r="H58" s="17">
        <v>7776.41</v>
      </c>
      <c r="I58" s="17">
        <v>21082184.84</v>
      </c>
      <c r="J58" s="15" t="s">
        <v>17</v>
      </c>
      <c r="K58" s="15" t="s">
        <v>18</v>
      </c>
      <c r="L58" s="9">
        <f>YEAR(E58)</f>
        <v>2021</v>
      </c>
      <c r="M58" s="11">
        <f t="shared" si="1"/>
        <v>3818217.31</v>
      </c>
    </row>
    <row r="59" spans="1:25" ht="20" customHeight="1" x14ac:dyDescent="0.15">
      <c r="A59" s="12"/>
      <c r="B59" s="13" t="s">
        <v>13</v>
      </c>
      <c r="C59" s="14" t="s">
        <v>43</v>
      </c>
      <c r="D59" s="15" t="s">
        <v>89</v>
      </c>
      <c r="E59" s="15" t="s">
        <v>98</v>
      </c>
      <c r="F59" s="16">
        <v>238</v>
      </c>
      <c r="G59" s="17">
        <v>28152.42</v>
      </c>
      <c r="H59" s="17">
        <v>8234.85</v>
      </c>
      <c r="I59" s="17">
        <v>6700275.96</v>
      </c>
      <c r="J59" s="15" t="s">
        <v>17</v>
      </c>
      <c r="K59" s="15" t="s">
        <v>18</v>
      </c>
      <c r="L59" s="9">
        <f>YEAR(E59)</f>
        <v>2021</v>
      </c>
      <c r="M59" s="11">
        <f t="shared" si="1"/>
        <v>1959894.3</v>
      </c>
    </row>
    <row r="60" spans="1:25" ht="20" customHeight="1" x14ac:dyDescent="0.15">
      <c r="A60" s="12"/>
      <c r="B60" s="13" t="s">
        <v>13</v>
      </c>
      <c r="C60" s="14" t="s">
        <v>23</v>
      </c>
      <c r="D60" s="15" t="s">
        <v>89</v>
      </c>
      <c r="E60" s="15" t="s">
        <v>104</v>
      </c>
      <c r="F60" s="16">
        <v>305</v>
      </c>
      <c r="G60" s="17">
        <v>18218.73</v>
      </c>
      <c r="H60" s="17">
        <v>9792.49</v>
      </c>
      <c r="I60" s="17">
        <v>5556712.6500000004</v>
      </c>
      <c r="J60" s="15" t="s">
        <v>17</v>
      </c>
      <c r="K60" s="15" t="s">
        <v>18</v>
      </c>
      <c r="L60" s="9">
        <f>YEAR(E60)</f>
        <v>2021</v>
      </c>
      <c r="M60" s="11">
        <f t="shared" si="1"/>
        <v>2986709.4499999997</v>
      </c>
    </row>
    <row r="61" spans="1:25" ht="20" customHeight="1" x14ac:dyDescent="0.15">
      <c r="A61" s="12"/>
      <c r="B61" s="13" t="s">
        <v>13</v>
      </c>
      <c r="C61" s="14" t="s">
        <v>38</v>
      </c>
      <c r="D61" s="15" t="s">
        <v>107</v>
      </c>
      <c r="E61" s="15" t="s">
        <v>108</v>
      </c>
      <c r="F61" s="16">
        <v>360</v>
      </c>
      <c r="G61" s="17">
        <v>25462.65</v>
      </c>
      <c r="H61" s="17">
        <v>9477.39</v>
      </c>
      <c r="I61" s="16">
        <v>9166554</v>
      </c>
      <c r="J61" s="15" t="s">
        <v>17</v>
      </c>
      <c r="K61" s="15" t="s">
        <v>18</v>
      </c>
      <c r="L61" s="9">
        <f>YEAR(E61)</f>
        <v>2021</v>
      </c>
      <c r="M61" s="11">
        <f t="shared" si="1"/>
        <v>3411860.4</v>
      </c>
    </row>
    <row r="62" spans="1:25" ht="20" customHeight="1" x14ac:dyDescent="0.15">
      <c r="A62" s="12"/>
      <c r="B62" s="13" t="s">
        <v>13</v>
      </c>
      <c r="C62" s="14" t="s">
        <v>79</v>
      </c>
      <c r="D62" s="15" t="s">
        <v>107</v>
      </c>
      <c r="E62" s="15" t="s">
        <v>111</v>
      </c>
      <c r="F62" s="16">
        <v>394</v>
      </c>
      <c r="G62" s="19">
        <v>47388.5</v>
      </c>
      <c r="H62" s="17">
        <v>9454.0300000000007</v>
      </c>
      <c r="I62" s="16">
        <v>18671069</v>
      </c>
      <c r="J62" s="15" t="s">
        <v>17</v>
      </c>
      <c r="K62" s="15" t="s">
        <v>18</v>
      </c>
      <c r="L62" s="9">
        <f>YEAR(E62)</f>
        <v>2021</v>
      </c>
      <c r="M62" s="11">
        <f t="shared" si="1"/>
        <v>3724887.8200000003</v>
      </c>
      <c r="U62" s="36" t="s">
        <v>787</v>
      </c>
      <c r="V62" s="32" t="s">
        <v>796</v>
      </c>
      <c r="W62" s="37" t="s">
        <v>790</v>
      </c>
      <c r="X62" s="37" t="s">
        <v>791</v>
      </c>
      <c r="Y62" s="59" t="s">
        <v>785</v>
      </c>
    </row>
    <row r="63" spans="1:25" ht="20" customHeight="1" x14ac:dyDescent="0.15">
      <c r="A63" s="12"/>
      <c r="B63" s="13" t="s">
        <v>13</v>
      </c>
      <c r="C63" s="14" t="s">
        <v>23</v>
      </c>
      <c r="D63" s="15" t="s">
        <v>107</v>
      </c>
      <c r="E63" s="15" t="s">
        <v>115</v>
      </c>
      <c r="F63" s="16">
        <v>112</v>
      </c>
      <c r="G63" s="17">
        <v>37672.07</v>
      </c>
      <c r="H63" s="17">
        <v>5265.33</v>
      </c>
      <c r="I63" s="17">
        <v>4219271.84</v>
      </c>
      <c r="J63" s="15" t="s">
        <v>17</v>
      </c>
      <c r="K63" s="15" t="s">
        <v>18</v>
      </c>
      <c r="L63" s="9">
        <f>YEAR(E63)</f>
        <v>2021</v>
      </c>
      <c r="M63" s="11">
        <f t="shared" si="1"/>
        <v>589716.96</v>
      </c>
      <c r="U63" s="39" t="s">
        <v>89</v>
      </c>
      <c r="V63" s="40">
        <v>51085872.740000002</v>
      </c>
      <c r="W63" s="41">
        <v>223704325.66</v>
      </c>
      <c r="X63" s="41">
        <v>338534.56000000006</v>
      </c>
      <c r="Y63" s="60">
        <v>7473</v>
      </c>
    </row>
    <row r="64" spans="1:25" ht="20" customHeight="1" x14ac:dyDescent="0.15">
      <c r="A64" s="12"/>
      <c r="B64" s="13" t="s">
        <v>13</v>
      </c>
      <c r="C64" s="14" t="s">
        <v>23</v>
      </c>
      <c r="D64" s="15" t="s">
        <v>107</v>
      </c>
      <c r="E64" s="15" t="s">
        <v>116</v>
      </c>
      <c r="F64" s="16">
        <v>494</v>
      </c>
      <c r="G64" s="17">
        <v>29181.06</v>
      </c>
      <c r="H64" s="17">
        <v>2446.06</v>
      </c>
      <c r="I64" s="17">
        <v>14415443.640000001</v>
      </c>
      <c r="J64" s="15" t="s">
        <v>17</v>
      </c>
      <c r="K64" s="15" t="s">
        <v>18</v>
      </c>
      <c r="L64" s="9">
        <f>YEAR(E64)</f>
        <v>2021</v>
      </c>
      <c r="M64" s="11">
        <f t="shared" si="1"/>
        <v>1208353.6399999999</v>
      </c>
      <c r="U64" s="63">
        <v>2020</v>
      </c>
      <c r="V64" s="43">
        <v>12027839.950000001</v>
      </c>
      <c r="W64" s="44">
        <v>63003685.489999995</v>
      </c>
      <c r="X64" s="44">
        <v>108516.67000000001</v>
      </c>
      <c r="Y64" s="61">
        <v>1765</v>
      </c>
    </row>
    <row r="65" spans="1:25" ht="20" customHeight="1" x14ac:dyDescent="0.15">
      <c r="A65" s="12"/>
      <c r="B65" s="13" t="s">
        <v>13</v>
      </c>
      <c r="C65" s="14" t="s">
        <v>43</v>
      </c>
      <c r="D65" s="15" t="s">
        <v>68</v>
      </c>
      <c r="E65" s="15" t="s">
        <v>126</v>
      </c>
      <c r="F65" s="16">
        <v>773</v>
      </c>
      <c r="G65" s="17">
        <v>38681.14</v>
      </c>
      <c r="H65" s="17">
        <v>8033.55</v>
      </c>
      <c r="I65" s="17">
        <v>29900521.219999999</v>
      </c>
      <c r="J65" s="15" t="s">
        <v>17</v>
      </c>
      <c r="K65" s="15" t="s">
        <v>18</v>
      </c>
      <c r="L65" s="9">
        <f>YEAR(E65)</f>
        <v>2021</v>
      </c>
      <c r="M65" s="11">
        <f t="shared" si="1"/>
        <v>6209934.1500000004</v>
      </c>
      <c r="U65" s="63">
        <v>2021</v>
      </c>
      <c r="V65" s="43">
        <v>24829276.169999998</v>
      </c>
      <c r="W65" s="44">
        <v>108131211.88999999</v>
      </c>
      <c r="X65" s="44">
        <v>144528.02000000002</v>
      </c>
      <c r="Y65" s="61">
        <v>3251</v>
      </c>
    </row>
    <row r="66" spans="1:25" ht="20" customHeight="1" x14ac:dyDescent="0.15">
      <c r="A66" s="12"/>
      <c r="B66" s="13" t="s">
        <v>13</v>
      </c>
      <c r="C66" s="14" t="s">
        <v>79</v>
      </c>
      <c r="D66" s="15" t="s">
        <v>68</v>
      </c>
      <c r="E66" s="15" t="s">
        <v>127</v>
      </c>
      <c r="F66" s="16">
        <v>279</v>
      </c>
      <c r="G66" s="17">
        <v>13571.23</v>
      </c>
      <c r="H66" s="17">
        <v>9897.25</v>
      </c>
      <c r="I66" s="17">
        <v>3786373.17</v>
      </c>
      <c r="J66" s="15" t="s">
        <v>30</v>
      </c>
      <c r="K66" s="15" t="s">
        <v>18</v>
      </c>
      <c r="L66" s="9">
        <f>YEAR(E66)</f>
        <v>2021</v>
      </c>
      <c r="M66" s="11">
        <f t="shared" si="1"/>
        <v>2761332.75</v>
      </c>
      <c r="U66" s="63">
        <v>2022</v>
      </c>
      <c r="V66" s="43">
        <v>9939182.2400000002</v>
      </c>
      <c r="W66" s="44">
        <v>39225224.939999998</v>
      </c>
      <c r="X66" s="44">
        <v>63649.93</v>
      </c>
      <c r="Y66" s="61">
        <v>1846</v>
      </c>
    </row>
    <row r="67" spans="1:25" ht="20" customHeight="1" x14ac:dyDescent="0.15">
      <c r="A67" s="12"/>
      <c r="B67" s="13" t="s">
        <v>13</v>
      </c>
      <c r="C67" s="14" t="s">
        <v>43</v>
      </c>
      <c r="D67" s="15" t="s">
        <v>68</v>
      </c>
      <c r="E67" s="15" t="s">
        <v>127</v>
      </c>
      <c r="F67" s="16">
        <v>634</v>
      </c>
      <c r="G67" s="17">
        <v>40807.39</v>
      </c>
      <c r="H67" s="17">
        <v>9589.5300000000007</v>
      </c>
      <c r="I67" s="17">
        <v>25871885.260000002</v>
      </c>
      <c r="J67" s="15" t="s">
        <v>17</v>
      </c>
      <c r="K67" s="15" t="s">
        <v>18</v>
      </c>
      <c r="L67" s="9">
        <f>YEAR(E67)</f>
        <v>2021</v>
      </c>
      <c r="M67" s="11">
        <f t="shared" si="1"/>
        <v>6079762.0200000005</v>
      </c>
      <c r="U67" s="63">
        <v>2023</v>
      </c>
      <c r="V67" s="43">
        <v>4289574.38</v>
      </c>
      <c r="W67" s="44">
        <v>13344203.34</v>
      </c>
      <c r="X67" s="44">
        <v>21839.94</v>
      </c>
      <c r="Y67" s="61">
        <v>611</v>
      </c>
    </row>
    <row r="68" spans="1:25" ht="20" customHeight="1" x14ac:dyDescent="0.15">
      <c r="A68" s="12"/>
      <c r="B68" s="13" t="s">
        <v>13</v>
      </c>
      <c r="C68" s="14" t="s">
        <v>31</v>
      </c>
      <c r="D68" s="15" t="s">
        <v>68</v>
      </c>
      <c r="E68" s="15" t="s">
        <v>128</v>
      </c>
      <c r="F68" s="16">
        <v>595</v>
      </c>
      <c r="G68" s="17">
        <v>49952.76</v>
      </c>
      <c r="H68" s="17">
        <v>3880.69</v>
      </c>
      <c r="I68" s="19">
        <v>29721892.199999999</v>
      </c>
      <c r="J68" s="15" t="s">
        <v>30</v>
      </c>
      <c r="K68" s="15" t="s">
        <v>18</v>
      </c>
      <c r="L68" s="9">
        <f>YEAR(E68)</f>
        <v>2021</v>
      </c>
      <c r="M68" s="11">
        <f t="shared" si="1"/>
        <v>2309010.5499999998</v>
      </c>
      <c r="U68" s="42" t="s">
        <v>70</v>
      </c>
      <c r="V68" s="43">
        <v>24393684.480000004</v>
      </c>
      <c r="W68" s="44">
        <v>105461964.12</v>
      </c>
      <c r="X68" s="44">
        <v>186339.42</v>
      </c>
      <c r="Y68" s="61">
        <v>3676</v>
      </c>
    </row>
    <row r="69" spans="1:25" ht="20" customHeight="1" x14ac:dyDescent="0.15">
      <c r="A69" s="12"/>
      <c r="B69" s="13" t="s">
        <v>13</v>
      </c>
      <c r="C69" s="14" t="s">
        <v>38</v>
      </c>
      <c r="D69" s="15" t="s">
        <v>68</v>
      </c>
      <c r="E69" s="15" t="s">
        <v>130</v>
      </c>
      <c r="F69" s="16">
        <v>777</v>
      </c>
      <c r="G69" s="17">
        <v>30049.86</v>
      </c>
      <c r="H69" s="17">
        <v>4993.55</v>
      </c>
      <c r="I69" s="17">
        <v>23348741.219999999</v>
      </c>
      <c r="J69" s="15" t="s">
        <v>30</v>
      </c>
      <c r="K69" s="15" t="s">
        <v>18</v>
      </c>
      <c r="L69" s="9">
        <f>YEAR(E69)</f>
        <v>2021</v>
      </c>
      <c r="M69" s="11">
        <f t="shared" ref="M69:M132" si="3">H69*F69</f>
        <v>3879988.35</v>
      </c>
      <c r="U69" s="63">
        <v>2020</v>
      </c>
      <c r="V69" s="43">
        <v>5050049.42</v>
      </c>
      <c r="W69" s="44">
        <v>17495207.859999999</v>
      </c>
      <c r="X69" s="44">
        <v>48248.18</v>
      </c>
      <c r="Y69" s="61">
        <v>754</v>
      </c>
    </row>
    <row r="70" spans="1:25" ht="20" customHeight="1" x14ac:dyDescent="0.15">
      <c r="A70" s="12"/>
      <c r="B70" s="13" t="s">
        <v>13</v>
      </c>
      <c r="C70" s="14" t="s">
        <v>14</v>
      </c>
      <c r="D70" s="15" t="s">
        <v>68</v>
      </c>
      <c r="E70" s="15" t="s">
        <v>138</v>
      </c>
      <c r="F70" s="16">
        <v>669</v>
      </c>
      <c r="G70" s="17">
        <v>18940.330000000002</v>
      </c>
      <c r="H70" s="17">
        <v>2890.92</v>
      </c>
      <c r="I70" s="17">
        <v>12671080.77</v>
      </c>
      <c r="J70" s="15" t="s">
        <v>17</v>
      </c>
      <c r="K70" s="15" t="s">
        <v>18</v>
      </c>
      <c r="L70" s="9">
        <f>YEAR(E70)</f>
        <v>2021</v>
      </c>
      <c r="M70" s="11">
        <f t="shared" si="3"/>
        <v>1934025.48</v>
      </c>
      <c r="U70" s="63">
        <v>2021</v>
      </c>
      <c r="V70" s="43">
        <v>12859812.740000002</v>
      </c>
      <c r="W70" s="44">
        <v>63610982.640000001</v>
      </c>
      <c r="X70" s="44">
        <v>81646.86</v>
      </c>
      <c r="Y70" s="61">
        <v>2219</v>
      </c>
    </row>
    <row r="71" spans="1:25" ht="20" customHeight="1" x14ac:dyDescent="0.15">
      <c r="A71" s="12"/>
      <c r="B71" s="13" t="s">
        <v>13</v>
      </c>
      <c r="C71" s="14" t="s">
        <v>19</v>
      </c>
      <c r="D71" s="15" t="s">
        <v>139</v>
      </c>
      <c r="E71" s="15" t="s">
        <v>145</v>
      </c>
      <c r="F71" s="16">
        <v>359</v>
      </c>
      <c r="G71" s="17">
        <v>19044.29</v>
      </c>
      <c r="H71" s="17">
        <v>6879.43</v>
      </c>
      <c r="I71" s="17">
        <v>6836900.1100000003</v>
      </c>
      <c r="J71" s="15" t="s">
        <v>17</v>
      </c>
      <c r="K71" s="15" t="s">
        <v>18</v>
      </c>
      <c r="L71" s="9">
        <f>YEAR(E71)</f>
        <v>2021</v>
      </c>
      <c r="M71" s="11">
        <f t="shared" si="3"/>
        <v>2469715.37</v>
      </c>
      <c r="U71" s="63">
        <v>2022</v>
      </c>
      <c r="V71" s="43">
        <v>1609566.3199999998</v>
      </c>
      <c r="W71" s="44">
        <v>2647860.02</v>
      </c>
      <c r="X71" s="44">
        <v>16244.54</v>
      </c>
      <c r="Y71" s="61">
        <v>163</v>
      </c>
    </row>
    <row r="72" spans="1:25" ht="20" customHeight="1" x14ac:dyDescent="0.15">
      <c r="A72" s="12"/>
      <c r="B72" s="13" t="s">
        <v>13</v>
      </c>
      <c r="C72" s="14" t="s">
        <v>57</v>
      </c>
      <c r="D72" s="15" t="s">
        <v>139</v>
      </c>
      <c r="E72" s="15" t="s">
        <v>146</v>
      </c>
      <c r="F72" s="16">
        <v>692</v>
      </c>
      <c r="G72" s="17">
        <v>20019.73</v>
      </c>
      <c r="H72" s="17">
        <v>4532.37</v>
      </c>
      <c r="I72" s="17">
        <v>13853653.16</v>
      </c>
      <c r="J72" s="15" t="s">
        <v>17</v>
      </c>
      <c r="K72" s="15" t="s">
        <v>18</v>
      </c>
      <c r="L72" s="9">
        <f>YEAR(E72)</f>
        <v>2021</v>
      </c>
      <c r="M72" s="11">
        <f t="shared" si="3"/>
        <v>3136400.04</v>
      </c>
      <c r="U72" s="63">
        <v>2023</v>
      </c>
      <c r="V72" s="43">
        <v>4874256</v>
      </c>
      <c r="W72" s="44">
        <v>21707913.600000001</v>
      </c>
      <c r="X72" s="44">
        <v>40199.839999999997</v>
      </c>
      <c r="Y72" s="61">
        <v>540</v>
      </c>
    </row>
    <row r="73" spans="1:25" ht="20" customHeight="1" x14ac:dyDescent="0.15">
      <c r="A73" s="12"/>
      <c r="B73" s="13" t="s">
        <v>13</v>
      </c>
      <c r="C73" s="14" t="s">
        <v>79</v>
      </c>
      <c r="D73" s="15" t="s">
        <v>139</v>
      </c>
      <c r="E73" s="15" t="s">
        <v>148</v>
      </c>
      <c r="F73" s="16">
        <v>435</v>
      </c>
      <c r="G73" s="17">
        <v>33734.239999999998</v>
      </c>
      <c r="H73" s="17">
        <v>7258.28</v>
      </c>
      <c r="I73" s="19">
        <v>14674394.4</v>
      </c>
      <c r="J73" s="15" t="s">
        <v>17</v>
      </c>
      <c r="K73" s="15" t="s">
        <v>18</v>
      </c>
      <c r="L73" s="9">
        <f>YEAR(E73)</f>
        <v>2021</v>
      </c>
      <c r="M73" s="11">
        <f t="shared" si="3"/>
        <v>3157351.8</v>
      </c>
      <c r="U73" s="42" t="s">
        <v>26</v>
      </c>
      <c r="V73" s="43">
        <v>62650575.070000008</v>
      </c>
      <c r="W73" s="44">
        <v>263406633.81</v>
      </c>
      <c r="X73" s="44">
        <v>508807.31</v>
      </c>
      <c r="Y73" s="61">
        <v>8933</v>
      </c>
    </row>
    <row r="74" spans="1:25" ht="20" customHeight="1" x14ac:dyDescent="0.15">
      <c r="A74" s="12"/>
      <c r="B74" s="13" t="s">
        <v>13</v>
      </c>
      <c r="C74" s="14" t="s">
        <v>79</v>
      </c>
      <c r="D74" s="15" t="s">
        <v>153</v>
      </c>
      <c r="E74" s="15" t="s">
        <v>154</v>
      </c>
      <c r="F74" s="16">
        <v>870</v>
      </c>
      <c r="G74" s="17">
        <v>48583.99</v>
      </c>
      <c r="H74" s="17">
        <v>3988.43</v>
      </c>
      <c r="I74" s="19">
        <v>42268071.299999997</v>
      </c>
      <c r="J74" s="15" t="s">
        <v>17</v>
      </c>
      <c r="K74" s="15" t="s">
        <v>18</v>
      </c>
      <c r="L74" s="9">
        <f>YEAR(E74)</f>
        <v>2021</v>
      </c>
      <c r="M74" s="11">
        <f t="shared" si="3"/>
        <v>3469934.0999999996</v>
      </c>
      <c r="U74" s="63">
        <v>2020</v>
      </c>
      <c r="V74" s="43">
        <v>16453925.470000001</v>
      </c>
      <c r="W74" s="44">
        <v>45224837.519999996</v>
      </c>
      <c r="X74" s="44">
        <v>79715.28</v>
      </c>
      <c r="Y74" s="61">
        <v>1966</v>
      </c>
    </row>
    <row r="75" spans="1:25" ht="20" customHeight="1" x14ac:dyDescent="0.15">
      <c r="A75" s="12"/>
      <c r="B75" s="13" t="s">
        <v>13</v>
      </c>
      <c r="C75" s="14" t="s">
        <v>79</v>
      </c>
      <c r="D75" s="15" t="s">
        <v>153</v>
      </c>
      <c r="E75" s="15" t="s">
        <v>155</v>
      </c>
      <c r="F75" s="16">
        <v>388</v>
      </c>
      <c r="G75" s="17">
        <v>14002.05</v>
      </c>
      <c r="H75" s="17">
        <v>7799.02</v>
      </c>
      <c r="I75" s="19">
        <v>5432795.4000000004</v>
      </c>
      <c r="J75" s="15" t="s">
        <v>17</v>
      </c>
      <c r="K75" s="15" t="s">
        <v>18</v>
      </c>
      <c r="L75" s="9">
        <f>YEAR(E75)</f>
        <v>2021</v>
      </c>
      <c r="M75" s="11">
        <f t="shared" si="3"/>
        <v>3026019.7600000002</v>
      </c>
      <c r="U75" s="63">
        <v>2021</v>
      </c>
      <c r="V75" s="43">
        <v>15456885.51</v>
      </c>
      <c r="W75" s="44">
        <v>69843420</v>
      </c>
      <c r="X75" s="44">
        <v>152538.79999999999</v>
      </c>
      <c r="Y75" s="61">
        <v>2113</v>
      </c>
    </row>
    <row r="76" spans="1:25" ht="20" customHeight="1" x14ac:dyDescent="0.15">
      <c r="A76" s="12"/>
      <c r="B76" s="13" t="s">
        <v>13</v>
      </c>
      <c r="C76" s="14" t="s">
        <v>25</v>
      </c>
      <c r="D76" s="15" t="s">
        <v>153</v>
      </c>
      <c r="E76" s="15" t="s">
        <v>160</v>
      </c>
      <c r="F76" s="16">
        <v>988</v>
      </c>
      <c r="G76" s="17">
        <v>34090.050000000003</v>
      </c>
      <c r="H76" s="17">
        <v>6763.49</v>
      </c>
      <c r="I76" s="19">
        <v>33680969.399999999</v>
      </c>
      <c r="J76" s="15" t="s">
        <v>17</v>
      </c>
      <c r="K76" s="15" t="s">
        <v>18</v>
      </c>
      <c r="L76" s="9">
        <f>YEAR(E76)</f>
        <v>2021</v>
      </c>
      <c r="M76" s="11">
        <f t="shared" si="3"/>
        <v>6682328.1200000001</v>
      </c>
      <c r="U76" s="63">
        <v>2022</v>
      </c>
      <c r="V76" s="43">
        <v>10006573.670000002</v>
      </c>
      <c r="W76" s="44">
        <v>48293104.440000005</v>
      </c>
      <c r="X76" s="44">
        <v>133916.1</v>
      </c>
      <c r="Y76" s="61">
        <v>1667</v>
      </c>
    </row>
    <row r="77" spans="1:25" ht="20" customHeight="1" x14ac:dyDescent="0.15">
      <c r="A77" s="12"/>
      <c r="B77" s="13" t="s">
        <v>13</v>
      </c>
      <c r="C77" s="14" t="s">
        <v>25</v>
      </c>
      <c r="D77" s="15" t="s">
        <v>153</v>
      </c>
      <c r="E77" s="15" t="s">
        <v>165</v>
      </c>
      <c r="F77" s="16">
        <v>456</v>
      </c>
      <c r="G77" s="19">
        <v>21633.599999999999</v>
      </c>
      <c r="H77" s="17">
        <v>4135.4399999999996</v>
      </c>
      <c r="I77" s="19">
        <v>9864921.5999999996</v>
      </c>
      <c r="J77" s="15" t="s">
        <v>30</v>
      </c>
      <c r="K77" s="15" t="s">
        <v>18</v>
      </c>
      <c r="L77" s="9">
        <f>YEAR(E77)</f>
        <v>2021</v>
      </c>
      <c r="M77" s="11">
        <f t="shared" si="3"/>
        <v>1885760.64</v>
      </c>
      <c r="U77" s="63">
        <v>2023</v>
      </c>
      <c r="V77" s="43">
        <v>20733190.420000002</v>
      </c>
      <c r="W77" s="44">
        <v>100045271.84999999</v>
      </c>
      <c r="X77" s="44">
        <v>142637.13</v>
      </c>
      <c r="Y77" s="61">
        <v>3187</v>
      </c>
    </row>
    <row r="78" spans="1:25" ht="20" customHeight="1" x14ac:dyDescent="0.15">
      <c r="A78" s="12"/>
      <c r="B78" s="13" t="s">
        <v>13</v>
      </c>
      <c r="C78" s="14" t="s">
        <v>79</v>
      </c>
      <c r="D78" s="15" t="s">
        <v>153</v>
      </c>
      <c r="E78" s="15" t="s">
        <v>166</v>
      </c>
      <c r="F78" s="16">
        <v>627</v>
      </c>
      <c r="G78" s="17">
        <v>28634.29</v>
      </c>
      <c r="H78" s="19">
        <v>6333.2</v>
      </c>
      <c r="I78" s="17">
        <v>17953699.829999998</v>
      </c>
      <c r="J78" s="15" t="s">
        <v>28</v>
      </c>
      <c r="K78" s="15" t="s">
        <v>18</v>
      </c>
      <c r="L78" s="9">
        <f>YEAR(E78)</f>
        <v>2021</v>
      </c>
      <c r="M78" s="11">
        <f t="shared" si="3"/>
        <v>3970916.4</v>
      </c>
      <c r="U78" s="42" t="s">
        <v>68</v>
      </c>
      <c r="V78" s="43">
        <v>44944553.730000004</v>
      </c>
      <c r="W78" s="44">
        <v>167322939.02000001</v>
      </c>
      <c r="X78" s="44">
        <v>344973.63</v>
      </c>
      <c r="Y78" s="61">
        <v>6238</v>
      </c>
    </row>
    <row r="79" spans="1:25" ht="20" customHeight="1" x14ac:dyDescent="0.15">
      <c r="A79" s="12"/>
      <c r="B79" s="13" t="s">
        <v>13</v>
      </c>
      <c r="C79" s="14" t="s">
        <v>38</v>
      </c>
      <c r="D79" s="15" t="s">
        <v>153</v>
      </c>
      <c r="E79" s="15" t="s">
        <v>167</v>
      </c>
      <c r="F79" s="16">
        <v>369</v>
      </c>
      <c r="G79" s="17">
        <v>13952.52</v>
      </c>
      <c r="H79" s="17">
        <v>6188.94</v>
      </c>
      <c r="I79" s="17">
        <v>5148479.88</v>
      </c>
      <c r="J79" s="15" t="s">
        <v>17</v>
      </c>
      <c r="K79" s="15" t="s">
        <v>18</v>
      </c>
      <c r="L79" s="9">
        <f>YEAR(E79)</f>
        <v>2021</v>
      </c>
      <c r="M79" s="11">
        <f t="shared" si="3"/>
        <v>2283718.86</v>
      </c>
      <c r="U79" s="63">
        <v>2020</v>
      </c>
      <c r="V79" s="43">
        <v>14493565.76</v>
      </c>
      <c r="W79" s="44">
        <v>47793753.140000001</v>
      </c>
      <c r="X79" s="44">
        <v>132789.05000000002</v>
      </c>
      <c r="Y79" s="61">
        <v>1897</v>
      </c>
    </row>
    <row r="80" spans="1:25" ht="20" customHeight="1" x14ac:dyDescent="0.15">
      <c r="A80" s="12"/>
      <c r="B80" s="13" t="s">
        <v>13</v>
      </c>
      <c r="C80" s="14" t="s">
        <v>25</v>
      </c>
      <c r="D80" s="15" t="s">
        <v>114</v>
      </c>
      <c r="E80" s="15" t="s">
        <v>171</v>
      </c>
      <c r="F80" s="16">
        <v>496</v>
      </c>
      <c r="G80" s="17">
        <v>16337.54</v>
      </c>
      <c r="H80" s="17">
        <v>7374.32</v>
      </c>
      <c r="I80" s="17">
        <v>8103419.8399999999</v>
      </c>
      <c r="J80" s="15" t="s">
        <v>22</v>
      </c>
      <c r="K80" s="15" t="s">
        <v>18</v>
      </c>
      <c r="L80" s="9">
        <f>YEAR(E80)</f>
        <v>2021</v>
      </c>
      <c r="M80" s="11">
        <f t="shared" si="3"/>
        <v>3657662.7199999997</v>
      </c>
      <c r="U80" s="63">
        <v>2021</v>
      </c>
      <c r="V80" s="43">
        <v>9350846.4199999999</v>
      </c>
      <c r="W80" s="44">
        <v>49914597.289999999</v>
      </c>
      <c r="X80" s="44">
        <v>76608.899999999994</v>
      </c>
      <c r="Y80" s="61">
        <v>1305</v>
      </c>
    </row>
    <row r="81" spans="1:25" ht="20" customHeight="1" x14ac:dyDescent="0.15">
      <c r="A81" s="12"/>
      <c r="B81" s="13" t="s">
        <v>13</v>
      </c>
      <c r="C81" s="14" t="s">
        <v>23</v>
      </c>
      <c r="D81" s="15" t="s">
        <v>26</v>
      </c>
      <c r="E81" s="15" t="s">
        <v>37</v>
      </c>
      <c r="F81" s="16">
        <v>225</v>
      </c>
      <c r="G81" s="17">
        <v>27359.34</v>
      </c>
      <c r="H81" s="19">
        <v>4792.7</v>
      </c>
      <c r="I81" s="19">
        <v>6155851.5</v>
      </c>
      <c r="J81" s="15" t="s">
        <v>17</v>
      </c>
      <c r="K81" s="15" t="s">
        <v>18</v>
      </c>
      <c r="L81" s="9">
        <f>YEAR(E81)</f>
        <v>2022</v>
      </c>
      <c r="M81" s="11">
        <f t="shared" si="3"/>
        <v>1078357.5</v>
      </c>
      <c r="U81" s="63">
        <v>2022</v>
      </c>
      <c r="V81" s="43">
        <v>12441311.550000001</v>
      </c>
      <c r="W81" s="44">
        <v>53166654.350000001</v>
      </c>
      <c r="X81" s="44">
        <v>97430.5</v>
      </c>
      <c r="Y81" s="61">
        <v>2052</v>
      </c>
    </row>
    <row r="82" spans="1:25" ht="20" customHeight="1" x14ac:dyDescent="0.15">
      <c r="A82" s="12"/>
      <c r="B82" s="13" t="s">
        <v>13</v>
      </c>
      <c r="C82" s="14" t="s">
        <v>35</v>
      </c>
      <c r="D82" s="15" t="s">
        <v>26</v>
      </c>
      <c r="E82" s="15" t="s">
        <v>47</v>
      </c>
      <c r="F82" s="16">
        <v>425</v>
      </c>
      <c r="G82" s="17">
        <v>18775.34</v>
      </c>
      <c r="H82" s="17">
        <v>5343.85</v>
      </c>
      <c r="I82" s="19">
        <v>7979519.5</v>
      </c>
      <c r="J82" s="15" t="s">
        <v>17</v>
      </c>
      <c r="K82" s="15" t="s">
        <v>18</v>
      </c>
      <c r="L82" s="9">
        <f>YEAR(E82)</f>
        <v>2022</v>
      </c>
      <c r="M82" s="11">
        <f t="shared" si="3"/>
        <v>2271136.25</v>
      </c>
      <c r="U82" s="63">
        <v>2023</v>
      </c>
      <c r="V82" s="43">
        <v>8658830</v>
      </c>
      <c r="W82" s="44">
        <v>16447934.24</v>
      </c>
      <c r="X82" s="44">
        <v>38145.18</v>
      </c>
      <c r="Y82" s="61">
        <v>984</v>
      </c>
    </row>
    <row r="83" spans="1:25" ht="20" customHeight="1" x14ac:dyDescent="0.15">
      <c r="A83" s="12"/>
      <c r="B83" s="13" t="s">
        <v>13</v>
      </c>
      <c r="C83" s="14" t="s">
        <v>35</v>
      </c>
      <c r="D83" s="15" t="s">
        <v>26</v>
      </c>
      <c r="E83" s="15" t="s">
        <v>49</v>
      </c>
      <c r="F83" s="16">
        <v>930</v>
      </c>
      <c r="G83" s="17">
        <v>37216.61</v>
      </c>
      <c r="H83" s="17">
        <v>4076.71</v>
      </c>
      <c r="I83" s="19">
        <v>34611447.299999997</v>
      </c>
      <c r="J83" s="15" t="s">
        <v>28</v>
      </c>
      <c r="K83" s="15" t="s">
        <v>18</v>
      </c>
      <c r="L83" s="9">
        <f>YEAR(E83)</f>
        <v>2022</v>
      </c>
      <c r="M83" s="11">
        <f t="shared" si="3"/>
        <v>3791340.3</v>
      </c>
      <c r="U83" s="42" t="s">
        <v>114</v>
      </c>
      <c r="V83" s="43">
        <v>81250550.829999998</v>
      </c>
      <c r="W83" s="44">
        <v>292253334.36000001</v>
      </c>
      <c r="X83" s="44">
        <v>471495.6</v>
      </c>
      <c r="Y83" s="61">
        <v>12251</v>
      </c>
    </row>
    <row r="84" spans="1:25" ht="20" customHeight="1" x14ac:dyDescent="0.15">
      <c r="A84" s="12"/>
      <c r="B84" s="13" t="s">
        <v>13</v>
      </c>
      <c r="C84" s="14" t="s">
        <v>25</v>
      </c>
      <c r="D84" s="15" t="s">
        <v>26</v>
      </c>
      <c r="E84" s="15" t="s">
        <v>51</v>
      </c>
      <c r="F84" s="16">
        <v>220</v>
      </c>
      <c r="G84" s="17">
        <v>37731.49</v>
      </c>
      <c r="H84" s="17">
        <v>5466.27</v>
      </c>
      <c r="I84" s="19">
        <v>8300927.7999999998</v>
      </c>
      <c r="J84" s="15" t="s">
        <v>28</v>
      </c>
      <c r="K84" s="15" t="s">
        <v>18</v>
      </c>
      <c r="L84" s="9">
        <f>YEAR(E84)</f>
        <v>2022</v>
      </c>
      <c r="M84" s="11">
        <f t="shared" si="3"/>
        <v>1202579.4000000001</v>
      </c>
      <c r="U84" s="63">
        <v>2020</v>
      </c>
      <c r="V84" s="43">
        <v>18417126.609999999</v>
      </c>
      <c r="W84" s="44">
        <v>50398518.510000005</v>
      </c>
      <c r="X84" s="44">
        <v>79375.829999999987</v>
      </c>
      <c r="Y84" s="61">
        <v>2441</v>
      </c>
    </row>
    <row r="85" spans="1:25" ht="20" customHeight="1" x14ac:dyDescent="0.15">
      <c r="A85" s="12"/>
      <c r="B85" s="13" t="s">
        <v>13</v>
      </c>
      <c r="C85" s="14" t="s">
        <v>23</v>
      </c>
      <c r="D85" s="15" t="s">
        <v>53</v>
      </c>
      <c r="E85" s="15" t="s">
        <v>54</v>
      </c>
      <c r="F85" s="16">
        <v>223</v>
      </c>
      <c r="G85" s="17">
        <v>41689.96</v>
      </c>
      <c r="H85" s="17">
        <v>7172.86</v>
      </c>
      <c r="I85" s="17">
        <v>9296861.0800000001</v>
      </c>
      <c r="J85" s="15" t="s">
        <v>17</v>
      </c>
      <c r="K85" s="15" t="s">
        <v>18</v>
      </c>
      <c r="L85" s="9">
        <f>YEAR(E85)</f>
        <v>2022</v>
      </c>
      <c r="M85" s="11">
        <f t="shared" si="3"/>
        <v>1599547.78</v>
      </c>
      <c r="U85" s="63">
        <v>2021</v>
      </c>
      <c r="V85" s="43">
        <v>14428220.560000001</v>
      </c>
      <c r="W85" s="44">
        <v>75888781.289999992</v>
      </c>
      <c r="X85" s="44">
        <v>121753.97</v>
      </c>
      <c r="Y85" s="61">
        <v>2681</v>
      </c>
    </row>
    <row r="86" spans="1:25" ht="20" customHeight="1" x14ac:dyDescent="0.15">
      <c r="A86" s="12"/>
      <c r="B86" s="13" t="s">
        <v>13</v>
      </c>
      <c r="C86" s="14" t="s">
        <v>19</v>
      </c>
      <c r="D86" s="15" t="s">
        <v>53</v>
      </c>
      <c r="E86" s="15" t="s">
        <v>55</v>
      </c>
      <c r="F86" s="16">
        <v>238</v>
      </c>
      <c r="G86" s="17">
        <v>31839.65</v>
      </c>
      <c r="H86" s="17">
        <v>8488.9699999999993</v>
      </c>
      <c r="I86" s="19">
        <v>7577836.7000000002</v>
      </c>
      <c r="J86" s="15" t="s">
        <v>17</v>
      </c>
      <c r="K86" s="15" t="s">
        <v>18</v>
      </c>
      <c r="L86" s="9">
        <f>YEAR(E86)</f>
        <v>2022</v>
      </c>
      <c r="M86" s="11">
        <f t="shared" si="3"/>
        <v>2020374.8599999999</v>
      </c>
      <c r="U86" s="63">
        <v>2022</v>
      </c>
      <c r="V86" s="43">
        <v>33962380.839999996</v>
      </c>
      <c r="W86" s="44">
        <v>119648151.17</v>
      </c>
      <c r="X86" s="44">
        <v>201581.63</v>
      </c>
      <c r="Y86" s="61">
        <v>5135</v>
      </c>
    </row>
    <row r="87" spans="1:25" ht="20" customHeight="1" x14ac:dyDescent="0.15">
      <c r="A87" s="12"/>
      <c r="B87" s="13" t="s">
        <v>13</v>
      </c>
      <c r="C87" s="14" t="s">
        <v>57</v>
      </c>
      <c r="D87" s="15" t="s">
        <v>53</v>
      </c>
      <c r="E87" s="15" t="s">
        <v>60</v>
      </c>
      <c r="F87" s="16">
        <v>228</v>
      </c>
      <c r="G87" s="17">
        <v>27992.79</v>
      </c>
      <c r="H87" s="17">
        <v>4627.45</v>
      </c>
      <c r="I87" s="17">
        <v>6382356.1200000001</v>
      </c>
      <c r="J87" s="15" t="s">
        <v>30</v>
      </c>
      <c r="K87" s="15" t="s">
        <v>18</v>
      </c>
      <c r="L87" s="9">
        <f>YEAR(E87)</f>
        <v>2022</v>
      </c>
      <c r="M87" s="11">
        <f t="shared" si="3"/>
        <v>1055058.5999999999</v>
      </c>
      <c r="U87" s="63">
        <v>2023</v>
      </c>
      <c r="V87" s="43">
        <v>14442822.82</v>
      </c>
      <c r="W87" s="44">
        <v>46317883.390000001</v>
      </c>
      <c r="X87" s="44">
        <v>68784.170000000013</v>
      </c>
      <c r="Y87" s="61">
        <v>1994</v>
      </c>
    </row>
    <row r="88" spans="1:25" ht="20" customHeight="1" x14ac:dyDescent="0.15">
      <c r="A88" s="12"/>
      <c r="B88" s="13" t="s">
        <v>13</v>
      </c>
      <c r="C88" s="14" t="s">
        <v>14</v>
      </c>
      <c r="D88" s="15" t="s">
        <v>53</v>
      </c>
      <c r="E88" s="15" t="s">
        <v>62</v>
      </c>
      <c r="F88" s="16">
        <v>462</v>
      </c>
      <c r="G88" s="17">
        <v>40352.050000000003</v>
      </c>
      <c r="H88" s="19">
        <v>5985.5</v>
      </c>
      <c r="I88" s="19">
        <v>18642647.100000001</v>
      </c>
      <c r="J88" s="15" t="s">
        <v>17</v>
      </c>
      <c r="K88" s="15" t="s">
        <v>18</v>
      </c>
      <c r="L88" s="9">
        <f>YEAR(E88)</f>
        <v>2022</v>
      </c>
      <c r="M88" s="11">
        <f t="shared" si="3"/>
        <v>2765301</v>
      </c>
      <c r="U88" s="42" t="s">
        <v>107</v>
      </c>
      <c r="V88" s="43">
        <v>33384443.189999998</v>
      </c>
      <c r="W88" s="44">
        <v>200574734.51999998</v>
      </c>
      <c r="X88" s="44">
        <v>386483</v>
      </c>
      <c r="Y88" s="61">
        <v>4577</v>
      </c>
    </row>
    <row r="89" spans="1:25" ht="20" customHeight="1" x14ac:dyDescent="0.15">
      <c r="A89" s="12"/>
      <c r="B89" s="13" t="s">
        <v>13</v>
      </c>
      <c r="C89" s="14" t="s">
        <v>38</v>
      </c>
      <c r="D89" s="15" t="s">
        <v>53</v>
      </c>
      <c r="E89" s="15" t="s">
        <v>63</v>
      </c>
      <c r="F89" s="16">
        <v>212</v>
      </c>
      <c r="G89" s="17">
        <v>38606.82</v>
      </c>
      <c r="H89" s="17">
        <v>8270.19</v>
      </c>
      <c r="I89" s="17">
        <v>8184645.8399999999</v>
      </c>
      <c r="J89" s="15" t="s">
        <v>17</v>
      </c>
      <c r="K89" s="15" t="s">
        <v>18</v>
      </c>
      <c r="L89" s="9">
        <f>YEAR(E89)</f>
        <v>2022</v>
      </c>
      <c r="M89" s="11">
        <f t="shared" si="3"/>
        <v>1753280.28</v>
      </c>
      <c r="U89" s="63">
        <v>2020</v>
      </c>
      <c r="V89" s="43">
        <v>9353066.25</v>
      </c>
      <c r="W89" s="44">
        <v>59983179.300000004</v>
      </c>
      <c r="X89" s="44">
        <v>94113.079999999987</v>
      </c>
      <c r="Y89" s="61">
        <v>1300</v>
      </c>
    </row>
    <row r="90" spans="1:25" ht="20" customHeight="1" x14ac:dyDescent="0.15">
      <c r="A90" s="12"/>
      <c r="B90" s="13" t="s">
        <v>13</v>
      </c>
      <c r="C90" s="14" t="s">
        <v>57</v>
      </c>
      <c r="D90" s="15" t="s">
        <v>70</v>
      </c>
      <c r="E90" s="15" t="s">
        <v>75</v>
      </c>
      <c r="F90" s="16">
        <v>197</v>
      </c>
      <c r="G90" s="17">
        <v>32460.959999999999</v>
      </c>
      <c r="H90" s="17">
        <v>3462.01</v>
      </c>
      <c r="I90" s="17">
        <v>6394809.1200000001</v>
      </c>
      <c r="J90" s="15" t="s">
        <v>17</v>
      </c>
      <c r="K90" s="15" t="s">
        <v>18</v>
      </c>
      <c r="L90" s="9">
        <f>YEAR(E90)</f>
        <v>2022</v>
      </c>
      <c r="M90" s="11">
        <f t="shared" si="3"/>
        <v>682015.97000000009</v>
      </c>
      <c r="U90" s="63">
        <v>2021</v>
      </c>
      <c r="V90" s="43">
        <v>9331131.0300000012</v>
      </c>
      <c r="W90" s="44">
        <v>49477351.949999996</v>
      </c>
      <c r="X90" s="44">
        <v>72443.209999999992</v>
      </c>
      <c r="Y90" s="61">
        <v>1230</v>
      </c>
    </row>
    <row r="91" spans="1:25" ht="20" customHeight="1" x14ac:dyDescent="0.15">
      <c r="A91" s="12"/>
      <c r="B91" s="13" t="s">
        <v>13</v>
      </c>
      <c r="C91" s="14" t="s">
        <v>79</v>
      </c>
      <c r="D91" s="15" t="s">
        <v>70</v>
      </c>
      <c r="E91" s="15" t="s">
        <v>80</v>
      </c>
      <c r="F91" s="16">
        <v>969</v>
      </c>
      <c r="G91" s="17">
        <v>18970.62</v>
      </c>
      <c r="H91" s="17">
        <v>4948.6899999999996</v>
      </c>
      <c r="I91" s="17">
        <v>18382530.780000001</v>
      </c>
      <c r="J91" s="15" t="s">
        <v>17</v>
      </c>
      <c r="K91" s="15" t="s">
        <v>18</v>
      </c>
      <c r="L91" s="9">
        <f>YEAR(E91)</f>
        <v>2022</v>
      </c>
      <c r="M91" s="11">
        <f t="shared" si="3"/>
        <v>4795280.6099999994</v>
      </c>
      <c r="U91" s="63">
        <v>2022</v>
      </c>
      <c r="V91" s="43">
        <v>6547204.54</v>
      </c>
      <c r="W91" s="44">
        <v>38888999.079999998</v>
      </c>
      <c r="X91" s="44">
        <v>49985.86</v>
      </c>
      <c r="Y91" s="61">
        <v>778</v>
      </c>
    </row>
    <row r="92" spans="1:25" ht="20" customHeight="1" x14ac:dyDescent="0.15">
      <c r="A92" s="12"/>
      <c r="B92" s="13" t="s">
        <v>13</v>
      </c>
      <c r="C92" s="14" t="s">
        <v>31</v>
      </c>
      <c r="D92" s="15" t="s">
        <v>70</v>
      </c>
      <c r="E92" s="15" t="s">
        <v>81</v>
      </c>
      <c r="F92" s="16">
        <v>179</v>
      </c>
      <c r="G92" s="19">
        <v>11948.5</v>
      </c>
      <c r="H92" s="17">
        <v>8565.61</v>
      </c>
      <c r="I92" s="19">
        <v>2138781.5</v>
      </c>
      <c r="J92" s="15" t="s">
        <v>17</v>
      </c>
      <c r="K92" s="15" t="s">
        <v>18</v>
      </c>
      <c r="L92" s="9">
        <f>YEAR(E92)</f>
        <v>2022</v>
      </c>
      <c r="M92" s="11">
        <f t="shared" si="3"/>
        <v>1533244.1900000002</v>
      </c>
      <c r="U92" s="63">
        <v>2023</v>
      </c>
      <c r="V92" s="43">
        <v>8153041.3699999992</v>
      </c>
      <c r="W92" s="44">
        <v>52225204.189999998</v>
      </c>
      <c r="X92" s="44">
        <v>169940.85</v>
      </c>
      <c r="Y92" s="61">
        <v>1269</v>
      </c>
    </row>
    <row r="93" spans="1:25" ht="20" customHeight="1" x14ac:dyDescent="0.15">
      <c r="A93" s="12"/>
      <c r="B93" s="13" t="s">
        <v>13</v>
      </c>
      <c r="C93" s="14" t="s">
        <v>31</v>
      </c>
      <c r="D93" s="15" t="s">
        <v>70</v>
      </c>
      <c r="E93" s="15" t="s">
        <v>86</v>
      </c>
      <c r="F93" s="16">
        <v>884</v>
      </c>
      <c r="G93" s="17">
        <v>49041.91</v>
      </c>
      <c r="H93" s="17">
        <v>3226.31</v>
      </c>
      <c r="I93" s="17">
        <v>43353048.439999998</v>
      </c>
      <c r="J93" s="15" t="s">
        <v>17</v>
      </c>
      <c r="K93" s="15" t="s">
        <v>18</v>
      </c>
      <c r="L93" s="9">
        <f>YEAR(E93)</f>
        <v>2022</v>
      </c>
      <c r="M93" s="11">
        <f t="shared" si="3"/>
        <v>2852058.04</v>
      </c>
      <c r="U93" s="42" t="s">
        <v>15</v>
      </c>
      <c r="V93" s="43">
        <v>19348988.379999999</v>
      </c>
      <c r="W93" s="44">
        <v>129711067.30000001</v>
      </c>
      <c r="X93" s="44">
        <v>289382.15000000002</v>
      </c>
      <c r="Y93" s="61">
        <v>4229</v>
      </c>
    </row>
    <row r="94" spans="1:25" ht="20" customHeight="1" x14ac:dyDescent="0.15">
      <c r="A94" s="12"/>
      <c r="B94" s="13" t="s">
        <v>13</v>
      </c>
      <c r="C94" s="14" t="s">
        <v>23</v>
      </c>
      <c r="D94" s="15" t="s">
        <v>89</v>
      </c>
      <c r="E94" s="15" t="s">
        <v>93</v>
      </c>
      <c r="F94" s="16">
        <v>509</v>
      </c>
      <c r="G94" s="17">
        <v>37586.949999999997</v>
      </c>
      <c r="H94" s="17">
        <v>3011.25</v>
      </c>
      <c r="I94" s="17">
        <v>19131757.550000001</v>
      </c>
      <c r="J94" s="15" t="s">
        <v>17</v>
      </c>
      <c r="K94" s="15" t="s">
        <v>18</v>
      </c>
      <c r="L94" s="9">
        <f>YEAR(E94)</f>
        <v>2022</v>
      </c>
      <c r="M94" s="11">
        <f t="shared" si="3"/>
        <v>1532726.25</v>
      </c>
      <c r="U94" s="63">
        <v>2020</v>
      </c>
      <c r="V94" s="43">
        <v>8301991.9699999997</v>
      </c>
      <c r="W94" s="44">
        <v>49507102.450000003</v>
      </c>
      <c r="X94" s="44">
        <v>96131.9</v>
      </c>
      <c r="Y94" s="61">
        <v>1806</v>
      </c>
    </row>
    <row r="95" spans="1:25" ht="20" customHeight="1" x14ac:dyDescent="0.15">
      <c r="A95" s="12"/>
      <c r="B95" s="13" t="s">
        <v>13</v>
      </c>
      <c r="C95" s="14" t="s">
        <v>38</v>
      </c>
      <c r="D95" s="15" t="s">
        <v>89</v>
      </c>
      <c r="E95" s="15" t="s">
        <v>95</v>
      </c>
      <c r="F95" s="16">
        <v>928</v>
      </c>
      <c r="G95" s="17">
        <v>43869.35</v>
      </c>
      <c r="H95" s="17">
        <v>7665.68</v>
      </c>
      <c r="I95" s="19">
        <v>40710756.799999997</v>
      </c>
      <c r="J95" s="15" t="s">
        <v>17</v>
      </c>
      <c r="K95" s="15" t="s">
        <v>18</v>
      </c>
      <c r="L95" s="9">
        <f>YEAR(E95)</f>
        <v>2022</v>
      </c>
      <c r="M95" s="11">
        <f t="shared" si="3"/>
        <v>7113751.04</v>
      </c>
      <c r="U95" s="63">
        <v>2021</v>
      </c>
      <c r="V95" s="43">
        <v>839501.84000000008</v>
      </c>
      <c r="W95" s="44">
        <v>2124914.7999999998</v>
      </c>
      <c r="X95" s="44">
        <v>11548.45</v>
      </c>
      <c r="Y95" s="61">
        <v>184</v>
      </c>
    </row>
    <row r="96" spans="1:25" ht="20" customHeight="1" x14ac:dyDescent="0.15">
      <c r="A96" s="12"/>
      <c r="B96" s="13" t="s">
        <v>13</v>
      </c>
      <c r="C96" s="14" t="s">
        <v>43</v>
      </c>
      <c r="D96" s="15" t="s">
        <v>89</v>
      </c>
      <c r="E96" s="15" t="s">
        <v>96</v>
      </c>
      <c r="F96" s="16">
        <v>687</v>
      </c>
      <c r="G96" s="17">
        <v>33342.97</v>
      </c>
      <c r="H96" s="17">
        <v>6500.51</v>
      </c>
      <c r="I96" s="17">
        <v>22906620.390000001</v>
      </c>
      <c r="J96" s="15" t="s">
        <v>17</v>
      </c>
      <c r="K96" s="15" t="s">
        <v>18</v>
      </c>
      <c r="L96" s="9">
        <f>YEAR(E96)</f>
        <v>2022</v>
      </c>
      <c r="M96" s="11">
        <f t="shared" si="3"/>
        <v>4465850.37</v>
      </c>
      <c r="U96" s="63">
        <v>2022</v>
      </c>
      <c r="V96" s="43">
        <v>3551322.02</v>
      </c>
      <c r="W96" s="44">
        <v>36466149.899999999</v>
      </c>
      <c r="X96" s="44">
        <v>85739.1</v>
      </c>
      <c r="Y96" s="61">
        <v>826</v>
      </c>
    </row>
    <row r="97" spans="1:25" ht="20" customHeight="1" x14ac:dyDescent="0.15">
      <c r="A97" s="12"/>
      <c r="B97" s="13" t="s">
        <v>13</v>
      </c>
      <c r="C97" s="14" t="s">
        <v>35</v>
      </c>
      <c r="D97" s="15" t="s">
        <v>89</v>
      </c>
      <c r="E97" s="15" t="s">
        <v>97</v>
      </c>
      <c r="F97" s="16">
        <v>606</v>
      </c>
      <c r="G97" s="19">
        <v>27024.3</v>
      </c>
      <c r="H97" s="17">
        <v>3236.49</v>
      </c>
      <c r="I97" s="19">
        <v>16376725.800000001</v>
      </c>
      <c r="J97" s="15" t="s">
        <v>17</v>
      </c>
      <c r="K97" s="15" t="s">
        <v>18</v>
      </c>
      <c r="L97" s="9">
        <f>YEAR(E97)</f>
        <v>2022</v>
      </c>
      <c r="M97" s="11">
        <f t="shared" si="3"/>
        <v>1961312.94</v>
      </c>
      <c r="U97" s="63">
        <v>2023</v>
      </c>
      <c r="V97" s="43">
        <v>6656172.5499999989</v>
      </c>
      <c r="W97" s="44">
        <v>41612900.149999999</v>
      </c>
      <c r="X97" s="44">
        <v>95962.700000000012</v>
      </c>
      <c r="Y97" s="61">
        <v>1413</v>
      </c>
    </row>
    <row r="98" spans="1:25" ht="20" customHeight="1" x14ac:dyDescent="0.15">
      <c r="A98" s="12"/>
      <c r="B98" s="13" t="s">
        <v>13</v>
      </c>
      <c r="C98" s="14" t="s">
        <v>14</v>
      </c>
      <c r="D98" s="15" t="s">
        <v>89</v>
      </c>
      <c r="E98" s="15" t="s">
        <v>99</v>
      </c>
      <c r="F98" s="16">
        <v>318</v>
      </c>
      <c r="G98" s="17">
        <v>24796.29</v>
      </c>
      <c r="H98" s="17">
        <v>9931.61</v>
      </c>
      <c r="I98" s="17">
        <v>7885220.2199999997</v>
      </c>
      <c r="J98" s="15" t="s">
        <v>22</v>
      </c>
      <c r="K98" s="15" t="s">
        <v>18</v>
      </c>
      <c r="L98" s="9">
        <f>YEAR(E98)</f>
        <v>2022</v>
      </c>
      <c r="M98" s="11">
        <f t="shared" si="3"/>
        <v>3158251.98</v>
      </c>
      <c r="U98" s="42" t="s">
        <v>139</v>
      </c>
      <c r="V98" s="43">
        <v>31756274.879999999</v>
      </c>
      <c r="W98" s="44">
        <v>186095768.45999998</v>
      </c>
      <c r="X98" s="44">
        <v>253270.13</v>
      </c>
      <c r="Y98" s="61">
        <v>6236</v>
      </c>
    </row>
    <row r="99" spans="1:25" ht="20" customHeight="1" x14ac:dyDescent="0.15">
      <c r="A99" s="12"/>
      <c r="B99" s="13" t="s">
        <v>13</v>
      </c>
      <c r="C99" s="14" t="s">
        <v>79</v>
      </c>
      <c r="D99" s="15" t="s">
        <v>89</v>
      </c>
      <c r="E99" s="15" t="s">
        <v>100</v>
      </c>
      <c r="F99" s="16">
        <v>603</v>
      </c>
      <c r="G99" s="17">
        <v>25715.79</v>
      </c>
      <c r="H99" s="17">
        <v>9586.4599999999991</v>
      </c>
      <c r="I99" s="17">
        <v>15506621.369999999</v>
      </c>
      <c r="J99" s="15" t="s">
        <v>22</v>
      </c>
      <c r="K99" s="15" t="s">
        <v>18</v>
      </c>
      <c r="L99" s="9">
        <f>YEAR(E99)</f>
        <v>2022</v>
      </c>
      <c r="M99" s="11">
        <f t="shared" si="3"/>
        <v>5780635.3799999999</v>
      </c>
      <c r="U99" s="63">
        <v>2020</v>
      </c>
      <c r="V99" s="43">
        <v>9045380.7699999996</v>
      </c>
      <c r="W99" s="44">
        <v>34565119.399999999</v>
      </c>
      <c r="X99" s="44">
        <v>40278.449999999997</v>
      </c>
      <c r="Y99" s="61">
        <v>1529</v>
      </c>
    </row>
    <row r="100" spans="1:25" ht="20" customHeight="1" x14ac:dyDescent="0.15">
      <c r="A100" s="12"/>
      <c r="B100" s="13" t="s">
        <v>13</v>
      </c>
      <c r="C100" s="14" t="s">
        <v>35</v>
      </c>
      <c r="D100" s="15" t="s">
        <v>89</v>
      </c>
      <c r="E100" s="15" t="s">
        <v>106</v>
      </c>
      <c r="F100" s="16">
        <v>504</v>
      </c>
      <c r="G100" s="17">
        <v>16636.12</v>
      </c>
      <c r="H100" s="17">
        <v>4596.82</v>
      </c>
      <c r="I100" s="17">
        <v>8384604.4800000004</v>
      </c>
      <c r="J100" s="15" t="s">
        <v>22</v>
      </c>
      <c r="K100" s="15" t="s">
        <v>18</v>
      </c>
      <c r="L100" s="9">
        <f>YEAR(E100)</f>
        <v>2022</v>
      </c>
      <c r="M100" s="11">
        <f t="shared" si="3"/>
        <v>2316797.2799999998</v>
      </c>
      <c r="U100" s="63">
        <v>2021</v>
      </c>
      <c r="V100" s="43">
        <v>8208715.1400000006</v>
      </c>
      <c r="W100" s="44">
        <v>49600758.390000001</v>
      </c>
      <c r="X100" s="44">
        <v>68433.899999999994</v>
      </c>
      <c r="Y100" s="61">
        <v>1245</v>
      </c>
    </row>
    <row r="101" spans="1:25" ht="20" customHeight="1" x14ac:dyDescent="0.15">
      <c r="A101" s="12"/>
      <c r="B101" s="13" t="s">
        <v>13</v>
      </c>
      <c r="C101" s="14" t="s">
        <v>19</v>
      </c>
      <c r="D101" s="15" t="s">
        <v>107</v>
      </c>
      <c r="E101" s="15" t="s">
        <v>112</v>
      </c>
      <c r="F101" s="16">
        <v>900</v>
      </c>
      <c r="G101" s="17">
        <v>27487.89</v>
      </c>
      <c r="H101" s="17">
        <v>7714.09</v>
      </c>
      <c r="I101" s="16">
        <v>24739101</v>
      </c>
      <c r="J101" s="15" t="s">
        <v>17</v>
      </c>
      <c r="K101" s="15" t="s">
        <v>18</v>
      </c>
      <c r="L101" s="9">
        <f>YEAR(E101)</f>
        <v>2022</v>
      </c>
      <c r="M101" s="11">
        <f t="shared" si="3"/>
        <v>6942681</v>
      </c>
      <c r="U101" s="63">
        <v>2022</v>
      </c>
      <c r="V101" s="43">
        <v>526457.88</v>
      </c>
      <c r="W101" s="44">
        <v>4895741.43</v>
      </c>
      <c r="X101" s="44">
        <v>18757.63</v>
      </c>
      <c r="Y101" s="61">
        <v>261</v>
      </c>
    </row>
    <row r="102" spans="1:25" ht="20" customHeight="1" x14ac:dyDescent="0.15">
      <c r="A102" s="12"/>
      <c r="B102" s="13" t="s">
        <v>13</v>
      </c>
      <c r="C102" s="14" t="s">
        <v>25</v>
      </c>
      <c r="D102" s="15" t="s">
        <v>107</v>
      </c>
      <c r="E102" s="15" t="s">
        <v>113</v>
      </c>
      <c r="F102" s="16">
        <v>389</v>
      </c>
      <c r="G102" s="17">
        <v>22294.639999999999</v>
      </c>
      <c r="H102" s="17">
        <v>3359.32</v>
      </c>
      <c r="I102" s="17">
        <v>8672614.9600000009</v>
      </c>
      <c r="J102" s="15" t="s">
        <v>30</v>
      </c>
      <c r="K102" s="15" t="s">
        <v>18</v>
      </c>
      <c r="L102" s="9">
        <f>YEAR(E102)</f>
        <v>2022</v>
      </c>
      <c r="M102" s="11">
        <f t="shared" si="3"/>
        <v>1306775.48</v>
      </c>
      <c r="U102" s="63">
        <v>2023</v>
      </c>
      <c r="V102" s="43">
        <v>13975721.09</v>
      </c>
      <c r="W102" s="44">
        <v>97034149.239999995</v>
      </c>
      <c r="X102" s="44">
        <v>125800.15</v>
      </c>
      <c r="Y102" s="61">
        <v>3201</v>
      </c>
    </row>
    <row r="103" spans="1:25" ht="20" customHeight="1" x14ac:dyDescent="0.15">
      <c r="A103" s="12"/>
      <c r="B103" s="13" t="s">
        <v>13</v>
      </c>
      <c r="C103" s="14" t="s">
        <v>14</v>
      </c>
      <c r="D103" s="15" t="s">
        <v>114</v>
      </c>
      <c r="E103" s="15" t="s">
        <v>113</v>
      </c>
      <c r="F103" s="16">
        <v>253</v>
      </c>
      <c r="G103" s="17">
        <v>10966.93</v>
      </c>
      <c r="H103" s="19">
        <v>2635.2</v>
      </c>
      <c r="I103" s="17">
        <v>2774633.29</v>
      </c>
      <c r="J103" s="15" t="s">
        <v>22</v>
      </c>
      <c r="K103" s="15" t="s">
        <v>18</v>
      </c>
      <c r="L103" s="9">
        <f>YEAR(E103)</f>
        <v>2022</v>
      </c>
      <c r="M103" s="11">
        <f t="shared" si="3"/>
        <v>666705.6</v>
      </c>
      <c r="U103" s="42" t="s">
        <v>53</v>
      </c>
      <c r="V103" s="43">
        <v>25117003.640000001</v>
      </c>
      <c r="W103" s="44">
        <v>120301656.31999999</v>
      </c>
      <c r="X103" s="44">
        <v>211076.57</v>
      </c>
      <c r="Y103" s="61">
        <v>3755</v>
      </c>
    </row>
    <row r="104" spans="1:25" ht="20" customHeight="1" x14ac:dyDescent="0.15">
      <c r="A104" s="12"/>
      <c r="B104" s="13" t="s">
        <v>13</v>
      </c>
      <c r="C104" s="14" t="s">
        <v>35</v>
      </c>
      <c r="D104" s="15" t="s">
        <v>68</v>
      </c>
      <c r="E104" s="15" t="s">
        <v>121</v>
      </c>
      <c r="F104" s="16">
        <v>633</v>
      </c>
      <c r="G104" s="17">
        <v>25099.43</v>
      </c>
      <c r="H104" s="17">
        <v>2601.7800000000002</v>
      </c>
      <c r="I104" s="17">
        <v>15887939.189999999</v>
      </c>
      <c r="J104" s="15" t="s">
        <v>17</v>
      </c>
      <c r="K104" s="15" t="s">
        <v>18</v>
      </c>
      <c r="L104" s="9">
        <f>YEAR(E104)</f>
        <v>2022</v>
      </c>
      <c r="M104" s="11">
        <f t="shared" si="3"/>
        <v>1646926.7400000002</v>
      </c>
      <c r="U104" s="63">
        <v>2020</v>
      </c>
      <c r="V104" s="43">
        <v>4888367.67</v>
      </c>
      <c r="W104" s="44">
        <v>23810844.150000002</v>
      </c>
      <c r="X104" s="44">
        <v>53814.45</v>
      </c>
      <c r="Y104" s="61">
        <v>799</v>
      </c>
    </row>
    <row r="105" spans="1:25" ht="20" customHeight="1" x14ac:dyDescent="0.15">
      <c r="A105" s="12"/>
      <c r="B105" s="13" t="s">
        <v>13</v>
      </c>
      <c r="C105" s="14" t="s">
        <v>79</v>
      </c>
      <c r="D105" s="15" t="s">
        <v>68</v>
      </c>
      <c r="E105" s="15" t="s">
        <v>122</v>
      </c>
      <c r="F105" s="16">
        <v>749</v>
      </c>
      <c r="G105" s="17">
        <v>28798.52</v>
      </c>
      <c r="H105" s="17">
        <v>6193.18</v>
      </c>
      <c r="I105" s="17">
        <v>21570091.48</v>
      </c>
      <c r="J105" s="15" t="s">
        <v>17</v>
      </c>
      <c r="K105" s="15" t="s">
        <v>18</v>
      </c>
      <c r="L105" s="9">
        <f>YEAR(E105)</f>
        <v>2022</v>
      </c>
      <c r="M105" s="11">
        <f t="shared" si="3"/>
        <v>4638691.82</v>
      </c>
      <c r="U105" s="63">
        <v>2021</v>
      </c>
      <c r="V105" s="43">
        <v>1817122.34</v>
      </c>
      <c r="W105" s="44">
        <v>2630934.88</v>
      </c>
      <c r="X105" s="44">
        <v>13561.52</v>
      </c>
      <c r="Y105" s="61">
        <v>194</v>
      </c>
    </row>
    <row r="106" spans="1:25" ht="20" customHeight="1" x14ac:dyDescent="0.15">
      <c r="A106" s="12"/>
      <c r="B106" s="13" t="s">
        <v>13</v>
      </c>
      <c r="C106" s="14" t="s">
        <v>14</v>
      </c>
      <c r="D106" s="15" t="s">
        <v>68</v>
      </c>
      <c r="E106" s="15" t="s">
        <v>129</v>
      </c>
      <c r="F106" s="16">
        <v>757</v>
      </c>
      <c r="G106" s="17">
        <v>15651.76</v>
      </c>
      <c r="H106" s="17">
        <v>2822.57</v>
      </c>
      <c r="I106" s="17">
        <v>11848382.32</v>
      </c>
      <c r="J106" s="15" t="s">
        <v>17</v>
      </c>
      <c r="K106" s="15" t="s">
        <v>18</v>
      </c>
      <c r="L106" s="9">
        <f>YEAR(E106)</f>
        <v>2022</v>
      </c>
      <c r="M106" s="11">
        <f t="shared" si="3"/>
        <v>2136685.4900000002</v>
      </c>
      <c r="U106" s="63">
        <v>2022</v>
      </c>
      <c r="V106" s="43">
        <v>8954056.4900000002</v>
      </c>
      <c r="W106" s="44">
        <v>52868705.879999995</v>
      </c>
      <c r="X106" s="44">
        <v>90373.13</v>
      </c>
      <c r="Y106" s="61">
        <v>1227</v>
      </c>
    </row>
    <row r="107" spans="1:25" ht="20" customHeight="1" x14ac:dyDescent="0.15">
      <c r="A107" s="12"/>
      <c r="B107" s="13" t="s">
        <v>13</v>
      </c>
      <c r="C107" s="14" t="s">
        <v>79</v>
      </c>
      <c r="D107" s="15" t="s">
        <v>68</v>
      </c>
      <c r="E107" s="15" t="s">
        <v>134</v>
      </c>
      <c r="F107" s="16">
        <v>412</v>
      </c>
      <c r="G107" s="17">
        <v>39780.129999999997</v>
      </c>
      <c r="H107" s="17">
        <v>7699.27</v>
      </c>
      <c r="I107" s="17">
        <v>16389413.560000001</v>
      </c>
      <c r="J107" s="15" t="s">
        <v>17</v>
      </c>
      <c r="K107" s="15" t="s">
        <v>18</v>
      </c>
      <c r="L107" s="9">
        <f>YEAR(E107)</f>
        <v>2022</v>
      </c>
      <c r="M107" s="11">
        <f t="shared" si="3"/>
        <v>3172099.24</v>
      </c>
      <c r="U107" s="63">
        <v>2023</v>
      </c>
      <c r="V107" s="43">
        <v>9457457.1400000006</v>
      </c>
      <c r="W107" s="44">
        <v>40991171.409999996</v>
      </c>
      <c r="X107" s="44">
        <v>53327.47</v>
      </c>
      <c r="Y107" s="61">
        <v>1535</v>
      </c>
    </row>
    <row r="108" spans="1:25" ht="20" customHeight="1" x14ac:dyDescent="0.15">
      <c r="A108" s="12"/>
      <c r="B108" s="13" t="s">
        <v>13</v>
      </c>
      <c r="C108" s="14" t="s">
        <v>25</v>
      </c>
      <c r="D108" s="15" t="s">
        <v>68</v>
      </c>
      <c r="E108" s="15" t="s">
        <v>135</v>
      </c>
      <c r="F108" s="16">
        <v>985</v>
      </c>
      <c r="G108" s="17">
        <v>17927.04</v>
      </c>
      <c r="H108" s="17">
        <v>2110.33</v>
      </c>
      <c r="I108" s="19">
        <v>17658134.399999999</v>
      </c>
      <c r="J108" s="15" t="s">
        <v>17</v>
      </c>
      <c r="K108" s="15" t="s">
        <v>18</v>
      </c>
      <c r="L108" s="9">
        <f>YEAR(E108)</f>
        <v>2022</v>
      </c>
      <c r="M108" s="11">
        <f t="shared" si="3"/>
        <v>2078675.0499999998</v>
      </c>
      <c r="U108" s="42" t="s">
        <v>153</v>
      </c>
      <c r="V108" s="43">
        <v>42571514.100000001</v>
      </c>
      <c r="W108" s="44">
        <v>224475855.81999999</v>
      </c>
      <c r="X108" s="44">
        <v>437634.64999999997</v>
      </c>
      <c r="Y108" s="61">
        <v>6866</v>
      </c>
    </row>
    <row r="109" spans="1:25" ht="20" customHeight="1" x14ac:dyDescent="0.15">
      <c r="A109" s="12"/>
      <c r="B109" s="13" t="s">
        <v>13</v>
      </c>
      <c r="C109" s="14" t="s">
        <v>43</v>
      </c>
      <c r="D109" s="15" t="s">
        <v>139</v>
      </c>
      <c r="E109" s="15" t="s">
        <v>140</v>
      </c>
      <c r="F109" s="16">
        <v>720</v>
      </c>
      <c r="G109" s="17">
        <v>20018.86</v>
      </c>
      <c r="H109" s="19">
        <v>3870.9</v>
      </c>
      <c r="I109" s="19">
        <v>14413579.199999999</v>
      </c>
      <c r="J109" s="15" t="s">
        <v>17</v>
      </c>
      <c r="K109" s="15" t="s">
        <v>18</v>
      </c>
      <c r="L109" s="9">
        <f>YEAR(E109)</f>
        <v>2022</v>
      </c>
      <c r="M109" s="11">
        <f t="shared" si="3"/>
        <v>2787048</v>
      </c>
      <c r="U109" s="63">
        <v>2020</v>
      </c>
      <c r="V109" s="43">
        <v>15011221.390000001</v>
      </c>
      <c r="W109" s="44">
        <v>79756538.620000005</v>
      </c>
      <c r="X109" s="44">
        <v>135442.04999999999</v>
      </c>
      <c r="Y109" s="61">
        <v>2251</v>
      </c>
    </row>
    <row r="110" spans="1:25" ht="20" customHeight="1" x14ac:dyDescent="0.15">
      <c r="A110" s="12"/>
      <c r="B110" s="13" t="s">
        <v>13</v>
      </c>
      <c r="C110" s="14" t="s">
        <v>35</v>
      </c>
      <c r="D110" s="15" t="s">
        <v>139</v>
      </c>
      <c r="E110" s="15" t="s">
        <v>141</v>
      </c>
      <c r="F110" s="16">
        <v>494</v>
      </c>
      <c r="G110" s="17">
        <v>15808.25</v>
      </c>
      <c r="H110" s="17">
        <v>8514.16</v>
      </c>
      <c r="I110" s="19">
        <v>7809275.5</v>
      </c>
      <c r="J110" s="15" t="s">
        <v>17</v>
      </c>
      <c r="K110" s="15" t="s">
        <v>18</v>
      </c>
      <c r="L110" s="9">
        <f>YEAR(E110)</f>
        <v>2022</v>
      </c>
      <c r="M110" s="11">
        <f t="shared" si="3"/>
        <v>4205995.04</v>
      </c>
      <c r="U110" s="63">
        <v>2021</v>
      </c>
      <c r="V110" s="43">
        <v>9334668.1900000013</v>
      </c>
      <c r="W110" s="44">
        <v>48639576.269999996</v>
      </c>
      <c r="X110" s="44">
        <v>133247.54999999999</v>
      </c>
      <c r="Y110" s="61">
        <v>1339</v>
      </c>
    </row>
    <row r="111" spans="1:25" ht="20" customHeight="1" x14ac:dyDescent="0.15">
      <c r="A111" s="12"/>
      <c r="B111" s="13" t="s">
        <v>13</v>
      </c>
      <c r="C111" s="14" t="s">
        <v>14</v>
      </c>
      <c r="D111" s="15" t="s">
        <v>139</v>
      </c>
      <c r="E111" s="15" t="s">
        <v>149</v>
      </c>
      <c r="F111" s="16">
        <v>275</v>
      </c>
      <c r="G111" s="17">
        <v>18649.39</v>
      </c>
      <c r="H111" s="17">
        <v>2111.9899999999998</v>
      </c>
      <c r="I111" s="17">
        <v>5128582.25</v>
      </c>
      <c r="J111" s="15" t="s">
        <v>17</v>
      </c>
      <c r="K111" s="15" t="s">
        <v>18</v>
      </c>
      <c r="L111" s="9">
        <f>YEAR(E111)</f>
        <v>2022</v>
      </c>
      <c r="M111" s="11">
        <f t="shared" si="3"/>
        <v>580797.24999999988</v>
      </c>
      <c r="U111" s="63">
        <v>2022</v>
      </c>
      <c r="V111" s="43">
        <v>5165329.75</v>
      </c>
      <c r="W111" s="44">
        <v>16880618.899999999</v>
      </c>
      <c r="X111" s="44">
        <v>45967.18</v>
      </c>
      <c r="Y111" s="61">
        <v>1315</v>
      </c>
    </row>
    <row r="112" spans="1:25" ht="20" customHeight="1" x14ac:dyDescent="0.15">
      <c r="A112" s="12"/>
      <c r="B112" s="13" t="s">
        <v>13</v>
      </c>
      <c r="C112" s="14" t="s">
        <v>79</v>
      </c>
      <c r="D112" s="15" t="s">
        <v>153</v>
      </c>
      <c r="E112" s="15" t="s">
        <v>158</v>
      </c>
      <c r="F112" s="16">
        <v>558</v>
      </c>
      <c r="G112" s="17">
        <v>37757.629999999997</v>
      </c>
      <c r="H112" s="17">
        <v>8787.98</v>
      </c>
      <c r="I112" s="17">
        <v>21068757.539999999</v>
      </c>
      <c r="J112" s="15" t="s">
        <v>17</v>
      </c>
      <c r="K112" s="15" t="s">
        <v>18</v>
      </c>
      <c r="L112" s="9">
        <f>YEAR(E112)</f>
        <v>2022</v>
      </c>
      <c r="M112" s="11">
        <f t="shared" si="3"/>
        <v>4903692.84</v>
      </c>
      <c r="U112" s="63">
        <v>2023</v>
      </c>
      <c r="V112" s="43">
        <v>13060294.77</v>
      </c>
      <c r="W112" s="44">
        <v>79199122.030000001</v>
      </c>
      <c r="X112" s="44">
        <v>122977.86999999998</v>
      </c>
      <c r="Y112" s="61">
        <v>1961</v>
      </c>
    </row>
    <row r="113" spans="1:295" ht="20" customHeight="1" x14ac:dyDescent="0.15">
      <c r="A113" s="12"/>
      <c r="B113" s="13" t="s">
        <v>13</v>
      </c>
      <c r="C113" s="14" t="s">
        <v>25</v>
      </c>
      <c r="D113" s="15" t="s">
        <v>114</v>
      </c>
      <c r="E113" s="15" t="s">
        <v>173</v>
      </c>
      <c r="F113" s="16">
        <v>823</v>
      </c>
      <c r="G113" s="17">
        <v>27043.87</v>
      </c>
      <c r="H113" s="17">
        <v>3741.34</v>
      </c>
      <c r="I113" s="17">
        <v>22257105.010000002</v>
      </c>
      <c r="J113" s="15" t="s">
        <v>17</v>
      </c>
      <c r="K113" s="15" t="s">
        <v>18</v>
      </c>
      <c r="L113" s="9">
        <f>YEAR(E113)</f>
        <v>2022</v>
      </c>
      <c r="M113" s="11">
        <f t="shared" si="3"/>
        <v>3079122.8200000003</v>
      </c>
      <c r="U113" s="46" t="s">
        <v>789</v>
      </c>
      <c r="V113" s="47">
        <v>416503461.0399999</v>
      </c>
      <c r="W113" s="48">
        <v>1913308279.3900006</v>
      </c>
      <c r="X113" s="48">
        <v>3427997.0200000005</v>
      </c>
      <c r="Y113" s="62">
        <v>64234</v>
      </c>
    </row>
    <row r="114" spans="1:295" ht="20" customHeight="1" x14ac:dyDescent="0.15">
      <c r="A114" s="12"/>
      <c r="B114" s="13" t="s">
        <v>13</v>
      </c>
      <c r="C114" s="14" t="s">
        <v>14</v>
      </c>
      <c r="D114" s="15" t="s">
        <v>15</v>
      </c>
      <c r="E114" s="15" t="s">
        <v>16</v>
      </c>
      <c r="F114" s="16">
        <v>561</v>
      </c>
      <c r="G114" s="17">
        <v>12953.71</v>
      </c>
      <c r="H114" s="17">
        <v>2565.69</v>
      </c>
      <c r="I114" s="17">
        <v>7267031.3099999996</v>
      </c>
      <c r="J114" s="15" t="s">
        <v>17</v>
      </c>
      <c r="K114" s="15" t="s">
        <v>18</v>
      </c>
      <c r="L114" s="9">
        <f>YEAR(E114)</f>
        <v>2023</v>
      </c>
      <c r="M114" s="11">
        <f t="shared" si="3"/>
        <v>1439352.09</v>
      </c>
    </row>
    <row r="115" spans="1:295" ht="20" customHeight="1" x14ac:dyDescent="0.15">
      <c r="A115" s="12"/>
      <c r="B115" s="13" t="s">
        <v>13</v>
      </c>
      <c r="C115" s="14" t="s">
        <v>23</v>
      </c>
      <c r="D115" s="15" t="s">
        <v>15</v>
      </c>
      <c r="E115" s="15" t="s">
        <v>24</v>
      </c>
      <c r="F115" s="16">
        <v>506</v>
      </c>
      <c r="G115" s="17">
        <v>49365.93</v>
      </c>
      <c r="H115" s="17">
        <v>8498.57</v>
      </c>
      <c r="I115" s="17">
        <v>24979160.579999998</v>
      </c>
      <c r="J115" s="15" t="s">
        <v>17</v>
      </c>
      <c r="K115" s="15" t="s">
        <v>18</v>
      </c>
      <c r="L115" s="9">
        <f>YEAR(E115)</f>
        <v>2023</v>
      </c>
      <c r="M115" s="11">
        <f t="shared" si="3"/>
        <v>4300276.42</v>
      </c>
    </row>
    <row r="116" spans="1:295" ht="20" customHeight="1" x14ac:dyDescent="0.15">
      <c r="A116" s="12"/>
      <c r="B116" s="13" t="s">
        <v>13</v>
      </c>
      <c r="C116" s="14" t="s">
        <v>25</v>
      </c>
      <c r="D116" s="15" t="s">
        <v>26</v>
      </c>
      <c r="E116" s="15" t="s">
        <v>24</v>
      </c>
      <c r="F116" s="16">
        <v>104</v>
      </c>
      <c r="G116" s="17">
        <v>28856.79</v>
      </c>
      <c r="H116" s="17">
        <v>6754.28</v>
      </c>
      <c r="I116" s="17">
        <v>3001106.16</v>
      </c>
      <c r="J116" s="15" t="s">
        <v>22</v>
      </c>
      <c r="K116" s="15" t="s">
        <v>18</v>
      </c>
      <c r="L116" s="9">
        <f>YEAR(E116)</f>
        <v>2023</v>
      </c>
      <c r="M116" s="11">
        <f t="shared" si="3"/>
        <v>702445.12</v>
      </c>
    </row>
    <row r="117" spans="1:295" ht="20" customHeight="1" x14ac:dyDescent="0.15">
      <c r="A117" s="12"/>
      <c r="B117" s="13" t="s">
        <v>13</v>
      </c>
      <c r="C117" s="14" t="s">
        <v>23</v>
      </c>
      <c r="D117" s="15" t="s">
        <v>15</v>
      </c>
      <c r="E117" s="15" t="s">
        <v>27</v>
      </c>
      <c r="F117" s="16">
        <v>730</v>
      </c>
      <c r="G117" s="17">
        <v>49937.99</v>
      </c>
      <c r="H117" s="19">
        <v>9149.4</v>
      </c>
      <c r="I117" s="19">
        <v>36454732.700000003</v>
      </c>
      <c r="J117" s="15" t="s">
        <v>28</v>
      </c>
      <c r="K117" s="15" t="s">
        <v>18</v>
      </c>
      <c r="L117" s="9">
        <f>YEAR(E117)</f>
        <v>2023</v>
      </c>
      <c r="M117" s="11">
        <f t="shared" si="3"/>
        <v>6679062</v>
      </c>
    </row>
    <row r="118" spans="1:295" ht="20" customHeight="1" x14ac:dyDescent="0.15">
      <c r="A118" s="12"/>
      <c r="B118" s="13" t="s">
        <v>13</v>
      </c>
      <c r="C118" s="14" t="s">
        <v>38</v>
      </c>
      <c r="D118" s="15" t="s">
        <v>26</v>
      </c>
      <c r="E118" s="15" t="s">
        <v>39</v>
      </c>
      <c r="F118" s="16">
        <v>245</v>
      </c>
      <c r="G118" s="17">
        <v>22058.15</v>
      </c>
      <c r="H118" s="17">
        <v>9141.0499999999993</v>
      </c>
      <c r="I118" s="17">
        <v>5404246.75</v>
      </c>
      <c r="J118" s="15" t="s">
        <v>22</v>
      </c>
      <c r="K118" s="15" t="s">
        <v>18</v>
      </c>
      <c r="L118" s="9">
        <f>YEAR(E118)</f>
        <v>2023</v>
      </c>
      <c r="M118" s="11">
        <f t="shared" si="3"/>
        <v>2239557.25</v>
      </c>
      <c r="U118" s="36" t="s">
        <v>787</v>
      </c>
      <c r="V118" s="32" t="s">
        <v>796</v>
      </c>
      <c r="W118" s="37" t="s">
        <v>799</v>
      </c>
      <c r="X118" s="37" t="s">
        <v>790</v>
      </c>
      <c r="Y118" s="59" t="s">
        <v>801</v>
      </c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  <c r="AY118"/>
      <c r="AZ118"/>
      <c r="BA118"/>
      <c r="BB118"/>
      <c r="BC118"/>
      <c r="BD118"/>
      <c r="BE118"/>
      <c r="BF118"/>
      <c r="BG118"/>
      <c r="BH118"/>
      <c r="BI118"/>
      <c r="BJ118"/>
      <c r="BK118"/>
      <c r="BL118"/>
      <c r="BM118"/>
      <c r="BN118"/>
      <c r="BO118"/>
      <c r="BP118"/>
      <c r="BQ118"/>
      <c r="BR118"/>
      <c r="BS118"/>
      <c r="BT118"/>
      <c r="BU118"/>
      <c r="BV118"/>
      <c r="BW118"/>
      <c r="BX118"/>
      <c r="BY118"/>
      <c r="BZ118"/>
      <c r="CA118"/>
      <c r="CB118"/>
      <c r="CC118"/>
      <c r="CD118"/>
      <c r="CE118"/>
      <c r="CF118"/>
      <c r="CG118"/>
      <c r="CH118"/>
      <c r="CI118"/>
      <c r="CJ118"/>
      <c r="CK118"/>
      <c r="CL118"/>
      <c r="CM118"/>
      <c r="CN118"/>
      <c r="CO118"/>
      <c r="CP118"/>
      <c r="CQ118"/>
      <c r="CR118"/>
      <c r="CS118"/>
      <c r="CT118"/>
      <c r="CU118"/>
      <c r="CV118"/>
      <c r="CW118"/>
      <c r="CX118"/>
      <c r="CY118"/>
      <c r="CZ118"/>
      <c r="DA118"/>
      <c r="DB118"/>
      <c r="DC118"/>
      <c r="DD118"/>
      <c r="DE118"/>
      <c r="DF118"/>
      <c r="DG118"/>
      <c r="DH118"/>
      <c r="DI118"/>
      <c r="DJ118"/>
      <c r="DK118"/>
      <c r="DL118"/>
      <c r="DM118"/>
      <c r="DN118"/>
      <c r="DO118"/>
      <c r="DP118"/>
      <c r="DQ118"/>
      <c r="DR118"/>
      <c r="DS118"/>
      <c r="DT118"/>
      <c r="DU118"/>
      <c r="DV118"/>
      <c r="DW118"/>
      <c r="DX118"/>
      <c r="DY118"/>
      <c r="DZ118"/>
      <c r="EA118"/>
      <c r="EB118"/>
      <c r="EC118"/>
      <c r="ED118"/>
      <c r="EE118"/>
      <c r="EF118"/>
      <c r="EG118"/>
      <c r="EH118"/>
      <c r="EI118"/>
      <c r="EJ118"/>
      <c r="EK118"/>
      <c r="EL118"/>
      <c r="EM118"/>
      <c r="EN118"/>
      <c r="EO118"/>
      <c r="EP118"/>
      <c r="EQ118"/>
      <c r="ER118"/>
      <c r="ES118"/>
      <c r="ET118"/>
      <c r="EU118"/>
      <c r="EV118"/>
      <c r="EW118"/>
      <c r="EX118"/>
      <c r="EY118"/>
      <c r="EZ118"/>
      <c r="FA118"/>
      <c r="FB118"/>
      <c r="FC118"/>
      <c r="FD118"/>
      <c r="FE118"/>
      <c r="FF118"/>
      <c r="FG118"/>
      <c r="FH118"/>
      <c r="FI118"/>
      <c r="FJ118"/>
      <c r="FK118"/>
      <c r="FL118"/>
      <c r="FM118"/>
      <c r="FN118"/>
      <c r="FO118"/>
      <c r="FP118"/>
      <c r="FQ118"/>
      <c r="FR118"/>
      <c r="FS118"/>
      <c r="FT118"/>
      <c r="FU118"/>
      <c r="FV118"/>
      <c r="FW118"/>
      <c r="FX118"/>
      <c r="FY118"/>
      <c r="FZ118"/>
      <c r="GA118"/>
      <c r="GB118"/>
      <c r="GC118"/>
      <c r="GD118"/>
      <c r="GE118"/>
      <c r="GF118"/>
      <c r="GG118"/>
      <c r="GH118"/>
      <c r="GI118"/>
      <c r="GJ118"/>
      <c r="GK118"/>
      <c r="GL118"/>
      <c r="GM118"/>
      <c r="GN118"/>
      <c r="GO118"/>
      <c r="GP118"/>
      <c r="GQ118"/>
      <c r="GR118"/>
      <c r="GS118"/>
      <c r="GT118"/>
      <c r="GU118"/>
      <c r="GV118"/>
      <c r="GW118"/>
      <c r="GX118"/>
      <c r="GY118"/>
      <c r="GZ118"/>
      <c r="HA118"/>
      <c r="HB118"/>
      <c r="HC118"/>
      <c r="HD118"/>
      <c r="HE118"/>
      <c r="HF118"/>
      <c r="HG118"/>
      <c r="HH118"/>
      <c r="HI118"/>
      <c r="HJ118"/>
      <c r="HK118"/>
      <c r="HL118"/>
      <c r="HM118"/>
      <c r="HN118"/>
      <c r="HO118"/>
      <c r="HP118"/>
      <c r="HQ118"/>
      <c r="HR118"/>
      <c r="HS118"/>
      <c r="HT118"/>
      <c r="HU118"/>
      <c r="HV118"/>
      <c r="HW118"/>
      <c r="HX118"/>
      <c r="HY118"/>
      <c r="HZ118"/>
      <c r="IA118"/>
      <c r="IB118"/>
      <c r="IC118"/>
      <c r="ID118"/>
      <c r="IE118"/>
      <c r="IF118"/>
      <c r="IG118"/>
      <c r="IH118"/>
      <c r="II118"/>
      <c r="IJ118"/>
      <c r="IK118"/>
      <c r="IL118"/>
      <c r="IM118"/>
      <c r="IN118"/>
      <c r="IO118"/>
      <c r="IP118"/>
      <c r="IQ118"/>
      <c r="IR118"/>
      <c r="IS118"/>
      <c r="IT118"/>
      <c r="IU118"/>
      <c r="IV118"/>
      <c r="IW118"/>
      <c r="IX118"/>
      <c r="IY118"/>
      <c r="IZ118"/>
      <c r="JA118"/>
      <c r="JB118"/>
      <c r="JC118"/>
      <c r="JD118"/>
      <c r="JE118"/>
      <c r="JF118"/>
      <c r="JG118"/>
      <c r="JH118"/>
      <c r="JI118"/>
      <c r="JJ118"/>
      <c r="JK118"/>
      <c r="JL118"/>
      <c r="JM118"/>
      <c r="JN118"/>
      <c r="JO118"/>
      <c r="JP118"/>
      <c r="JQ118"/>
      <c r="JR118"/>
      <c r="JS118"/>
      <c r="JT118"/>
      <c r="JU118"/>
      <c r="JV118"/>
      <c r="JW118"/>
      <c r="JX118"/>
      <c r="JY118"/>
      <c r="JZ118"/>
      <c r="KA118"/>
      <c r="KB118"/>
      <c r="KC118"/>
      <c r="KD118"/>
      <c r="KE118"/>
      <c r="KF118"/>
      <c r="KG118"/>
      <c r="KH118"/>
      <c r="KI118"/>
    </row>
    <row r="119" spans="1:295" ht="20" customHeight="1" x14ac:dyDescent="0.15">
      <c r="A119" s="12"/>
      <c r="B119" s="13" t="s">
        <v>13</v>
      </c>
      <c r="C119" s="14" t="s">
        <v>38</v>
      </c>
      <c r="D119" s="15" t="s">
        <v>26</v>
      </c>
      <c r="E119" s="15" t="s">
        <v>46</v>
      </c>
      <c r="F119" s="16">
        <v>388</v>
      </c>
      <c r="G119" s="17">
        <v>43524.13</v>
      </c>
      <c r="H119" s="17">
        <v>7427.72</v>
      </c>
      <c r="I119" s="17">
        <v>16887362.440000001</v>
      </c>
      <c r="J119" s="15" t="s">
        <v>17</v>
      </c>
      <c r="K119" s="15" t="s">
        <v>18</v>
      </c>
      <c r="L119" s="9">
        <f>YEAR(E119)</f>
        <v>2023</v>
      </c>
      <c r="M119" s="11">
        <f t="shared" si="3"/>
        <v>2881955.36</v>
      </c>
      <c r="U119" s="39" t="s">
        <v>89</v>
      </c>
      <c r="V119" s="40">
        <v>58035607.240000002</v>
      </c>
      <c r="W119" s="41">
        <v>642.92307692307691</v>
      </c>
      <c r="X119" s="41">
        <v>266200622.93000004</v>
      </c>
      <c r="Y119" s="60">
        <v>58035607.240000002</v>
      </c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/>
      <c r="BG119"/>
      <c r="BH119"/>
      <c r="BI119"/>
      <c r="BJ119"/>
      <c r="BK119"/>
      <c r="BL119"/>
      <c r="BM119"/>
      <c r="BN119"/>
      <c r="BO119"/>
      <c r="BP119"/>
      <c r="BQ119"/>
      <c r="BR119"/>
      <c r="BS119"/>
      <c r="BT119"/>
      <c r="BU119"/>
      <c r="BV119"/>
      <c r="BW119"/>
      <c r="BX119"/>
      <c r="BY119"/>
      <c r="BZ119"/>
      <c r="CA119"/>
      <c r="CB119"/>
      <c r="CC119"/>
      <c r="CD119"/>
      <c r="CE119"/>
      <c r="CF119"/>
      <c r="CG119"/>
      <c r="CH119"/>
      <c r="CI119"/>
      <c r="CJ119"/>
      <c r="CK119"/>
      <c r="CL119"/>
      <c r="CM119"/>
      <c r="CN119"/>
      <c r="CO119"/>
      <c r="CP119"/>
      <c r="CQ119"/>
      <c r="CR119"/>
      <c r="CS119"/>
      <c r="CT119"/>
      <c r="CU119"/>
      <c r="CV119"/>
      <c r="CW119"/>
      <c r="CX119"/>
      <c r="CY119"/>
      <c r="CZ119"/>
      <c r="DA119"/>
      <c r="DB119"/>
      <c r="DC119"/>
      <c r="DD119"/>
      <c r="DE119"/>
      <c r="DF119"/>
      <c r="DG119"/>
      <c r="DH119"/>
      <c r="DI119"/>
      <c r="DJ119"/>
      <c r="DK119"/>
      <c r="DL119"/>
      <c r="DM119"/>
      <c r="DN119"/>
      <c r="DO119"/>
      <c r="DP119"/>
      <c r="DQ119"/>
      <c r="DR119"/>
      <c r="DS119"/>
      <c r="DT119"/>
      <c r="DU119"/>
      <c r="DV119"/>
      <c r="DW119"/>
      <c r="DX119"/>
      <c r="DY119"/>
      <c r="DZ119"/>
      <c r="EA119"/>
      <c r="EB119"/>
      <c r="EC119"/>
      <c r="ED119"/>
      <c r="EE119"/>
      <c r="EF119"/>
      <c r="EG119"/>
      <c r="EH119"/>
      <c r="EI119"/>
      <c r="EJ119"/>
      <c r="EK119"/>
      <c r="EL119"/>
      <c r="EM119"/>
      <c r="EN119"/>
      <c r="EO119"/>
      <c r="EP119"/>
      <c r="EQ119"/>
      <c r="ER119"/>
      <c r="ES119"/>
      <c r="ET119"/>
      <c r="EU119"/>
      <c r="EV119"/>
      <c r="EW119"/>
      <c r="EX119"/>
      <c r="EY119"/>
      <c r="EZ119"/>
      <c r="FA119"/>
      <c r="FB119"/>
      <c r="FC119"/>
      <c r="FD119"/>
      <c r="FE119"/>
      <c r="FF119"/>
      <c r="FG119"/>
      <c r="FH119"/>
      <c r="FI119"/>
      <c r="FJ119"/>
      <c r="FK119"/>
      <c r="FL119"/>
      <c r="FM119"/>
      <c r="FN119"/>
      <c r="FO119"/>
      <c r="FP119"/>
      <c r="FQ119"/>
      <c r="FR119"/>
      <c r="FS119"/>
      <c r="FT119"/>
      <c r="FU119"/>
      <c r="FV119"/>
      <c r="FW119"/>
      <c r="FX119"/>
      <c r="FY119"/>
      <c r="FZ119"/>
      <c r="GA119"/>
      <c r="GB119"/>
      <c r="GC119"/>
      <c r="GD119"/>
      <c r="GE119"/>
      <c r="GF119"/>
      <c r="GG119"/>
      <c r="GH119"/>
      <c r="GI119"/>
      <c r="GJ119"/>
      <c r="GK119"/>
      <c r="GL119"/>
      <c r="GM119"/>
      <c r="GN119"/>
      <c r="GO119"/>
      <c r="GP119"/>
      <c r="GQ119"/>
      <c r="GR119"/>
      <c r="GS119"/>
      <c r="GT119"/>
      <c r="GU119"/>
      <c r="GV119"/>
      <c r="GW119"/>
      <c r="GX119"/>
      <c r="GY119"/>
      <c r="GZ119"/>
      <c r="HA119"/>
      <c r="HB119"/>
      <c r="HC119"/>
      <c r="HD119"/>
      <c r="HE119"/>
      <c r="HF119"/>
      <c r="HG119"/>
      <c r="HH119"/>
      <c r="HI119"/>
      <c r="HJ119"/>
      <c r="HK119"/>
      <c r="HL119"/>
      <c r="HM119"/>
      <c r="HN119"/>
      <c r="HO119"/>
      <c r="HP119"/>
      <c r="HQ119"/>
      <c r="HR119"/>
      <c r="HS119"/>
      <c r="HT119"/>
      <c r="HU119"/>
      <c r="HV119"/>
      <c r="HW119"/>
      <c r="HX119"/>
      <c r="HY119"/>
      <c r="HZ119"/>
      <c r="IA119"/>
      <c r="IB119"/>
      <c r="IC119"/>
      <c r="ID119"/>
      <c r="IE119"/>
      <c r="IF119"/>
      <c r="IG119"/>
      <c r="IH119"/>
      <c r="II119"/>
      <c r="IJ119"/>
      <c r="IK119"/>
      <c r="IL119"/>
      <c r="IM119"/>
      <c r="IN119"/>
      <c r="IO119"/>
      <c r="IP119"/>
      <c r="IQ119"/>
      <c r="IR119"/>
      <c r="IS119"/>
      <c r="IT119"/>
      <c r="IU119"/>
      <c r="IV119"/>
      <c r="IW119"/>
      <c r="IX119"/>
      <c r="IY119"/>
      <c r="IZ119"/>
      <c r="JA119"/>
      <c r="JB119"/>
      <c r="JC119"/>
      <c r="JD119"/>
      <c r="JE119"/>
      <c r="JF119"/>
      <c r="JG119"/>
      <c r="JH119"/>
      <c r="JI119"/>
      <c r="JJ119"/>
      <c r="JK119"/>
      <c r="JL119"/>
      <c r="JM119"/>
      <c r="JN119"/>
      <c r="JO119"/>
      <c r="JP119"/>
      <c r="JQ119"/>
      <c r="JR119"/>
      <c r="JS119"/>
      <c r="JT119"/>
      <c r="JU119"/>
      <c r="JV119"/>
      <c r="JW119"/>
      <c r="JX119"/>
      <c r="JY119"/>
      <c r="JZ119"/>
      <c r="KA119"/>
      <c r="KB119"/>
      <c r="KC119"/>
      <c r="KD119"/>
      <c r="KE119"/>
      <c r="KF119"/>
      <c r="KG119"/>
      <c r="KH119"/>
      <c r="KI119"/>
    </row>
    <row r="120" spans="1:295" ht="20" customHeight="1" x14ac:dyDescent="0.15">
      <c r="A120" s="12"/>
      <c r="B120" s="13" t="s">
        <v>13</v>
      </c>
      <c r="C120" s="14" t="s">
        <v>25</v>
      </c>
      <c r="D120" s="15" t="s">
        <v>26</v>
      </c>
      <c r="E120" s="15" t="s">
        <v>52</v>
      </c>
      <c r="F120" s="16">
        <v>296</v>
      </c>
      <c r="G120" s="17">
        <v>28499.89</v>
      </c>
      <c r="H120" s="17">
        <v>4918.3100000000004</v>
      </c>
      <c r="I120" s="17">
        <v>8435967.4399999995</v>
      </c>
      <c r="J120" s="15" t="s">
        <v>30</v>
      </c>
      <c r="K120" s="15" t="s">
        <v>18</v>
      </c>
      <c r="L120" s="9">
        <f>YEAR(E120)</f>
        <v>2023</v>
      </c>
      <c r="M120" s="11">
        <f t="shared" si="3"/>
        <v>1455819.76</v>
      </c>
      <c r="U120" s="63">
        <v>2020</v>
      </c>
      <c r="V120" s="43">
        <v>20020140.010000002</v>
      </c>
      <c r="W120" s="44">
        <v>717.75</v>
      </c>
      <c r="X120" s="44">
        <v>86167458.329999998</v>
      </c>
      <c r="Y120" s="61">
        <v>20020140.010000002</v>
      </c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/>
      <c r="AY120"/>
      <c r="AZ120"/>
      <c r="BA120"/>
      <c r="BB120"/>
      <c r="BC120"/>
      <c r="BD120"/>
      <c r="BE120"/>
      <c r="BF120"/>
      <c r="BG120"/>
      <c r="BH120"/>
      <c r="BI120"/>
      <c r="BJ120"/>
      <c r="BK120"/>
      <c r="BL120"/>
      <c r="BM120"/>
      <c r="BN120"/>
      <c r="BO120"/>
      <c r="BP120"/>
      <c r="BQ120"/>
      <c r="BR120"/>
      <c r="BS120"/>
      <c r="BT120"/>
      <c r="BU120"/>
      <c r="BV120"/>
      <c r="BW120"/>
      <c r="BX120"/>
      <c r="BY120"/>
      <c r="BZ120"/>
      <c r="CA120"/>
      <c r="CB120"/>
      <c r="CC120"/>
      <c r="CD120"/>
      <c r="CE120"/>
      <c r="CF120"/>
      <c r="CG120"/>
      <c r="CH120"/>
      <c r="CI120"/>
      <c r="CJ120"/>
      <c r="CK120"/>
      <c r="CL120"/>
      <c r="CM120"/>
      <c r="CN120"/>
      <c r="CO120"/>
      <c r="CP120"/>
      <c r="CQ120"/>
      <c r="CR120"/>
      <c r="CS120"/>
      <c r="CT120"/>
      <c r="CU120"/>
      <c r="CV120"/>
      <c r="CW120"/>
      <c r="CX120"/>
      <c r="CY120"/>
      <c r="CZ120"/>
      <c r="DA120"/>
      <c r="DB120"/>
      <c r="DC120"/>
      <c r="DD120"/>
      <c r="DE120"/>
      <c r="DF120"/>
      <c r="DG120"/>
      <c r="DH120"/>
      <c r="DI120"/>
      <c r="DJ120"/>
      <c r="DK120"/>
      <c r="DL120"/>
      <c r="DM120"/>
      <c r="DN120"/>
      <c r="DO120"/>
      <c r="DP120"/>
      <c r="DQ120"/>
      <c r="DR120"/>
      <c r="DS120"/>
      <c r="DT120"/>
      <c r="DU120"/>
      <c r="DV120"/>
      <c r="DW120"/>
      <c r="DX120"/>
      <c r="DY120"/>
      <c r="DZ120"/>
      <c r="EA120"/>
      <c r="EB120"/>
      <c r="EC120"/>
      <c r="ED120"/>
      <c r="EE120"/>
      <c r="EF120"/>
      <c r="EG120"/>
      <c r="EH120"/>
      <c r="EI120"/>
      <c r="EJ120"/>
      <c r="EK120"/>
      <c r="EL120"/>
      <c r="EM120"/>
      <c r="EN120"/>
      <c r="EO120"/>
      <c r="EP120"/>
      <c r="EQ120"/>
      <c r="ER120"/>
      <c r="ES120"/>
      <c r="ET120"/>
      <c r="EU120"/>
      <c r="EV120"/>
      <c r="EW120"/>
      <c r="EX120"/>
      <c r="EY120"/>
      <c r="EZ120"/>
      <c r="FA120"/>
      <c r="FB120"/>
      <c r="FC120"/>
      <c r="FD120"/>
      <c r="FE120"/>
      <c r="FF120"/>
      <c r="FG120"/>
      <c r="FH120"/>
      <c r="FI120"/>
      <c r="FJ120"/>
      <c r="FK120"/>
      <c r="FL120"/>
      <c r="FM120"/>
      <c r="FN120"/>
      <c r="FO120"/>
      <c r="FP120"/>
      <c r="FQ120"/>
      <c r="FR120"/>
      <c r="FS120"/>
      <c r="FT120"/>
      <c r="FU120"/>
      <c r="FV120"/>
      <c r="FW120"/>
      <c r="FX120"/>
      <c r="FY120"/>
      <c r="FZ120"/>
      <c r="GA120"/>
      <c r="GB120"/>
      <c r="GC120"/>
      <c r="GD120"/>
      <c r="GE120"/>
      <c r="GF120"/>
      <c r="GG120"/>
      <c r="GH120"/>
      <c r="GI120"/>
      <c r="GJ120"/>
      <c r="GK120"/>
      <c r="GL120"/>
      <c r="GM120"/>
      <c r="GN120"/>
      <c r="GO120"/>
      <c r="GP120"/>
      <c r="GQ120"/>
      <c r="GR120"/>
      <c r="GS120"/>
      <c r="GT120"/>
      <c r="GU120"/>
      <c r="GV120"/>
      <c r="GW120"/>
      <c r="GX120"/>
      <c r="GY120"/>
      <c r="GZ120"/>
      <c r="HA120"/>
      <c r="HB120"/>
      <c r="HC120"/>
      <c r="HD120"/>
      <c r="HE120"/>
      <c r="HF120"/>
      <c r="HG120"/>
      <c r="HH120"/>
      <c r="HI120"/>
      <c r="HJ120"/>
      <c r="HK120"/>
      <c r="HL120"/>
      <c r="HM120"/>
      <c r="HN120"/>
      <c r="HO120"/>
      <c r="HP120"/>
      <c r="HQ120"/>
      <c r="HR120"/>
      <c r="HS120"/>
      <c r="HT120"/>
      <c r="HU120"/>
      <c r="HV120"/>
      <c r="HW120"/>
      <c r="HX120"/>
      <c r="HY120"/>
      <c r="HZ120"/>
      <c r="IA120"/>
      <c r="IB120"/>
      <c r="IC120"/>
      <c r="ID120"/>
      <c r="IE120"/>
      <c r="IF120"/>
      <c r="IG120"/>
      <c r="IH120"/>
      <c r="II120"/>
      <c r="IJ120"/>
      <c r="IK120"/>
      <c r="IL120"/>
      <c r="IM120"/>
      <c r="IN120"/>
      <c r="IO120"/>
      <c r="IP120"/>
      <c r="IQ120"/>
      <c r="IR120"/>
      <c r="IS120"/>
      <c r="IT120"/>
      <c r="IU120"/>
      <c r="IV120"/>
      <c r="IW120"/>
      <c r="IX120"/>
      <c r="IY120"/>
      <c r="IZ120"/>
      <c r="JA120"/>
      <c r="JB120"/>
      <c r="JC120"/>
      <c r="JD120"/>
      <c r="JE120"/>
      <c r="JF120"/>
      <c r="JG120"/>
      <c r="JH120"/>
      <c r="JI120"/>
      <c r="JJ120"/>
      <c r="JK120"/>
      <c r="JL120"/>
      <c r="JM120"/>
      <c r="JN120"/>
      <c r="JO120"/>
      <c r="JP120"/>
      <c r="JQ120"/>
      <c r="JR120"/>
      <c r="JS120"/>
      <c r="JT120"/>
      <c r="JU120"/>
      <c r="JV120"/>
      <c r="JW120"/>
      <c r="JX120"/>
      <c r="JY120"/>
      <c r="JZ120"/>
      <c r="KA120"/>
      <c r="KB120"/>
      <c r="KC120"/>
      <c r="KD120"/>
      <c r="KE120"/>
      <c r="KF120"/>
      <c r="KG120"/>
      <c r="KH120"/>
      <c r="KI120"/>
    </row>
    <row r="121" spans="1:295" ht="20" customHeight="1" x14ac:dyDescent="0.15">
      <c r="A121" s="12"/>
      <c r="B121" s="13" t="s">
        <v>13</v>
      </c>
      <c r="C121" s="14" t="s">
        <v>57</v>
      </c>
      <c r="D121" s="15" t="s">
        <v>53</v>
      </c>
      <c r="E121" s="15" t="s">
        <v>58</v>
      </c>
      <c r="F121" s="16">
        <v>768</v>
      </c>
      <c r="G121" s="17">
        <v>39606.639999999999</v>
      </c>
      <c r="H121" s="17">
        <v>7529.98</v>
      </c>
      <c r="I121" s="17">
        <v>30417899.52</v>
      </c>
      <c r="J121" s="15" t="s">
        <v>17</v>
      </c>
      <c r="K121" s="15" t="s">
        <v>18</v>
      </c>
      <c r="L121" s="9">
        <f>YEAR(E121)</f>
        <v>2023</v>
      </c>
      <c r="M121" s="11">
        <f t="shared" si="3"/>
        <v>5783024.6399999997</v>
      </c>
      <c r="U121" s="63">
        <v>2021</v>
      </c>
      <c r="V121" s="43">
        <v>4645757.4499999993</v>
      </c>
      <c r="W121" s="44">
        <v>562.5</v>
      </c>
      <c r="X121" s="44">
        <v>32593181.550000001</v>
      </c>
      <c r="Y121" s="61">
        <v>4645757.4499999993</v>
      </c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/>
      <c r="BD121"/>
      <c r="BE121"/>
      <c r="BF121"/>
      <c r="BG121"/>
      <c r="BH121"/>
      <c r="BI121"/>
      <c r="BJ121"/>
      <c r="BK121"/>
      <c r="BL121"/>
      <c r="BM121"/>
      <c r="BN121"/>
      <c r="BO121"/>
      <c r="BP121"/>
      <c r="BQ121"/>
      <c r="BR121"/>
      <c r="BS121"/>
      <c r="BT121"/>
      <c r="BU121"/>
      <c r="BV121"/>
      <c r="BW121"/>
      <c r="BX121"/>
      <c r="BY121"/>
      <c r="BZ121"/>
      <c r="CA121"/>
      <c r="CB121"/>
      <c r="CC121"/>
      <c r="CD121"/>
      <c r="CE121"/>
      <c r="CF121"/>
      <c r="CG121"/>
      <c r="CH121"/>
      <c r="CI121"/>
      <c r="CJ121"/>
      <c r="CK121"/>
      <c r="CL121"/>
      <c r="CM121"/>
      <c r="CN121"/>
      <c r="CO121"/>
      <c r="CP121"/>
      <c r="CQ121"/>
      <c r="CR121"/>
      <c r="CS121"/>
      <c r="CT121"/>
      <c r="CU121"/>
      <c r="CV121"/>
      <c r="CW121"/>
      <c r="CX121"/>
      <c r="CY121"/>
      <c r="CZ121"/>
      <c r="DA121"/>
      <c r="DB121"/>
      <c r="DC121"/>
      <c r="DD121"/>
      <c r="DE121"/>
      <c r="DF121"/>
      <c r="DG121"/>
      <c r="DH121"/>
      <c r="DI121"/>
      <c r="DJ121"/>
      <c r="DK121"/>
      <c r="DL121"/>
      <c r="DM121"/>
      <c r="DN121"/>
      <c r="DO121"/>
      <c r="DP121"/>
      <c r="DQ121"/>
      <c r="DR121"/>
      <c r="DS121"/>
      <c r="DT121"/>
      <c r="DU121"/>
      <c r="DV121"/>
      <c r="DW121"/>
      <c r="DX121"/>
      <c r="DY121"/>
      <c r="DZ121"/>
      <c r="EA121"/>
      <c r="EB121"/>
      <c r="EC121"/>
      <c r="ED121"/>
      <c r="EE121"/>
      <c r="EF121"/>
      <c r="EG121"/>
      <c r="EH121"/>
      <c r="EI121"/>
      <c r="EJ121"/>
      <c r="EK121"/>
      <c r="EL121"/>
      <c r="EM121"/>
      <c r="EN121"/>
      <c r="EO121"/>
      <c r="EP121"/>
      <c r="EQ121"/>
      <c r="ER121"/>
      <c r="ES121"/>
      <c r="ET121"/>
      <c r="EU121"/>
      <c r="EV121"/>
      <c r="EW121"/>
      <c r="EX121"/>
      <c r="EY121"/>
      <c r="EZ121"/>
      <c r="FA121"/>
      <c r="FB121"/>
      <c r="FC121"/>
      <c r="FD121"/>
      <c r="FE121"/>
      <c r="FF121"/>
      <c r="FG121"/>
      <c r="FH121"/>
      <c r="FI121"/>
      <c r="FJ121"/>
      <c r="FK121"/>
      <c r="FL121"/>
      <c r="FM121"/>
      <c r="FN121"/>
      <c r="FO121"/>
      <c r="FP121"/>
      <c r="FQ121"/>
      <c r="FR121"/>
      <c r="FS121"/>
      <c r="FT121"/>
      <c r="FU121"/>
      <c r="FV121"/>
      <c r="FW121"/>
      <c r="FX121"/>
      <c r="FY121"/>
      <c r="FZ121"/>
      <c r="GA121"/>
      <c r="GB121"/>
      <c r="GC121"/>
      <c r="GD121"/>
      <c r="GE121"/>
      <c r="GF121"/>
      <c r="GG121"/>
      <c r="GH121"/>
      <c r="GI121"/>
      <c r="GJ121"/>
      <c r="GK121"/>
      <c r="GL121"/>
      <c r="GM121"/>
      <c r="GN121"/>
      <c r="GO121"/>
      <c r="GP121"/>
      <c r="GQ121"/>
      <c r="GR121"/>
      <c r="GS121"/>
      <c r="GT121"/>
      <c r="GU121"/>
      <c r="GV121"/>
      <c r="GW121"/>
      <c r="GX121"/>
      <c r="GY121"/>
      <c r="GZ121"/>
      <c r="HA121"/>
      <c r="HB121"/>
      <c r="HC121"/>
      <c r="HD121"/>
      <c r="HE121"/>
      <c r="HF121"/>
      <c r="HG121"/>
      <c r="HH121"/>
      <c r="HI121"/>
      <c r="HJ121"/>
      <c r="HK121"/>
      <c r="HL121"/>
      <c r="HM121"/>
      <c r="HN121"/>
      <c r="HO121"/>
      <c r="HP121"/>
      <c r="HQ121"/>
      <c r="HR121"/>
      <c r="HS121"/>
      <c r="HT121"/>
      <c r="HU121"/>
      <c r="HV121"/>
      <c r="HW121"/>
      <c r="HX121"/>
      <c r="HY121"/>
      <c r="HZ121"/>
      <c r="IA121"/>
      <c r="IB121"/>
      <c r="IC121"/>
      <c r="ID121"/>
      <c r="IE121"/>
      <c r="IF121"/>
      <c r="IG121"/>
      <c r="IH121"/>
      <c r="II121"/>
      <c r="IJ121"/>
      <c r="IK121"/>
      <c r="IL121"/>
      <c r="IM121"/>
      <c r="IN121"/>
      <c r="IO121"/>
      <c r="IP121"/>
      <c r="IQ121"/>
      <c r="IR121"/>
      <c r="IS121"/>
      <c r="IT121"/>
      <c r="IU121"/>
      <c r="IV121"/>
      <c r="IW121"/>
      <c r="IX121"/>
      <c r="IY121"/>
      <c r="IZ121"/>
      <c r="JA121"/>
      <c r="JB121"/>
      <c r="JC121"/>
      <c r="JD121"/>
      <c r="JE121"/>
      <c r="JF121"/>
      <c r="JG121"/>
      <c r="JH121"/>
      <c r="JI121"/>
      <c r="JJ121"/>
      <c r="JK121"/>
      <c r="JL121"/>
      <c r="JM121"/>
      <c r="JN121"/>
      <c r="JO121"/>
      <c r="JP121"/>
      <c r="JQ121"/>
      <c r="JR121"/>
      <c r="JS121"/>
      <c r="JT121"/>
      <c r="JU121"/>
      <c r="JV121"/>
      <c r="JW121"/>
      <c r="JX121"/>
      <c r="JY121"/>
      <c r="JZ121"/>
      <c r="KA121"/>
      <c r="KB121"/>
      <c r="KC121"/>
      <c r="KD121"/>
      <c r="KE121"/>
      <c r="KF121"/>
      <c r="KG121"/>
      <c r="KH121"/>
      <c r="KI121"/>
    </row>
    <row r="122" spans="1:295" ht="20" customHeight="1" x14ac:dyDescent="0.15">
      <c r="A122" s="12"/>
      <c r="B122" s="13" t="s">
        <v>13</v>
      </c>
      <c r="C122" s="14" t="s">
        <v>14</v>
      </c>
      <c r="D122" s="15" t="s">
        <v>53</v>
      </c>
      <c r="E122" s="15" t="s">
        <v>59</v>
      </c>
      <c r="F122" s="16">
        <v>128</v>
      </c>
      <c r="G122" s="17">
        <v>13118.57</v>
      </c>
      <c r="H122" s="17">
        <v>7901.12</v>
      </c>
      <c r="I122" s="17">
        <v>1679176.96</v>
      </c>
      <c r="J122" s="15" t="s">
        <v>17</v>
      </c>
      <c r="K122" s="15" t="s">
        <v>18</v>
      </c>
      <c r="L122" s="9">
        <f>YEAR(E122)</f>
        <v>2023</v>
      </c>
      <c r="M122" s="11">
        <f t="shared" si="3"/>
        <v>1011343.36</v>
      </c>
      <c r="U122" s="63">
        <v>2022</v>
      </c>
      <c r="V122" s="43">
        <v>8833728.5399999991</v>
      </c>
      <c r="W122" s="44">
        <v>396.5</v>
      </c>
      <c r="X122" s="44">
        <v>50381084.659999996</v>
      </c>
      <c r="Y122" s="61">
        <v>8833728.5399999991</v>
      </c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  <c r="BD122"/>
      <c r="BE122"/>
      <c r="BF122"/>
      <c r="BG122"/>
      <c r="BH122"/>
      <c r="BI122"/>
      <c r="BJ122"/>
      <c r="BK122"/>
      <c r="BL122"/>
      <c r="BM122"/>
      <c r="BN122"/>
      <c r="BO122"/>
      <c r="BP122"/>
      <c r="BQ122"/>
      <c r="BR122"/>
      <c r="BS122"/>
      <c r="BT122"/>
      <c r="BU122"/>
      <c r="BV122"/>
      <c r="BW122"/>
      <c r="BX122"/>
      <c r="BY122"/>
      <c r="BZ122"/>
      <c r="CA122"/>
      <c r="CB122"/>
      <c r="CC122"/>
      <c r="CD122"/>
      <c r="CE122"/>
      <c r="CF122"/>
      <c r="CG122"/>
      <c r="CH122"/>
      <c r="CI122"/>
      <c r="CJ122"/>
      <c r="CK122"/>
      <c r="CL122"/>
      <c r="CM122"/>
      <c r="CN122"/>
      <c r="CO122"/>
      <c r="CP122"/>
      <c r="CQ122"/>
      <c r="CR122"/>
      <c r="CS122"/>
      <c r="CT122"/>
      <c r="CU122"/>
      <c r="CV122"/>
      <c r="CW122"/>
      <c r="CX122"/>
      <c r="CY122"/>
      <c r="CZ122"/>
      <c r="DA122"/>
      <c r="DB122"/>
      <c r="DC122"/>
      <c r="DD122"/>
      <c r="DE122"/>
      <c r="DF122"/>
      <c r="DG122"/>
      <c r="DH122"/>
      <c r="DI122"/>
      <c r="DJ122"/>
      <c r="DK122"/>
      <c r="DL122"/>
      <c r="DM122"/>
      <c r="DN122"/>
      <c r="DO122"/>
      <c r="DP122"/>
      <c r="DQ122"/>
      <c r="DR122"/>
      <c r="DS122"/>
      <c r="DT122"/>
      <c r="DU122"/>
      <c r="DV122"/>
      <c r="DW122"/>
      <c r="DX122"/>
      <c r="DY122"/>
      <c r="DZ122"/>
      <c r="EA122"/>
      <c r="EB122"/>
      <c r="EC122"/>
      <c r="ED122"/>
      <c r="EE122"/>
      <c r="EF122"/>
      <c r="EG122"/>
      <c r="EH122"/>
      <c r="EI122"/>
      <c r="EJ122"/>
      <c r="EK122"/>
      <c r="EL122"/>
      <c r="EM122"/>
      <c r="EN122"/>
      <c r="EO122"/>
      <c r="EP122"/>
      <c r="EQ122"/>
      <c r="ER122"/>
      <c r="ES122"/>
      <c r="ET122"/>
      <c r="EU122"/>
      <c r="EV122"/>
      <c r="EW122"/>
      <c r="EX122"/>
      <c r="EY122"/>
      <c r="EZ122"/>
      <c r="FA122"/>
      <c r="FB122"/>
      <c r="FC122"/>
      <c r="FD122"/>
      <c r="FE122"/>
      <c r="FF122"/>
      <c r="FG122"/>
      <c r="FH122"/>
      <c r="FI122"/>
      <c r="FJ122"/>
      <c r="FK122"/>
      <c r="FL122"/>
      <c r="FM122"/>
      <c r="FN122"/>
      <c r="FO122"/>
      <c r="FP122"/>
      <c r="FQ122"/>
      <c r="FR122"/>
      <c r="FS122"/>
      <c r="FT122"/>
      <c r="FU122"/>
      <c r="FV122"/>
      <c r="FW122"/>
      <c r="FX122"/>
      <c r="FY122"/>
      <c r="FZ122"/>
      <c r="GA122"/>
      <c r="GB122"/>
      <c r="GC122"/>
      <c r="GD122"/>
      <c r="GE122"/>
      <c r="GF122"/>
      <c r="GG122"/>
      <c r="GH122"/>
      <c r="GI122"/>
      <c r="GJ122"/>
      <c r="GK122"/>
      <c r="GL122"/>
      <c r="GM122"/>
      <c r="GN122"/>
      <c r="GO122"/>
      <c r="GP122"/>
      <c r="GQ122"/>
      <c r="GR122"/>
      <c r="GS122"/>
      <c r="GT122"/>
      <c r="GU122"/>
      <c r="GV122"/>
      <c r="GW122"/>
      <c r="GX122"/>
      <c r="GY122"/>
      <c r="GZ122"/>
      <c r="HA122"/>
      <c r="HB122"/>
      <c r="HC122"/>
      <c r="HD122"/>
      <c r="HE122"/>
      <c r="HF122"/>
      <c r="HG122"/>
      <c r="HH122"/>
      <c r="HI122"/>
      <c r="HJ122"/>
      <c r="HK122"/>
      <c r="HL122"/>
      <c r="HM122"/>
      <c r="HN122"/>
      <c r="HO122"/>
      <c r="HP122"/>
      <c r="HQ122"/>
      <c r="HR122"/>
      <c r="HS122"/>
      <c r="HT122"/>
      <c r="HU122"/>
      <c r="HV122"/>
      <c r="HW122"/>
      <c r="HX122"/>
      <c r="HY122"/>
      <c r="HZ122"/>
      <c r="IA122"/>
      <c r="IB122"/>
      <c r="IC122"/>
      <c r="ID122"/>
      <c r="IE122"/>
      <c r="IF122"/>
      <c r="IG122"/>
      <c r="IH122"/>
      <c r="II122"/>
      <c r="IJ122"/>
      <c r="IK122"/>
      <c r="IL122"/>
      <c r="IM122"/>
      <c r="IN122"/>
      <c r="IO122"/>
      <c r="IP122"/>
      <c r="IQ122"/>
      <c r="IR122"/>
      <c r="IS122"/>
      <c r="IT122"/>
      <c r="IU122"/>
      <c r="IV122"/>
      <c r="IW122"/>
      <c r="IX122"/>
      <c r="IY122"/>
      <c r="IZ122"/>
      <c r="JA122"/>
      <c r="JB122"/>
      <c r="JC122"/>
      <c r="JD122"/>
      <c r="JE122"/>
      <c r="JF122"/>
      <c r="JG122"/>
      <c r="JH122"/>
      <c r="JI122"/>
      <c r="JJ122"/>
      <c r="JK122"/>
      <c r="JL122"/>
      <c r="JM122"/>
      <c r="JN122"/>
      <c r="JO122"/>
      <c r="JP122"/>
      <c r="JQ122"/>
      <c r="JR122"/>
      <c r="JS122"/>
      <c r="JT122"/>
      <c r="JU122"/>
      <c r="JV122"/>
      <c r="JW122"/>
      <c r="JX122"/>
      <c r="JY122"/>
      <c r="JZ122"/>
      <c r="KA122"/>
      <c r="KB122"/>
      <c r="KC122"/>
      <c r="KD122"/>
      <c r="KE122"/>
      <c r="KF122"/>
      <c r="KG122"/>
      <c r="KH122"/>
      <c r="KI122"/>
    </row>
    <row r="123" spans="1:295" ht="20" customHeight="1" x14ac:dyDescent="0.15">
      <c r="A123" s="12"/>
      <c r="B123" s="13" t="s">
        <v>13</v>
      </c>
      <c r="C123" s="14" t="s">
        <v>35</v>
      </c>
      <c r="D123" s="15" t="s">
        <v>53</v>
      </c>
      <c r="E123" s="15" t="s">
        <v>61</v>
      </c>
      <c r="F123" s="16">
        <v>403</v>
      </c>
      <c r="G123" s="17">
        <v>12673.28</v>
      </c>
      <c r="H123" s="17">
        <v>3954.67</v>
      </c>
      <c r="I123" s="17">
        <v>5107331.84</v>
      </c>
      <c r="J123" s="15" t="s">
        <v>22</v>
      </c>
      <c r="K123" s="15" t="s">
        <v>18</v>
      </c>
      <c r="L123" s="9">
        <f>YEAR(E123)</f>
        <v>2023</v>
      </c>
      <c r="M123" s="11">
        <f t="shared" si="3"/>
        <v>1593732.01</v>
      </c>
      <c r="U123" s="63">
        <v>2023</v>
      </c>
      <c r="V123" s="43">
        <v>24535981.240000002</v>
      </c>
      <c r="W123" s="44">
        <v>925.33333333333337</v>
      </c>
      <c r="X123" s="44">
        <v>97058898.390000001</v>
      </c>
      <c r="Y123" s="61">
        <v>24535981.240000002</v>
      </c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/>
      <c r="BG123"/>
      <c r="BH123"/>
      <c r="BI123"/>
      <c r="BJ123"/>
      <c r="BK123"/>
      <c r="BL123"/>
      <c r="BM123"/>
      <c r="BN123"/>
      <c r="BO123"/>
      <c r="BP123"/>
      <c r="BQ123"/>
      <c r="BR123"/>
      <c r="BS123"/>
      <c r="BT123"/>
      <c r="BU123"/>
      <c r="BV123"/>
      <c r="BW123"/>
      <c r="BX123"/>
      <c r="BY123"/>
      <c r="BZ123"/>
      <c r="CA123"/>
      <c r="CB123"/>
      <c r="CC123"/>
      <c r="CD123"/>
      <c r="CE123"/>
      <c r="CF123"/>
      <c r="CG123"/>
      <c r="CH123"/>
      <c r="CI123"/>
      <c r="CJ123"/>
      <c r="CK123"/>
      <c r="CL123"/>
      <c r="CM123"/>
      <c r="CN123"/>
      <c r="CO123"/>
      <c r="CP123"/>
      <c r="CQ123"/>
      <c r="CR123"/>
      <c r="CS123"/>
      <c r="CT123"/>
      <c r="CU123"/>
      <c r="CV123"/>
      <c r="CW123"/>
      <c r="CX123"/>
      <c r="CY123"/>
      <c r="CZ123"/>
      <c r="DA123"/>
      <c r="DB123"/>
      <c r="DC123"/>
      <c r="DD123"/>
      <c r="DE123"/>
      <c r="DF123"/>
      <c r="DG123"/>
      <c r="DH123"/>
      <c r="DI123"/>
      <c r="DJ123"/>
      <c r="DK123"/>
      <c r="DL123"/>
      <c r="DM123"/>
      <c r="DN123"/>
      <c r="DO123"/>
      <c r="DP123"/>
      <c r="DQ123"/>
      <c r="DR123"/>
      <c r="DS123"/>
      <c r="DT123"/>
      <c r="DU123"/>
      <c r="DV123"/>
      <c r="DW123"/>
      <c r="DX123"/>
      <c r="DY123"/>
      <c r="DZ123"/>
      <c r="EA123"/>
      <c r="EB123"/>
      <c r="EC123"/>
      <c r="ED123"/>
      <c r="EE123"/>
      <c r="EF123"/>
      <c r="EG123"/>
      <c r="EH123"/>
      <c r="EI123"/>
      <c r="EJ123"/>
      <c r="EK123"/>
      <c r="EL123"/>
      <c r="EM123"/>
      <c r="EN123"/>
      <c r="EO123"/>
      <c r="EP123"/>
      <c r="EQ123"/>
      <c r="ER123"/>
      <c r="ES123"/>
      <c r="ET123"/>
      <c r="EU123"/>
      <c r="EV123"/>
      <c r="EW123"/>
      <c r="EX123"/>
      <c r="EY123"/>
      <c r="EZ123"/>
      <c r="FA123"/>
      <c r="FB123"/>
      <c r="FC123"/>
      <c r="FD123"/>
      <c r="FE123"/>
      <c r="FF123"/>
      <c r="FG123"/>
      <c r="FH123"/>
      <c r="FI123"/>
      <c r="FJ123"/>
      <c r="FK123"/>
      <c r="FL123"/>
      <c r="FM123"/>
      <c r="FN123"/>
      <c r="FO123"/>
      <c r="FP123"/>
      <c r="FQ123"/>
      <c r="FR123"/>
      <c r="FS123"/>
      <c r="FT123"/>
      <c r="FU123"/>
      <c r="FV123"/>
      <c r="FW123"/>
      <c r="FX123"/>
      <c r="FY123"/>
      <c r="FZ123"/>
      <c r="GA123"/>
      <c r="GB123"/>
      <c r="GC123"/>
      <c r="GD123"/>
      <c r="GE123"/>
      <c r="GF123"/>
      <c r="GG123"/>
      <c r="GH123"/>
      <c r="GI123"/>
      <c r="GJ123"/>
      <c r="GK123"/>
      <c r="GL123"/>
      <c r="GM123"/>
      <c r="GN123"/>
      <c r="GO123"/>
      <c r="GP123"/>
      <c r="GQ123"/>
      <c r="GR123"/>
      <c r="GS123"/>
      <c r="GT123"/>
      <c r="GU123"/>
      <c r="GV123"/>
      <c r="GW123"/>
      <c r="GX123"/>
      <c r="GY123"/>
      <c r="GZ123"/>
      <c r="HA123"/>
      <c r="HB123"/>
      <c r="HC123"/>
      <c r="HD123"/>
      <c r="HE123"/>
      <c r="HF123"/>
      <c r="HG123"/>
      <c r="HH123"/>
      <c r="HI123"/>
      <c r="HJ123"/>
      <c r="HK123"/>
      <c r="HL123"/>
      <c r="HM123"/>
      <c r="HN123"/>
      <c r="HO123"/>
      <c r="HP123"/>
      <c r="HQ123"/>
      <c r="HR123"/>
      <c r="HS123"/>
      <c r="HT123"/>
      <c r="HU123"/>
      <c r="HV123"/>
      <c r="HW123"/>
      <c r="HX123"/>
      <c r="HY123"/>
      <c r="HZ123"/>
      <c r="IA123"/>
      <c r="IB123"/>
      <c r="IC123"/>
      <c r="ID123"/>
      <c r="IE123"/>
      <c r="IF123"/>
      <c r="IG123"/>
      <c r="IH123"/>
      <c r="II123"/>
      <c r="IJ123"/>
      <c r="IK123"/>
      <c r="IL123"/>
      <c r="IM123"/>
      <c r="IN123"/>
      <c r="IO123"/>
      <c r="IP123"/>
      <c r="IQ123"/>
      <c r="IR123"/>
      <c r="IS123"/>
      <c r="IT123"/>
      <c r="IU123"/>
      <c r="IV123"/>
      <c r="IW123"/>
      <c r="IX123"/>
      <c r="IY123"/>
      <c r="IZ123"/>
      <c r="JA123"/>
      <c r="JB123"/>
      <c r="JC123"/>
      <c r="JD123"/>
      <c r="JE123"/>
      <c r="JF123"/>
      <c r="JG123"/>
      <c r="JH123"/>
      <c r="JI123"/>
      <c r="JJ123"/>
      <c r="JK123"/>
      <c r="JL123"/>
      <c r="JM123"/>
      <c r="JN123"/>
      <c r="JO123"/>
      <c r="JP123"/>
      <c r="JQ123"/>
      <c r="JR123"/>
      <c r="JS123"/>
      <c r="JT123"/>
      <c r="JU123"/>
      <c r="JV123"/>
      <c r="JW123"/>
      <c r="JX123"/>
      <c r="JY123"/>
      <c r="JZ123"/>
      <c r="KA123"/>
      <c r="KB123"/>
      <c r="KC123"/>
      <c r="KD123"/>
      <c r="KE123"/>
      <c r="KF123"/>
      <c r="KG123"/>
      <c r="KH123"/>
      <c r="KI123"/>
    </row>
    <row r="124" spans="1:295" ht="20" customHeight="1" x14ac:dyDescent="0.15">
      <c r="A124" s="12"/>
      <c r="B124" s="13" t="s">
        <v>13</v>
      </c>
      <c r="C124" s="14" t="s">
        <v>35</v>
      </c>
      <c r="D124" s="15" t="s">
        <v>70</v>
      </c>
      <c r="E124" s="15" t="s">
        <v>71</v>
      </c>
      <c r="F124" s="16">
        <v>555</v>
      </c>
      <c r="G124" s="17">
        <v>16865.509999999998</v>
      </c>
      <c r="H124" s="17">
        <v>4394.07</v>
      </c>
      <c r="I124" s="17">
        <v>9360358.0500000007</v>
      </c>
      <c r="J124" s="15" t="s">
        <v>17</v>
      </c>
      <c r="K124" s="15" t="s">
        <v>18</v>
      </c>
      <c r="L124" s="9">
        <f>YEAR(E124)</f>
        <v>2023</v>
      </c>
      <c r="M124" s="11">
        <f t="shared" si="3"/>
        <v>2438708.8499999996</v>
      </c>
      <c r="U124" s="42" t="s">
        <v>70</v>
      </c>
      <c r="V124" s="43">
        <v>31614389.870000001</v>
      </c>
      <c r="W124" s="44">
        <v>479.08333333333331</v>
      </c>
      <c r="X124" s="44">
        <v>188191079.56999999</v>
      </c>
      <c r="Y124" s="61">
        <v>31614389.870000001</v>
      </c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/>
      <c r="BE124"/>
      <c r="BF124"/>
      <c r="BG124"/>
      <c r="BH124"/>
      <c r="BI124"/>
      <c r="BJ124"/>
      <c r="BK124"/>
      <c r="BL124"/>
      <c r="BM124"/>
      <c r="BN124"/>
      <c r="BO124"/>
      <c r="BP124"/>
      <c r="BQ124"/>
      <c r="BR124"/>
      <c r="BS124"/>
      <c r="BT124"/>
      <c r="BU124"/>
      <c r="BV124"/>
      <c r="BW124"/>
      <c r="BX124"/>
      <c r="BY124"/>
      <c r="BZ124"/>
      <c r="CA124"/>
      <c r="CB124"/>
      <c r="CC124"/>
      <c r="CD124"/>
      <c r="CE124"/>
      <c r="CF124"/>
      <c r="CG124"/>
      <c r="CH124"/>
      <c r="CI124"/>
      <c r="CJ124"/>
      <c r="CK124"/>
      <c r="CL124"/>
      <c r="CM124"/>
      <c r="CN124"/>
      <c r="CO124"/>
      <c r="CP124"/>
      <c r="CQ124"/>
      <c r="CR124"/>
      <c r="CS124"/>
      <c r="CT124"/>
      <c r="CU124"/>
      <c r="CV124"/>
      <c r="CW124"/>
      <c r="CX124"/>
      <c r="CY124"/>
      <c r="CZ124"/>
      <c r="DA124"/>
      <c r="DB124"/>
      <c r="DC124"/>
      <c r="DD124"/>
      <c r="DE124"/>
      <c r="DF124"/>
      <c r="DG124"/>
      <c r="DH124"/>
      <c r="DI124"/>
      <c r="DJ124"/>
      <c r="DK124"/>
      <c r="DL124"/>
      <c r="DM124"/>
      <c r="DN124"/>
      <c r="DO124"/>
      <c r="DP124"/>
      <c r="DQ124"/>
      <c r="DR124"/>
      <c r="DS124"/>
      <c r="DT124"/>
      <c r="DU124"/>
      <c r="DV124"/>
      <c r="DW124"/>
      <c r="DX124"/>
      <c r="DY124"/>
      <c r="DZ124"/>
      <c r="EA124"/>
      <c r="EB124"/>
      <c r="EC124"/>
      <c r="ED124"/>
      <c r="EE124"/>
      <c r="EF124"/>
      <c r="EG124"/>
      <c r="EH124"/>
      <c r="EI124"/>
      <c r="EJ124"/>
      <c r="EK124"/>
      <c r="EL124"/>
      <c r="EM124"/>
      <c r="EN124"/>
      <c r="EO124"/>
      <c r="EP124"/>
      <c r="EQ124"/>
      <c r="ER124"/>
      <c r="ES124"/>
      <c r="ET124"/>
      <c r="EU124"/>
      <c r="EV124"/>
      <c r="EW124"/>
      <c r="EX124"/>
      <c r="EY124"/>
      <c r="EZ124"/>
      <c r="FA124"/>
      <c r="FB124"/>
      <c r="FC124"/>
      <c r="FD124"/>
      <c r="FE124"/>
      <c r="FF124"/>
      <c r="FG124"/>
      <c r="FH124"/>
      <c r="FI124"/>
      <c r="FJ124"/>
      <c r="FK124"/>
      <c r="FL124"/>
      <c r="FM124"/>
      <c r="FN124"/>
      <c r="FO124"/>
      <c r="FP124"/>
      <c r="FQ124"/>
      <c r="FR124"/>
      <c r="FS124"/>
      <c r="FT124"/>
      <c r="FU124"/>
      <c r="FV124"/>
      <c r="FW124"/>
      <c r="FX124"/>
      <c r="FY124"/>
      <c r="FZ124"/>
      <c r="GA124"/>
      <c r="GB124"/>
      <c r="GC124"/>
      <c r="GD124"/>
      <c r="GE124"/>
      <c r="GF124"/>
      <c r="GG124"/>
      <c r="GH124"/>
      <c r="GI124"/>
      <c r="GJ124"/>
      <c r="GK124"/>
      <c r="GL124"/>
      <c r="GM124"/>
      <c r="GN124"/>
      <c r="GO124"/>
      <c r="GP124"/>
      <c r="GQ124"/>
      <c r="GR124"/>
      <c r="GS124"/>
      <c r="GT124"/>
      <c r="GU124"/>
      <c r="GV124"/>
      <c r="GW124"/>
      <c r="GX124"/>
      <c r="GY124"/>
      <c r="GZ124"/>
      <c r="HA124"/>
      <c r="HB124"/>
      <c r="HC124"/>
      <c r="HD124"/>
      <c r="HE124"/>
      <c r="HF124"/>
      <c r="HG124"/>
      <c r="HH124"/>
      <c r="HI124"/>
      <c r="HJ124"/>
      <c r="HK124"/>
      <c r="HL124"/>
      <c r="HM124"/>
      <c r="HN124"/>
      <c r="HO124"/>
      <c r="HP124"/>
      <c r="HQ124"/>
      <c r="HR124"/>
      <c r="HS124"/>
      <c r="HT124"/>
      <c r="HU124"/>
      <c r="HV124"/>
      <c r="HW124"/>
      <c r="HX124"/>
      <c r="HY124"/>
      <c r="HZ124"/>
      <c r="IA124"/>
      <c r="IB124"/>
      <c r="IC124"/>
      <c r="ID124"/>
      <c r="IE124"/>
      <c r="IF124"/>
      <c r="IG124"/>
      <c r="IH124"/>
      <c r="II124"/>
      <c r="IJ124"/>
      <c r="IK124"/>
      <c r="IL124"/>
      <c r="IM124"/>
      <c r="IN124"/>
      <c r="IO124"/>
      <c r="IP124"/>
      <c r="IQ124"/>
      <c r="IR124"/>
      <c r="IS124"/>
      <c r="IT124"/>
      <c r="IU124"/>
      <c r="IV124"/>
      <c r="IW124"/>
      <c r="IX124"/>
      <c r="IY124"/>
      <c r="IZ124"/>
      <c r="JA124"/>
      <c r="JB124"/>
      <c r="JC124"/>
      <c r="JD124"/>
      <c r="JE124"/>
      <c r="JF124"/>
      <c r="JG124"/>
      <c r="JH124"/>
      <c r="JI124"/>
      <c r="JJ124"/>
      <c r="JK124"/>
      <c r="JL124"/>
      <c r="JM124"/>
      <c r="JN124"/>
      <c r="JO124"/>
      <c r="JP124"/>
      <c r="JQ124"/>
      <c r="JR124"/>
      <c r="JS124"/>
      <c r="JT124"/>
      <c r="JU124"/>
      <c r="JV124"/>
      <c r="JW124"/>
      <c r="JX124"/>
      <c r="JY124"/>
      <c r="JZ124"/>
      <c r="KA124"/>
      <c r="KB124"/>
      <c r="KC124"/>
      <c r="KD124"/>
      <c r="KE124"/>
      <c r="KF124"/>
      <c r="KG124"/>
      <c r="KH124"/>
      <c r="KI124"/>
    </row>
    <row r="125" spans="1:295" ht="20" customHeight="1" x14ac:dyDescent="0.15">
      <c r="A125" s="12"/>
      <c r="B125" s="13" t="s">
        <v>13</v>
      </c>
      <c r="C125" s="14" t="s">
        <v>31</v>
      </c>
      <c r="D125" s="15" t="s">
        <v>70</v>
      </c>
      <c r="E125" s="15" t="s">
        <v>72</v>
      </c>
      <c r="F125" s="16">
        <v>506</v>
      </c>
      <c r="G125" s="17">
        <v>35141.25</v>
      </c>
      <c r="H125" s="17">
        <v>6995.65</v>
      </c>
      <c r="I125" s="19">
        <v>17781472.5</v>
      </c>
      <c r="J125" s="15" t="s">
        <v>28</v>
      </c>
      <c r="K125" s="15" t="s">
        <v>18</v>
      </c>
      <c r="L125" s="9">
        <f>YEAR(E125)</f>
        <v>2023</v>
      </c>
      <c r="M125" s="11">
        <f t="shared" si="3"/>
        <v>3539798.9</v>
      </c>
      <c r="U125" s="63">
        <v>2020</v>
      </c>
      <c r="V125" s="43">
        <v>7264573.6500000004</v>
      </c>
      <c r="W125" s="44">
        <v>389.75</v>
      </c>
      <c r="X125" s="44">
        <v>30259323.669999994</v>
      </c>
      <c r="Y125" s="61">
        <v>7264573.6500000004</v>
      </c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C125"/>
      <c r="BD125"/>
      <c r="BE125"/>
      <c r="BF125"/>
      <c r="BG125"/>
      <c r="BH125"/>
      <c r="BI125"/>
      <c r="BJ125"/>
      <c r="BK125"/>
      <c r="BL125"/>
      <c r="BM125"/>
      <c r="BN125"/>
      <c r="BO125"/>
      <c r="BP125"/>
      <c r="BQ125"/>
      <c r="BR125"/>
      <c r="BS125"/>
      <c r="BT125"/>
      <c r="BU125"/>
      <c r="BV125"/>
      <c r="BW125"/>
      <c r="BX125"/>
      <c r="BY125"/>
      <c r="BZ125"/>
      <c r="CA125"/>
      <c r="CB125"/>
      <c r="CC125"/>
      <c r="CD125"/>
      <c r="CE125"/>
      <c r="CF125"/>
      <c r="CG125"/>
      <c r="CH125"/>
      <c r="CI125"/>
      <c r="CJ125"/>
      <c r="CK125"/>
      <c r="CL125"/>
      <c r="CM125"/>
      <c r="CN125"/>
      <c r="CO125"/>
      <c r="CP125"/>
      <c r="CQ125"/>
      <c r="CR125"/>
      <c r="CS125"/>
      <c r="CT125"/>
      <c r="CU125"/>
      <c r="CV125"/>
      <c r="CW125"/>
      <c r="CX125"/>
      <c r="CY125"/>
      <c r="CZ125"/>
      <c r="DA125"/>
      <c r="DB125"/>
      <c r="DC125"/>
      <c r="DD125"/>
      <c r="DE125"/>
      <c r="DF125"/>
      <c r="DG125"/>
      <c r="DH125"/>
      <c r="DI125"/>
      <c r="DJ125"/>
      <c r="DK125"/>
      <c r="DL125"/>
      <c r="DM125"/>
      <c r="DN125"/>
      <c r="DO125"/>
      <c r="DP125"/>
      <c r="DQ125"/>
      <c r="DR125"/>
      <c r="DS125"/>
      <c r="DT125"/>
      <c r="DU125"/>
      <c r="DV125"/>
      <c r="DW125"/>
      <c r="DX125"/>
      <c r="DY125"/>
      <c r="DZ125"/>
      <c r="EA125"/>
      <c r="EB125"/>
      <c r="EC125"/>
      <c r="ED125"/>
      <c r="EE125"/>
      <c r="EF125"/>
      <c r="EG125"/>
      <c r="EH125"/>
      <c r="EI125"/>
      <c r="EJ125"/>
      <c r="EK125"/>
      <c r="EL125"/>
      <c r="EM125"/>
      <c r="EN125"/>
      <c r="EO125"/>
      <c r="EP125"/>
      <c r="EQ125"/>
      <c r="ER125"/>
      <c r="ES125"/>
      <c r="ET125"/>
      <c r="EU125"/>
      <c r="EV125"/>
      <c r="EW125"/>
      <c r="EX125"/>
      <c r="EY125"/>
      <c r="EZ125"/>
      <c r="FA125"/>
      <c r="FB125"/>
      <c r="FC125"/>
      <c r="FD125"/>
      <c r="FE125"/>
      <c r="FF125"/>
      <c r="FG125"/>
      <c r="FH125"/>
      <c r="FI125"/>
      <c r="FJ125"/>
      <c r="FK125"/>
      <c r="FL125"/>
      <c r="FM125"/>
      <c r="FN125"/>
      <c r="FO125"/>
      <c r="FP125"/>
      <c r="FQ125"/>
      <c r="FR125"/>
      <c r="FS125"/>
      <c r="FT125"/>
      <c r="FU125"/>
      <c r="FV125"/>
      <c r="FW125"/>
      <c r="FX125"/>
      <c r="FY125"/>
      <c r="FZ125"/>
      <c r="GA125"/>
      <c r="GB125"/>
      <c r="GC125"/>
      <c r="GD125"/>
      <c r="GE125"/>
      <c r="GF125"/>
      <c r="GG125"/>
      <c r="GH125"/>
      <c r="GI125"/>
      <c r="GJ125"/>
      <c r="GK125"/>
      <c r="GL125"/>
      <c r="GM125"/>
      <c r="GN125"/>
      <c r="GO125"/>
      <c r="GP125"/>
      <c r="GQ125"/>
      <c r="GR125"/>
      <c r="GS125"/>
      <c r="GT125"/>
      <c r="GU125"/>
      <c r="GV125"/>
      <c r="GW125"/>
      <c r="GX125"/>
      <c r="GY125"/>
      <c r="GZ125"/>
      <c r="HA125"/>
      <c r="HB125"/>
      <c r="HC125"/>
      <c r="HD125"/>
      <c r="HE125"/>
      <c r="HF125"/>
      <c r="HG125"/>
      <c r="HH125"/>
      <c r="HI125"/>
      <c r="HJ125"/>
      <c r="HK125"/>
      <c r="HL125"/>
      <c r="HM125"/>
      <c r="HN125"/>
      <c r="HO125"/>
      <c r="HP125"/>
      <c r="HQ125"/>
      <c r="HR125"/>
      <c r="HS125"/>
      <c r="HT125"/>
      <c r="HU125"/>
      <c r="HV125"/>
      <c r="HW125"/>
      <c r="HX125"/>
      <c r="HY125"/>
      <c r="HZ125"/>
      <c r="IA125"/>
      <c r="IB125"/>
      <c r="IC125"/>
      <c r="ID125"/>
      <c r="IE125"/>
      <c r="IF125"/>
      <c r="IG125"/>
      <c r="IH125"/>
      <c r="II125"/>
      <c r="IJ125"/>
      <c r="IK125"/>
      <c r="IL125"/>
      <c r="IM125"/>
      <c r="IN125"/>
      <c r="IO125"/>
      <c r="IP125"/>
      <c r="IQ125"/>
      <c r="IR125"/>
      <c r="IS125"/>
      <c r="IT125"/>
      <c r="IU125"/>
      <c r="IV125"/>
      <c r="IW125"/>
      <c r="IX125"/>
      <c r="IY125"/>
      <c r="IZ125"/>
      <c r="JA125"/>
      <c r="JB125"/>
      <c r="JC125"/>
      <c r="JD125"/>
      <c r="JE125"/>
      <c r="JF125"/>
      <c r="JG125"/>
      <c r="JH125"/>
      <c r="JI125"/>
      <c r="JJ125"/>
      <c r="JK125"/>
      <c r="JL125"/>
      <c r="JM125"/>
      <c r="JN125"/>
      <c r="JO125"/>
      <c r="JP125"/>
      <c r="JQ125"/>
      <c r="JR125"/>
      <c r="JS125"/>
      <c r="JT125"/>
      <c r="JU125"/>
      <c r="JV125"/>
      <c r="JW125"/>
      <c r="JX125"/>
      <c r="JY125"/>
      <c r="JZ125"/>
      <c r="KA125"/>
      <c r="KB125"/>
      <c r="KC125"/>
      <c r="KD125"/>
      <c r="KE125"/>
      <c r="KF125"/>
      <c r="KG125"/>
      <c r="KH125"/>
      <c r="KI125"/>
    </row>
    <row r="126" spans="1:295" ht="20" customHeight="1" x14ac:dyDescent="0.15">
      <c r="A126" s="12"/>
      <c r="B126" s="13" t="s">
        <v>13</v>
      </c>
      <c r="C126" s="14" t="s">
        <v>43</v>
      </c>
      <c r="D126" s="15" t="s">
        <v>70</v>
      </c>
      <c r="E126" s="15" t="s">
        <v>76</v>
      </c>
      <c r="F126" s="16">
        <v>687</v>
      </c>
      <c r="G126" s="17">
        <v>31309.13</v>
      </c>
      <c r="H126" s="17">
        <v>5015.01</v>
      </c>
      <c r="I126" s="17">
        <v>21509372.309999999</v>
      </c>
      <c r="J126" s="15" t="s">
        <v>17</v>
      </c>
      <c r="K126" s="15" t="s">
        <v>18</v>
      </c>
      <c r="L126" s="9">
        <f>YEAR(E126)</f>
        <v>2023</v>
      </c>
      <c r="M126" s="11">
        <f t="shared" si="3"/>
        <v>3445311.87</v>
      </c>
      <c r="U126" s="63">
        <v>2021</v>
      </c>
      <c r="V126" s="43">
        <v>5613013.4000000004</v>
      </c>
      <c r="W126" s="44">
        <v>609.5</v>
      </c>
      <c r="X126" s="44">
        <v>36738486.420000002</v>
      </c>
      <c r="Y126" s="61">
        <v>5613013.4000000004</v>
      </c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  <c r="BB126"/>
      <c r="BC126"/>
      <c r="BD126"/>
      <c r="BE126"/>
      <c r="BF126"/>
      <c r="BG126"/>
      <c r="BH126"/>
      <c r="BI126"/>
      <c r="BJ126"/>
      <c r="BK126"/>
      <c r="BL126"/>
      <c r="BM126"/>
      <c r="BN126"/>
      <c r="BO126"/>
      <c r="BP126"/>
      <c r="BQ126"/>
      <c r="BR126"/>
      <c r="BS126"/>
      <c r="BT126"/>
      <c r="BU126"/>
      <c r="BV126"/>
      <c r="BW126"/>
      <c r="BX126"/>
      <c r="BY126"/>
      <c r="BZ126"/>
      <c r="CA126"/>
      <c r="CB126"/>
      <c r="CC126"/>
      <c r="CD126"/>
      <c r="CE126"/>
      <c r="CF126"/>
      <c r="CG126"/>
      <c r="CH126"/>
      <c r="CI126"/>
      <c r="CJ126"/>
      <c r="CK126"/>
      <c r="CL126"/>
      <c r="CM126"/>
      <c r="CN126"/>
      <c r="CO126"/>
      <c r="CP126"/>
      <c r="CQ126"/>
      <c r="CR126"/>
      <c r="CS126"/>
      <c r="CT126"/>
      <c r="CU126"/>
      <c r="CV126"/>
      <c r="CW126"/>
      <c r="CX126"/>
      <c r="CY126"/>
      <c r="CZ126"/>
      <c r="DA126"/>
      <c r="DB126"/>
      <c r="DC126"/>
      <c r="DD126"/>
      <c r="DE126"/>
      <c r="DF126"/>
      <c r="DG126"/>
      <c r="DH126"/>
      <c r="DI126"/>
      <c r="DJ126"/>
      <c r="DK126"/>
      <c r="DL126"/>
      <c r="DM126"/>
      <c r="DN126"/>
      <c r="DO126"/>
      <c r="DP126"/>
      <c r="DQ126"/>
      <c r="DR126"/>
      <c r="DS126"/>
      <c r="DT126"/>
      <c r="DU126"/>
      <c r="DV126"/>
      <c r="DW126"/>
      <c r="DX126"/>
      <c r="DY126"/>
      <c r="DZ126"/>
      <c r="EA126"/>
      <c r="EB126"/>
      <c r="EC126"/>
      <c r="ED126"/>
      <c r="EE126"/>
      <c r="EF126"/>
      <c r="EG126"/>
      <c r="EH126"/>
      <c r="EI126"/>
      <c r="EJ126"/>
      <c r="EK126"/>
      <c r="EL126"/>
      <c r="EM126"/>
      <c r="EN126"/>
      <c r="EO126"/>
      <c r="EP126"/>
      <c r="EQ126"/>
      <c r="ER126"/>
      <c r="ES126"/>
      <c r="ET126"/>
      <c r="EU126"/>
      <c r="EV126"/>
      <c r="EW126"/>
      <c r="EX126"/>
      <c r="EY126"/>
      <c r="EZ126"/>
      <c r="FA126"/>
      <c r="FB126"/>
      <c r="FC126"/>
      <c r="FD126"/>
      <c r="FE126"/>
      <c r="FF126"/>
      <c r="FG126"/>
      <c r="FH126"/>
      <c r="FI126"/>
      <c r="FJ126"/>
      <c r="FK126"/>
      <c r="FL126"/>
      <c r="FM126"/>
      <c r="FN126"/>
      <c r="FO126"/>
      <c r="FP126"/>
      <c r="FQ126"/>
      <c r="FR126"/>
      <c r="FS126"/>
      <c r="FT126"/>
      <c r="FU126"/>
      <c r="FV126"/>
      <c r="FW126"/>
      <c r="FX126"/>
      <c r="FY126"/>
      <c r="FZ126"/>
      <c r="GA126"/>
      <c r="GB126"/>
      <c r="GC126"/>
      <c r="GD126"/>
      <c r="GE126"/>
      <c r="GF126"/>
      <c r="GG126"/>
      <c r="GH126"/>
      <c r="GI126"/>
      <c r="GJ126"/>
      <c r="GK126"/>
      <c r="GL126"/>
      <c r="GM126"/>
      <c r="GN126"/>
      <c r="GO126"/>
      <c r="GP126"/>
      <c r="GQ126"/>
      <c r="GR126"/>
      <c r="GS126"/>
      <c r="GT126"/>
      <c r="GU126"/>
      <c r="GV126"/>
      <c r="GW126"/>
      <c r="GX126"/>
      <c r="GY126"/>
      <c r="GZ126"/>
      <c r="HA126"/>
      <c r="HB126"/>
      <c r="HC126"/>
      <c r="HD126"/>
      <c r="HE126"/>
      <c r="HF126"/>
      <c r="HG126"/>
      <c r="HH126"/>
      <c r="HI126"/>
      <c r="HJ126"/>
      <c r="HK126"/>
      <c r="HL126"/>
      <c r="HM126"/>
      <c r="HN126"/>
      <c r="HO126"/>
      <c r="HP126"/>
      <c r="HQ126"/>
      <c r="HR126"/>
      <c r="HS126"/>
      <c r="HT126"/>
      <c r="HU126"/>
      <c r="HV126"/>
      <c r="HW126"/>
      <c r="HX126"/>
      <c r="HY126"/>
      <c r="HZ126"/>
      <c r="IA126"/>
      <c r="IB126"/>
      <c r="IC126"/>
      <c r="ID126"/>
      <c r="IE126"/>
      <c r="IF126"/>
      <c r="IG126"/>
      <c r="IH126"/>
      <c r="II126"/>
      <c r="IJ126"/>
      <c r="IK126"/>
      <c r="IL126"/>
      <c r="IM126"/>
      <c r="IN126"/>
      <c r="IO126"/>
      <c r="IP126"/>
      <c r="IQ126"/>
      <c r="IR126"/>
      <c r="IS126"/>
      <c r="IT126"/>
      <c r="IU126"/>
      <c r="IV126"/>
      <c r="IW126"/>
      <c r="IX126"/>
      <c r="IY126"/>
      <c r="IZ126"/>
      <c r="JA126"/>
      <c r="JB126"/>
      <c r="JC126"/>
      <c r="JD126"/>
      <c r="JE126"/>
      <c r="JF126"/>
      <c r="JG126"/>
      <c r="JH126"/>
      <c r="JI126"/>
      <c r="JJ126"/>
      <c r="JK126"/>
      <c r="JL126"/>
      <c r="JM126"/>
      <c r="JN126"/>
      <c r="JO126"/>
      <c r="JP126"/>
      <c r="JQ126"/>
      <c r="JR126"/>
      <c r="JS126"/>
      <c r="JT126"/>
      <c r="JU126"/>
      <c r="JV126"/>
      <c r="JW126"/>
      <c r="JX126"/>
      <c r="JY126"/>
      <c r="JZ126"/>
      <c r="KA126"/>
      <c r="KB126"/>
      <c r="KC126"/>
      <c r="KD126"/>
      <c r="KE126"/>
      <c r="KF126"/>
      <c r="KG126"/>
      <c r="KH126"/>
      <c r="KI126"/>
    </row>
    <row r="127" spans="1:295" ht="20" customHeight="1" x14ac:dyDescent="0.15">
      <c r="A127" s="12"/>
      <c r="B127" s="13" t="s">
        <v>13</v>
      </c>
      <c r="C127" s="14" t="s">
        <v>31</v>
      </c>
      <c r="D127" s="15" t="s">
        <v>70</v>
      </c>
      <c r="E127" s="15" t="s">
        <v>83</v>
      </c>
      <c r="F127" s="16">
        <v>653</v>
      </c>
      <c r="G127" s="17">
        <v>43827.24</v>
      </c>
      <c r="H127" s="19">
        <v>5249.1</v>
      </c>
      <c r="I127" s="17">
        <v>28619187.719999999</v>
      </c>
      <c r="J127" s="15" t="s">
        <v>17</v>
      </c>
      <c r="K127" s="15" t="s">
        <v>18</v>
      </c>
      <c r="L127" s="9">
        <f>YEAR(E127)</f>
        <v>2023</v>
      </c>
      <c r="M127" s="11">
        <f t="shared" si="3"/>
        <v>3427662.3000000003</v>
      </c>
      <c r="U127" s="63">
        <v>2022</v>
      </c>
      <c r="V127" s="43">
        <v>10260299.119999999</v>
      </c>
      <c r="W127" s="44">
        <v>558.66666666666663</v>
      </c>
      <c r="X127" s="44">
        <v>73510869.75</v>
      </c>
      <c r="Y127" s="61">
        <v>10260299.119999999</v>
      </c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/>
      <c r="BA127"/>
      <c r="BB127"/>
      <c r="BC127"/>
      <c r="BD127"/>
      <c r="BE127"/>
      <c r="BF127"/>
      <c r="BG127"/>
      <c r="BH127"/>
      <c r="BI127"/>
      <c r="BJ127"/>
      <c r="BK127"/>
      <c r="BL127"/>
      <c r="BM127"/>
      <c r="BN127"/>
      <c r="BO127"/>
      <c r="BP127"/>
      <c r="BQ127"/>
      <c r="BR127"/>
      <c r="BS127"/>
      <c r="BT127"/>
      <c r="BU127"/>
      <c r="BV127"/>
      <c r="BW127"/>
      <c r="BX127"/>
      <c r="BY127"/>
      <c r="BZ127"/>
      <c r="CA127"/>
      <c r="CB127"/>
      <c r="CC127"/>
      <c r="CD127"/>
      <c r="CE127"/>
      <c r="CF127"/>
      <c r="CG127"/>
      <c r="CH127"/>
      <c r="CI127"/>
      <c r="CJ127"/>
      <c r="CK127"/>
      <c r="CL127"/>
      <c r="CM127"/>
      <c r="CN127"/>
      <c r="CO127"/>
      <c r="CP127"/>
      <c r="CQ127"/>
      <c r="CR127"/>
      <c r="CS127"/>
      <c r="CT127"/>
      <c r="CU127"/>
      <c r="CV127"/>
      <c r="CW127"/>
      <c r="CX127"/>
      <c r="CY127"/>
      <c r="CZ127"/>
      <c r="DA127"/>
      <c r="DB127"/>
      <c r="DC127"/>
      <c r="DD127"/>
      <c r="DE127"/>
      <c r="DF127"/>
      <c r="DG127"/>
      <c r="DH127"/>
      <c r="DI127"/>
      <c r="DJ127"/>
      <c r="DK127"/>
      <c r="DL127"/>
      <c r="DM127"/>
      <c r="DN127"/>
      <c r="DO127"/>
      <c r="DP127"/>
      <c r="DQ127"/>
      <c r="DR127"/>
      <c r="DS127"/>
      <c r="DT127"/>
      <c r="DU127"/>
      <c r="DV127"/>
      <c r="DW127"/>
      <c r="DX127"/>
      <c r="DY127"/>
      <c r="DZ127"/>
      <c r="EA127"/>
      <c r="EB127"/>
      <c r="EC127"/>
      <c r="ED127"/>
      <c r="EE127"/>
      <c r="EF127"/>
      <c r="EG127"/>
      <c r="EH127"/>
      <c r="EI127"/>
      <c r="EJ127"/>
      <c r="EK127"/>
      <c r="EL127"/>
      <c r="EM127"/>
      <c r="EN127"/>
      <c r="EO127"/>
      <c r="EP127"/>
      <c r="EQ127"/>
      <c r="ER127"/>
      <c r="ES127"/>
      <c r="ET127"/>
      <c r="EU127"/>
      <c r="EV127"/>
      <c r="EW127"/>
      <c r="EX127"/>
      <c r="EY127"/>
      <c r="EZ127"/>
      <c r="FA127"/>
      <c r="FB127"/>
      <c r="FC127"/>
      <c r="FD127"/>
      <c r="FE127"/>
      <c r="FF127"/>
      <c r="FG127"/>
      <c r="FH127"/>
      <c r="FI127"/>
      <c r="FJ127"/>
      <c r="FK127"/>
      <c r="FL127"/>
      <c r="FM127"/>
      <c r="FN127"/>
      <c r="FO127"/>
      <c r="FP127"/>
      <c r="FQ127"/>
      <c r="FR127"/>
      <c r="FS127"/>
      <c r="FT127"/>
      <c r="FU127"/>
      <c r="FV127"/>
      <c r="FW127"/>
      <c r="FX127"/>
      <c r="FY127"/>
      <c r="FZ127"/>
      <c r="GA127"/>
      <c r="GB127"/>
      <c r="GC127"/>
      <c r="GD127"/>
      <c r="GE127"/>
      <c r="GF127"/>
      <c r="GG127"/>
      <c r="GH127"/>
      <c r="GI127"/>
      <c r="GJ127"/>
      <c r="GK127"/>
      <c r="GL127"/>
      <c r="GM127"/>
      <c r="GN127"/>
      <c r="GO127"/>
      <c r="GP127"/>
      <c r="GQ127"/>
      <c r="GR127"/>
      <c r="GS127"/>
      <c r="GT127"/>
      <c r="GU127"/>
      <c r="GV127"/>
      <c r="GW127"/>
      <c r="GX127"/>
      <c r="GY127"/>
      <c r="GZ127"/>
      <c r="HA127"/>
      <c r="HB127"/>
      <c r="HC127"/>
      <c r="HD127"/>
      <c r="HE127"/>
      <c r="HF127"/>
      <c r="HG127"/>
      <c r="HH127"/>
      <c r="HI127"/>
      <c r="HJ127"/>
      <c r="HK127"/>
      <c r="HL127"/>
      <c r="HM127"/>
      <c r="HN127"/>
      <c r="HO127"/>
      <c r="HP127"/>
      <c r="HQ127"/>
      <c r="HR127"/>
      <c r="HS127"/>
      <c r="HT127"/>
      <c r="HU127"/>
      <c r="HV127"/>
      <c r="HW127"/>
      <c r="HX127"/>
      <c r="HY127"/>
      <c r="HZ127"/>
      <c r="IA127"/>
      <c r="IB127"/>
      <c r="IC127"/>
      <c r="ID127"/>
      <c r="IE127"/>
      <c r="IF127"/>
      <c r="IG127"/>
      <c r="IH127"/>
      <c r="II127"/>
      <c r="IJ127"/>
      <c r="IK127"/>
      <c r="IL127"/>
      <c r="IM127"/>
      <c r="IN127"/>
      <c r="IO127"/>
      <c r="IP127"/>
      <c r="IQ127"/>
      <c r="IR127"/>
      <c r="IS127"/>
      <c r="IT127"/>
      <c r="IU127"/>
      <c r="IV127"/>
      <c r="IW127"/>
      <c r="IX127"/>
      <c r="IY127"/>
      <c r="IZ127"/>
      <c r="JA127"/>
      <c r="JB127"/>
      <c r="JC127"/>
      <c r="JD127"/>
      <c r="JE127"/>
      <c r="JF127"/>
      <c r="JG127"/>
      <c r="JH127"/>
      <c r="JI127"/>
      <c r="JJ127"/>
      <c r="JK127"/>
      <c r="JL127"/>
      <c r="JM127"/>
      <c r="JN127"/>
      <c r="JO127"/>
      <c r="JP127"/>
      <c r="JQ127"/>
      <c r="JR127"/>
      <c r="JS127"/>
      <c r="JT127"/>
      <c r="JU127"/>
      <c r="JV127"/>
      <c r="JW127"/>
      <c r="JX127"/>
      <c r="JY127"/>
      <c r="JZ127"/>
      <c r="KA127"/>
      <c r="KB127"/>
      <c r="KC127"/>
      <c r="KD127"/>
      <c r="KE127"/>
      <c r="KF127"/>
      <c r="KG127"/>
      <c r="KH127"/>
      <c r="KI127"/>
    </row>
    <row r="128" spans="1:295" ht="20" customHeight="1" x14ac:dyDescent="0.15">
      <c r="A128" s="12"/>
      <c r="B128" s="13" t="s">
        <v>13</v>
      </c>
      <c r="C128" s="14" t="s">
        <v>35</v>
      </c>
      <c r="D128" s="15" t="s">
        <v>70</v>
      </c>
      <c r="E128" s="15" t="s">
        <v>88</v>
      </c>
      <c r="F128" s="16">
        <v>705</v>
      </c>
      <c r="G128" s="17">
        <v>20889.939999999999</v>
      </c>
      <c r="H128" s="17">
        <v>5798.03</v>
      </c>
      <c r="I128" s="19">
        <v>14727407.699999999</v>
      </c>
      <c r="J128" s="15" t="s">
        <v>28</v>
      </c>
      <c r="K128" s="15" t="s">
        <v>18</v>
      </c>
      <c r="L128" s="9">
        <f>YEAR(E128)</f>
        <v>2023</v>
      </c>
      <c r="M128" s="11">
        <f t="shared" si="3"/>
        <v>4087611.15</v>
      </c>
      <c r="U128" s="63">
        <v>2023</v>
      </c>
      <c r="V128" s="43">
        <v>8476503.6999999993</v>
      </c>
      <c r="W128" s="44">
        <v>431.66666666666669</v>
      </c>
      <c r="X128" s="44">
        <v>47682399.730000004</v>
      </c>
      <c r="Y128" s="61">
        <v>8476503.6999999993</v>
      </c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/>
      <c r="BH128"/>
      <c r="BI128"/>
      <c r="BJ128"/>
      <c r="BK128"/>
      <c r="BL128"/>
      <c r="BM128"/>
      <c r="BN128"/>
      <c r="BO128"/>
      <c r="BP128"/>
      <c r="BQ128"/>
      <c r="BR128"/>
      <c r="BS128"/>
      <c r="BT128"/>
      <c r="BU128"/>
      <c r="BV128"/>
      <c r="BW128"/>
      <c r="BX128"/>
      <c r="BY128"/>
      <c r="BZ128"/>
      <c r="CA128"/>
      <c r="CB128"/>
      <c r="CC128"/>
      <c r="CD128"/>
      <c r="CE128"/>
      <c r="CF128"/>
      <c r="CG128"/>
      <c r="CH128"/>
      <c r="CI128"/>
      <c r="CJ128"/>
      <c r="CK128"/>
      <c r="CL128"/>
      <c r="CM128"/>
      <c r="CN128"/>
      <c r="CO128"/>
      <c r="CP128"/>
      <c r="CQ128"/>
      <c r="CR128"/>
      <c r="CS128"/>
      <c r="CT128"/>
      <c r="CU128"/>
      <c r="CV128"/>
      <c r="CW128"/>
      <c r="CX128"/>
      <c r="CY128"/>
      <c r="CZ128"/>
      <c r="DA128"/>
      <c r="DB128"/>
      <c r="DC128"/>
      <c r="DD128"/>
      <c r="DE128"/>
      <c r="DF128"/>
      <c r="DG128"/>
      <c r="DH128"/>
      <c r="DI128"/>
      <c r="DJ128"/>
      <c r="DK128"/>
      <c r="DL128"/>
      <c r="DM128"/>
      <c r="DN128"/>
      <c r="DO128"/>
      <c r="DP128"/>
      <c r="DQ128"/>
      <c r="DR128"/>
      <c r="DS128"/>
      <c r="DT128"/>
      <c r="DU128"/>
      <c r="DV128"/>
      <c r="DW128"/>
      <c r="DX128"/>
      <c r="DY128"/>
      <c r="DZ128"/>
      <c r="EA128"/>
      <c r="EB128"/>
      <c r="EC128"/>
      <c r="ED128"/>
      <c r="EE128"/>
      <c r="EF128"/>
      <c r="EG128"/>
      <c r="EH128"/>
      <c r="EI128"/>
      <c r="EJ128"/>
      <c r="EK128"/>
      <c r="EL128"/>
      <c r="EM128"/>
      <c r="EN128"/>
      <c r="EO128"/>
      <c r="EP128"/>
      <c r="EQ128"/>
      <c r="ER128"/>
      <c r="ES128"/>
      <c r="ET128"/>
      <c r="EU128"/>
      <c r="EV128"/>
      <c r="EW128"/>
      <c r="EX128"/>
      <c r="EY128"/>
      <c r="EZ128"/>
      <c r="FA128"/>
      <c r="FB128"/>
      <c r="FC128"/>
      <c r="FD128"/>
      <c r="FE128"/>
      <c r="FF128"/>
      <c r="FG128"/>
      <c r="FH128"/>
      <c r="FI128"/>
      <c r="FJ128"/>
      <c r="FK128"/>
      <c r="FL128"/>
      <c r="FM128"/>
      <c r="FN128"/>
      <c r="FO128"/>
      <c r="FP128"/>
      <c r="FQ128"/>
      <c r="FR128"/>
      <c r="FS128"/>
      <c r="FT128"/>
      <c r="FU128"/>
      <c r="FV128"/>
      <c r="FW128"/>
      <c r="FX128"/>
      <c r="FY128"/>
      <c r="FZ128"/>
      <c r="GA128"/>
      <c r="GB128"/>
      <c r="GC128"/>
      <c r="GD128"/>
      <c r="GE128"/>
      <c r="GF128"/>
      <c r="GG128"/>
      <c r="GH128"/>
      <c r="GI128"/>
      <c r="GJ128"/>
      <c r="GK128"/>
      <c r="GL128"/>
      <c r="GM128"/>
      <c r="GN128"/>
      <c r="GO128"/>
      <c r="GP128"/>
      <c r="GQ128"/>
      <c r="GR128"/>
      <c r="GS128"/>
      <c r="GT128"/>
      <c r="GU128"/>
      <c r="GV128"/>
      <c r="GW128"/>
      <c r="GX128"/>
      <c r="GY128"/>
      <c r="GZ128"/>
      <c r="HA128"/>
      <c r="HB128"/>
      <c r="HC128"/>
      <c r="HD128"/>
      <c r="HE128"/>
      <c r="HF128"/>
      <c r="HG128"/>
      <c r="HH128"/>
      <c r="HI128"/>
      <c r="HJ128"/>
      <c r="HK128"/>
      <c r="HL128"/>
      <c r="HM128"/>
      <c r="HN128"/>
      <c r="HO128"/>
      <c r="HP128"/>
      <c r="HQ128"/>
      <c r="HR128"/>
      <c r="HS128"/>
      <c r="HT128"/>
      <c r="HU128"/>
      <c r="HV128"/>
      <c r="HW128"/>
      <c r="HX128"/>
      <c r="HY128"/>
      <c r="HZ128"/>
      <c r="IA128"/>
      <c r="IB128"/>
      <c r="IC128"/>
      <c r="ID128"/>
      <c r="IE128"/>
      <c r="IF128"/>
      <c r="IG128"/>
      <c r="IH128"/>
      <c r="II128"/>
      <c r="IJ128"/>
      <c r="IK128"/>
      <c r="IL128"/>
      <c r="IM128"/>
      <c r="IN128"/>
      <c r="IO128"/>
      <c r="IP128"/>
      <c r="IQ128"/>
      <c r="IR128"/>
      <c r="IS128"/>
      <c r="IT128"/>
      <c r="IU128"/>
      <c r="IV128"/>
      <c r="IW128"/>
      <c r="IX128"/>
      <c r="IY128"/>
      <c r="IZ128"/>
      <c r="JA128"/>
      <c r="JB128"/>
      <c r="JC128"/>
      <c r="JD128"/>
      <c r="JE128"/>
      <c r="JF128"/>
      <c r="JG128"/>
      <c r="JH128"/>
      <c r="JI128"/>
      <c r="JJ128"/>
      <c r="JK128"/>
      <c r="JL128"/>
      <c r="JM128"/>
      <c r="JN128"/>
      <c r="JO128"/>
      <c r="JP128"/>
      <c r="JQ128"/>
      <c r="JR128"/>
      <c r="JS128"/>
      <c r="JT128"/>
      <c r="JU128"/>
      <c r="JV128"/>
      <c r="JW128"/>
      <c r="JX128"/>
      <c r="JY128"/>
      <c r="JZ128"/>
      <c r="KA128"/>
      <c r="KB128"/>
      <c r="KC128"/>
      <c r="KD128"/>
      <c r="KE128"/>
      <c r="KF128"/>
      <c r="KG128"/>
      <c r="KH128"/>
      <c r="KI128"/>
    </row>
    <row r="129" spans="1:295" ht="20" customHeight="1" x14ac:dyDescent="0.15">
      <c r="A129" s="12"/>
      <c r="B129" s="13" t="s">
        <v>13</v>
      </c>
      <c r="C129" s="14" t="s">
        <v>14</v>
      </c>
      <c r="D129" s="15" t="s">
        <v>89</v>
      </c>
      <c r="E129" s="15" t="s">
        <v>90</v>
      </c>
      <c r="F129" s="16">
        <v>494</v>
      </c>
      <c r="G129" s="17">
        <v>30668.78</v>
      </c>
      <c r="H129" s="17">
        <v>5725.02</v>
      </c>
      <c r="I129" s="17">
        <v>15150377.32</v>
      </c>
      <c r="J129" s="15" t="s">
        <v>17</v>
      </c>
      <c r="K129" s="15" t="s">
        <v>18</v>
      </c>
      <c r="L129" s="9">
        <f>YEAR(E129)</f>
        <v>2023</v>
      </c>
      <c r="M129" s="11">
        <f t="shared" si="3"/>
        <v>2828159.8800000004</v>
      </c>
      <c r="U129" s="42" t="s">
        <v>26</v>
      </c>
      <c r="V129" s="43">
        <v>44545057.329999998</v>
      </c>
      <c r="W129" s="44">
        <v>662.92307692307691</v>
      </c>
      <c r="X129" s="44">
        <v>268289708.97999993</v>
      </c>
      <c r="Y129" s="61">
        <v>44545057.329999998</v>
      </c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/>
      <c r="AV129"/>
      <c r="AW129"/>
      <c r="AX129"/>
      <c r="AY129"/>
      <c r="AZ129"/>
      <c r="BA129"/>
      <c r="BB129"/>
      <c r="BC129"/>
      <c r="BD129"/>
      <c r="BE129"/>
      <c r="BF129"/>
      <c r="BG129"/>
      <c r="BH129"/>
      <c r="BI129"/>
      <c r="BJ129"/>
      <c r="BK129"/>
      <c r="BL129"/>
      <c r="BM129"/>
      <c r="BN129"/>
      <c r="BO129"/>
      <c r="BP129"/>
      <c r="BQ129"/>
      <c r="BR129"/>
      <c r="BS129"/>
      <c r="BT129"/>
      <c r="BU129"/>
      <c r="BV129"/>
      <c r="BW129"/>
      <c r="BX129"/>
      <c r="BY129"/>
      <c r="BZ129"/>
      <c r="CA129"/>
      <c r="CB129"/>
      <c r="CC129"/>
      <c r="CD129"/>
      <c r="CE129"/>
      <c r="CF129"/>
      <c r="CG129"/>
      <c r="CH129"/>
      <c r="CI129"/>
      <c r="CJ129"/>
      <c r="CK129"/>
      <c r="CL129"/>
      <c r="CM129"/>
      <c r="CN129"/>
      <c r="CO129"/>
      <c r="CP129"/>
      <c r="CQ129"/>
      <c r="CR129"/>
      <c r="CS129"/>
      <c r="CT129"/>
      <c r="CU129"/>
      <c r="CV129"/>
      <c r="CW129"/>
      <c r="CX129"/>
      <c r="CY129"/>
      <c r="CZ129"/>
      <c r="DA129"/>
      <c r="DB129"/>
      <c r="DC129"/>
      <c r="DD129"/>
      <c r="DE129"/>
      <c r="DF129"/>
      <c r="DG129"/>
      <c r="DH129"/>
      <c r="DI129"/>
      <c r="DJ129"/>
      <c r="DK129"/>
      <c r="DL129"/>
      <c r="DM129"/>
      <c r="DN129"/>
      <c r="DO129"/>
      <c r="DP129"/>
      <c r="DQ129"/>
      <c r="DR129"/>
      <c r="DS129"/>
      <c r="DT129"/>
      <c r="DU129"/>
      <c r="DV129"/>
      <c r="DW129"/>
      <c r="DX129"/>
      <c r="DY129"/>
      <c r="DZ129"/>
      <c r="EA129"/>
      <c r="EB129"/>
      <c r="EC129"/>
      <c r="ED129"/>
      <c r="EE129"/>
      <c r="EF129"/>
      <c r="EG129"/>
      <c r="EH129"/>
      <c r="EI129"/>
      <c r="EJ129"/>
      <c r="EK129"/>
      <c r="EL129"/>
      <c r="EM129"/>
      <c r="EN129"/>
      <c r="EO129"/>
      <c r="EP129"/>
      <c r="EQ129"/>
      <c r="ER129"/>
      <c r="ES129"/>
      <c r="ET129"/>
      <c r="EU129"/>
      <c r="EV129"/>
      <c r="EW129"/>
      <c r="EX129"/>
      <c r="EY129"/>
      <c r="EZ129"/>
      <c r="FA129"/>
      <c r="FB129"/>
      <c r="FC129"/>
      <c r="FD129"/>
      <c r="FE129"/>
      <c r="FF129"/>
      <c r="FG129"/>
      <c r="FH129"/>
      <c r="FI129"/>
      <c r="FJ129"/>
      <c r="FK129"/>
      <c r="FL129"/>
      <c r="FM129"/>
      <c r="FN129"/>
      <c r="FO129"/>
      <c r="FP129"/>
      <c r="FQ129"/>
      <c r="FR129"/>
      <c r="FS129"/>
      <c r="FT129"/>
      <c r="FU129"/>
      <c r="FV129"/>
      <c r="FW129"/>
      <c r="FX129"/>
      <c r="FY129"/>
      <c r="FZ129"/>
      <c r="GA129"/>
      <c r="GB129"/>
      <c r="GC129"/>
      <c r="GD129"/>
      <c r="GE129"/>
      <c r="GF129"/>
      <c r="GG129"/>
      <c r="GH129"/>
      <c r="GI129"/>
      <c r="GJ129"/>
      <c r="GK129"/>
      <c r="GL129"/>
      <c r="GM129"/>
      <c r="GN129"/>
      <c r="GO129"/>
      <c r="GP129"/>
      <c r="GQ129"/>
      <c r="GR129"/>
      <c r="GS129"/>
      <c r="GT129"/>
      <c r="GU129"/>
      <c r="GV129"/>
      <c r="GW129"/>
      <c r="GX129"/>
      <c r="GY129"/>
      <c r="GZ129"/>
      <c r="HA129"/>
      <c r="HB129"/>
      <c r="HC129"/>
      <c r="HD129"/>
      <c r="HE129"/>
      <c r="HF129"/>
      <c r="HG129"/>
      <c r="HH129"/>
      <c r="HI129"/>
      <c r="HJ129"/>
      <c r="HK129"/>
      <c r="HL129"/>
      <c r="HM129"/>
      <c r="HN129"/>
      <c r="HO129"/>
      <c r="HP129"/>
      <c r="HQ129"/>
      <c r="HR129"/>
      <c r="HS129"/>
      <c r="HT129"/>
      <c r="HU129"/>
      <c r="HV129"/>
      <c r="HW129"/>
      <c r="HX129"/>
      <c r="HY129"/>
      <c r="HZ129"/>
      <c r="IA129"/>
      <c r="IB129"/>
      <c r="IC129"/>
      <c r="ID129"/>
      <c r="IE129"/>
      <c r="IF129"/>
      <c r="IG129"/>
      <c r="IH129"/>
      <c r="II129"/>
      <c r="IJ129"/>
      <c r="IK129"/>
      <c r="IL129"/>
      <c r="IM129"/>
      <c r="IN129"/>
      <c r="IO129"/>
      <c r="IP129"/>
      <c r="IQ129"/>
      <c r="IR129"/>
      <c r="IS129"/>
      <c r="IT129"/>
      <c r="IU129"/>
      <c r="IV129"/>
      <c r="IW129"/>
      <c r="IX129"/>
      <c r="IY129"/>
      <c r="IZ129"/>
      <c r="JA129"/>
      <c r="JB129"/>
      <c r="JC129"/>
      <c r="JD129"/>
      <c r="JE129"/>
      <c r="JF129"/>
      <c r="JG129"/>
      <c r="JH129"/>
      <c r="JI129"/>
      <c r="JJ129"/>
      <c r="JK129"/>
      <c r="JL129"/>
      <c r="JM129"/>
      <c r="JN129"/>
      <c r="JO129"/>
      <c r="JP129"/>
      <c r="JQ129"/>
      <c r="JR129"/>
      <c r="JS129"/>
      <c r="JT129"/>
      <c r="JU129"/>
      <c r="JV129"/>
      <c r="JW129"/>
      <c r="JX129"/>
      <c r="JY129"/>
      <c r="JZ129"/>
      <c r="KA129"/>
      <c r="KB129"/>
      <c r="KC129"/>
      <c r="KD129"/>
      <c r="KE129"/>
      <c r="KF129"/>
      <c r="KG129"/>
      <c r="KH129"/>
      <c r="KI129"/>
    </row>
    <row r="130" spans="1:295" ht="20" customHeight="1" x14ac:dyDescent="0.15">
      <c r="A130" s="12"/>
      <c r="B130" s="13" t="s">
        <v>13</v>
      </c>
      <c r="C130" s="14" t="s">
        <v>14</v>
      </c>
      <c r="D130" s="15" t="s">
        <v>89</v>
      </c>
      <c r="E130" s="15" t="s">
        <v>101</v>
      </c>
      <c r="F130" s="16">
        <v>296</v>
      </c>
      <c r="G130" s="17">
        <v>12168.22</v>
      </c>
      <c r="H130" s="19">
        <v>6858.4</v>
      </c>
      <c r="I130" s="17">
        <v>3601793.12</v>
      </c>
      <c r="J130" s="15" t="s">
        <v>17</v>
      </c>
      <c r="K130" s="15" t="s">
        <v>18</v>
      </c>
      <c r="L130" s="9">
        <f>YEAR(E130)</f>
        <v>2023</v>
      </c>
      <c r="M130" s="11">
        <f t="shared" si="3"/>
        <v>2030086.4</v>
      </c>
      <c r="U130" s="63">
        <v>2020</v>
      </c>
      <c r="V130" s="43">
        <v>17792845.560000002</v>
      </c>
      <c r="W130" s="44">
        <v>650.83333333333337</v>
      </c>
      <c r="X130" s="44">
        <v>118079365.29999998</v>
      </c>
      <c r="Y130" s="61">
        <v>17792845.560000002</v>
      </c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/>
      <c r="AY130"/>
      <c r="AZ130"/>
      <c r="BA130"/>
      <c r="BB130"/>
      <c r="BC130"/>
      <c r="BD130"/>
      <c r="BE130"/>
      <c r="BF130"/>
      <c r="BG130"/>
      <c r="BH130"/>
      <c r="BI130"/>
      <c r="BJ130"/>
      <c r="BK130"/>
      <c r="BL130"/>
      <c r="BM130"/>
      <c r="BN130"/>
      <c r="BO130"/>
      <c r="BP130"/>
      <c r="BQ130"/>
      <c r="BR130"/>
      <c r="BS130"/>
      <c r="BT130"/>
      <c r="BU130"/>
      <c r="BV130"/>
      <c r="BW130"/>
      <c r="BX130"/>
      <c r="BY130"/>
      <c r="BZ130"/>
      <c r="CA130"/>
      <c r="CB130"/>
      <c r="CC130"/>
      <c r="CD130"/>
      <c r="CE130"/>
      <c r="CF130"/>
      <c r="CG130"/>
      <c r="CH130"/>
      <c r="CI130"/>
      <c r="CJ130"/>
      <c r="CK130"/>
      <c r="CL130"/>
      <c r="CM130"/>
      <c r="CN130"/>
      <c r="CO130"/>
      <c r="CP130"/>
      <c r="CQ130"/>
      <c r="CR130"/>
      <c r="CS130"/>
      <c r="CT130"/>
      <c r="CU130"/>
      <c r="CV130"/>
      <c r="CW130"/>
      <c r="CX130"/>
      <c r="CY130"/>
      <c r="CZ130"/>
      <c r="DA130"/>
      <c r="DB130"/>
      <c r="DC130"/>
      <c r="DD130"/>
      <c r="DE130"/>
      <c r="DF130"/>
      <c r="DG130"/>
      <c r="DH130"/>
      <c r="DI130"/>
      <c r="DJ130"/>
      <c r="DK130"/>
      <c r="DL130"/>
      <c r="DM130"/>
      <c r="DN130"/>
      <c r="DO130"/>
      <c r="DP130"/>
      <c r="DQ130"/>
      <c r="DR130"/>
      <c r="DS130"/>
      <c r="DT130"/>
      <c r="DU130"/>
      <c r="DV130"/>
      <c r="DW130"/>
      <c r="DX130"/>
      <c r="DY130"/>
      <c r="DZ130"/>
      <c r="EA130"/>
      <c r="EB130"/>
      <c r="EC130"/>
      <c r="ED130"/>
      <c r="EE130"/>
      <c r="EF130"/>
      <c r="EG130"/>
      <c r="EH130"/>
      <c r="EI130"/>
      <c r="EJ130"/>
      <c r="EK130"/>
      <c r="EL130"/>
      <c r="EM130"/>
      <c r="EN130"/>
      <c r="EO130"/>
      <c r="EP130"/>
      <c r="EQ130"/>
      <c r="ER130"/>
      <c r="ES130"/>
      <c r="ET130"/>
      <c r="EU130"/>
      <c r="EV130"/>
      <c r="EW130"/>
      <c r="EX130"/>
      <c r="EY130"/>
      <c r="EZ130"/>
      <c r="FA130"/>
      <c r="FB130"/>
      <c r="FC130"/>
      <c r="FD130"/>
      <c r="FE130"/>
      <c r="FF130"/>
      <c r="FG130"/>
      <c r="FH130"/>
      <c r="FI130"/>
      <c r="FJ130"/>
      <c r="FK130"/>
      <c r="FL130"/>
      <c r="FM130"/>
      <c r="FN130"/>
      <c r="FO130"/>
      <c r="FP130"/>
      <c r="FQ130"/>
      <c r="FR130"/>
      <c r="FS130"/>
      <c r="FT130"/>
      <c r="FU130"/>
      <c r="FV130"/>
      <c r="FW130"/>
      <c r="FX130"/>
      <c r="FY130"/>
      <c r="FZ130"/>
      <c r="GA130"/>
      <c r="GB130"/>
      <c r="GC130"/>
      <c r="GD130"/>
      <c r="GE130"/>
      <c r="GF130"/>
      <c r="GG130"/>
      <c r="GH130"/>
      <c r="GI130"/>
      <c r="GJ130"/>
      <c r="GK130"/>
      <c r="GL130"/>
      <c r="GM130"/>
      <c r="GN130"/>
      <c r="GO130"/>
      <c r="GP130"/>
      <c r="GQ130"/>
      <c r="GR130"/>
      <c r="GS130"/>
      <c r="GT130"/>
      <c r="GU130"/>
      <c r="GV130"/>
      <c r="GW130"/>
      <c r="GX130"/>
      <c r="GY130"/>
      <c r="GZ130"/>
      <c r="HA130"/>
      <c r="HB130"/>
      <c r="HC130"/>
      <c r="HD130"/>
      <c r="HE130"/>
      <c r="HF130"/>
      <c r="HG130"/>
      <c r="HH130"/>
      <c r="HI130"/>
      <c r="HJ130"/>
      <c r="HK130"/>
      <c r="HL130"/>
      <c r="HM130"/>
      <c r="HN130"/>
      <c r="HO130"/>
      <c r="HP130"/>
      <c r="HQ130"/>
      <c r="HR130"/>
      <c r="HS130"/>
      <c r="HT130"/>
      <c r="HU130"/>
      <c r="HV130"/>
      <c r="HW130"/>
      <c r="HX130"/>
      <c r="HY130"/>
      <c r="HZ130"/>
      <c r="IA130"/>
      <c r="IB130"/>
      <c r="IC130"/>
      <c r="ID130"/>
      <c r="IE130"/>
      <c r="IF130"/>
      <c r="IG130"/>
      <c r="IH130"/>
      <c r="II130"/>
      <c r="IJ130"/>
      <c r="IK130"/>
      <c r="IL130"/>
      <c r="IM130"/>
      <c r="IN130"/>
      <c r="IO130"/>
      <c r="IP130"/>
      <c r="IQ130"/>
      <c r="IR130"/>
      <c r="IS130"/>
      <c r="IT130"/>
      <c r="IU130"/>
      <c r="IV130"/>
      <c r="IW130"/>
      <c r="IX130"/>
      <c r="IY130"/>
      <c r="IZ130"/>
      <c r="JA130"/>
      <c r="JB130"/>
      <c r="JC130"/>
      <c r="JD130"/>
      <c r="JE130"/>
      <c r="JF130"/>
      <c r="JG130"/>
      <c r="JH130"/>
      <c r="JI130"/>
      <c r="JJ130"/>
      <c r="JK130"/>
      <c r="JL130"/>
      <c r="JM130"/>
      <c r="JN130"/>
      <c r="JO130"/>
      <c r="JP130"/>
      <c r="JQ130"/>
      <c r="JR130"/>
      <c r="JS130"/>
      <c r="JT130"/>
      <c r="JU130"/>
      <c r="JV130"/>
      <c r="JW130"/>
      <c r="JX130"/>
      <c r="JY130"/>
      <c r="JZ130"/>
      <c r="KA130"/>
      <c r="KB130"/>
      <c r="KC130"/>
      <c r="KD130"/>
      <c r="KE130"/>
      <c r="KF130"/>
      <c r="KG130"/>
      <c r="KH130"/>
      <c r="KI130"/>
    </row>
    <row r="131" spans="1:295" ht="20" customHeight="1" x14ac:dyDescent="0.15">
      <c r="A131" s="12"/>
      <c r="B131" s="13" t="s">
        <v>13</v>
      </c>
      <c r="C131" s="14" t="s">
        <v>43</v>
      </c>
      <c r="D131" s="15" t="s">
        <v>89</v>
      </c>
      <c r="E131" s="15" t="s">
        <v>102</v>
      </c>
      <c r="F131" s="16">
        <v>374</v>
      </c>
      <c r="G131" s="19">
        <v>37904.800000000003</v>
      </c>
      <c r="H131" s="17">
        <v>8329.34</v>
      </c>
      <c r="I131" s="19">
        <v>14176395.199999999</v>
      </c>
      <c r="J131" s="15" t="s">
        <v>30</v>
      </c>
      <c r="K131" s="15" t="s">
        <v>18</v>
      </c>
      <c r="L131" s="9">
        <f>YEAR(E131)</f>
        <v>2023</v>
      </c>
      <c r="M131" s="11">
        <f t="shared" si="3"/>
        <v>3115173.16</v>
      </c>
      <c r="U131" s="63">
        <v>2021</v>
      </c>
      <c r="V131" s="43">
        <v>10843274.199999999</v>
      </c>
      <c r="W131" s="44">
        <v>694</v>
      </c>
      <c r="X131" s="44">
        <v>37633766.759999998</v>
      </c>
      <c r="Y131" s="61">
        <v>10843274.199999999</v>
      </c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/>
      <c r="AY131"/>
      <c r="AZ131"/>
      <c r="BA131"/>
      <c r="BB131"/>
      <c r="BC131"/>
      <c r="BD131"/>
      <c r="BE131"/>
      <c r="BF131"/>
      <c r="BG131"/>
      <c r="BH131"/>
      <c r="BI131"/>
      <c r="BJ131"/>
      <c r="BK131"/>
      <c r="BL131"/>
      <c r="BM131"/>
      <c r="BN131"/>
      <c r="BO131"/>
      <c r="BP131"/>
      <c r="BQ131"/>
      <c r="BR131"/>
      <c r="BS131"/>
      <c r="BT131"/>
      <c r="BU131"/>
      <c r="BV131"/>
      <c r="BW131"/>
      <c r="BX131"/>
      <c r="BY131"/>
      <c r="BZ131"/>
      <c r="CA131"/>
      <c r="CB131"/>
      <c r="CC131"/>
      <c r="CD131"/>
      <c r="CE131"/>
      <c r="CF131"/>
      <c r="CG131"/>
      <c r="CH131"/>
      <c r="CI131"/>
      <c r="CJ131"/>
      <c r="CK131"/>
      <c r="CL131"/>
      <c r="CM131"/>
      <c r="CN131"/>
      <c r="CO131"/>
      <c r="CP131"/>
      <c r="CQ131"/>
      <c r="CR131"/>
      <c r="CS131"/>
      <c r="CT131"/>
      <c r="CU131"/>
      <c r="CV131"/>
      <c r="CW131"/>
      <c r="CX131"/>
      <c r="CY131"/>
      <c r="CZ131"/>
      <c r="DA131"/>
      <c r="DB131"/>
      <c r="DC131"/>
      <c r="DD131"/>
      <c r="DE131"/>
      <c r="DF131"/>
      <c r="DG131"/>
      <c r="DH131"/>
      <c r="DI131"/>
      <c r="DJ131"/>
      <c r="DK131"/>
      <c r="DL131"/>
      <c r="DM131"/>
      <c r="DN131"/>
      <c r="DO131"/>
      <c r="DP131"/>
      <c r="DQ131"/>
      <c r="DR131"/>
      <c r="DS131"/>
      <c r="DT131"/>
      <c r="DU131"/>
      <c r="DV131"/>
      <c r="DW131"/>
      <c r="DX131"/>
      <c r="DY131"/>
      <c r="DZ131"/>
      <c r="EA131"/>
      <c r="EB131"/>
      <c r="EC131"/>
      <c r="ED131"/>
      <c r="EE131"/>
      <c r="EF131"/>
      <c r="EG131"/>
      <c r="EH131"/>
      <c r="EI131"/>
      <c r="EJ131"/>
      <c r="EK131"/>
      <c r="EL131"/>
      <c r="EM131"/>
      <c r="EN131"/>
      <c r="EO131"/>
      <c r="EP131"/>
      <c r="EQ131"/>
      <c r="ER131"/>
      <c r="ES131"/>
      <c r="ET131"/>
      <c r="EU131"/>
      <c r="EV131"/>
      <c r="EW131"/>
      <c r="EX131"/>
      <c r="EY131"/>
      <c r="EZ131"/>
      <c r="FA131"/>
      <c r="FB131"/>
      <c r="FC131"/>
      <c r="FD131"/>
      <c r="FE131"/>
      <c r="FF131"/>
      <c r="FG131"/>
      <c r="FH131"/>
      <c r="FI131"/>
      <c r="FJ131"/>
      <c r="FK131"/>
      <c r="FL131"/>
      <c r="FM131"/>
      <c r="FN131"/>
      <c r="FO131"/>
      <c r="FP131"/>
      <c r="FQ131"/>
      <c r="FR131"/>
      <c r="FS131"/>
      <c r="FT131"/>
      <c r="FU131"/>
      <c r="FV131"/>
      <c r="FW131"/>
      <c r="FX131"/>
      <c r="FY131"/>
      <c r="FZ131"/>
      <c r="GA131"/>
      <c r="GB131"/>
      <c r="GC131"/>
      <c r="GD131"/>
      <c r="GE131"/>
      <c r="GF131"/>
      <c r="GG131"/>
      <c r="GH131"/>
      <c r="GI131"/>
      <c r="GJ131"/>
      <c r="GK131"/>
      <c r="GL131"/>
      <c r="GM131"/>
      <c r="GN131"/>
      <c r="GO131"/>
      <c r="GP131"/>
      <c r="GQ131"/>
      <c r="GR131"/>
      <c r="GS131"/>
      <c r="GT131"/>
      <c r="GU131"/>
      <c r="GV131"/>
      <c r="GW131"/>
      <c r="GX131"/>
      <c r="GY131"/>
      <c r="GZ131"/>
      <c r="HA131"/>
      <c r="HB131"/>
      <c r="HC131"/>
      <c r="HD131"/>
      <c r="HE131"/>
      <c r="HF131"/>
      <c r="HG131"/>
      <c r="HH131"/>
      <c r="HI131"/>
      <c r="HJ131"/>
      <c r="HK131"/>
      <c r="HL131"/>
      <c r="HM131"/>
      <c r="HN131"/>
      <c r="HO131"/>
      <c r="HP131"/>
      <c r="HQ131"/>
      <c r="HR131"/>
      <c r="HS131"/>
      <c r="HT131"/>
      <c r="HU131"/>
      <c r="HV131"/>
      <c r="HW131"/>
      <c r="HX131"/>
      <c r="HY131"/>
      <c r="HZ131"/>
      <c r="IA131"/>
      <c r="IB131"/>
      <c r="IC131"/>
      <c r="ID131"/>
      <c r="IE131"/>
      <c r="IF131"/>
      <c r="IG131"/>
      <c r="IH131"/>
      <c r="II131"/>
      <c r="IJ131"/>
      <c r="IK131"/>
      <c r="IL131"/>
      <c r="IM131"/>
      <c r="IN131"/>
      <c r="IO131"/>
      <c r="IP131"/>
      <c r="IQ131"/>
      <c r="IR131"/>
      <c r="IS131"/>
      <c r="IT131"/>
      <c r="IU131"/>
      <c r="IV131"/>
      <c r="IW131"/>
      <c r="IX131"/>
      <c r="IY131"/>
      <c r="IZ131"/>
      <c r="JA131"/>
      <c r="JB131"/>
      <c r="JC131"/>
      <c r="JD131"/>
      <c r="JE131"/>
      <c r="JF131"/>
      <c r="JG131"/>
      <c r="JH131"/>
      <c r="JI131"/>
      <c r="JJ131"/>
      <c r="JK131"/>
      <c r="JL131"/>
      <c r="JM131"/>
      <c r="JN131"/>
      <c r="JO131"/>
      <c r="JP131"/>
      <c r="JQ131"/>
      <c r="JR131"/>
      <c r="JS131"/>
      <c r="JT131"/>
      <c r="JU131"/>
      <c r="JV131"/>
      <c r="JW131"/>
      <c r="JX131"/>
      <c r="JY131"/>
      <c r="JZ131"/>
      <c r="KA131"/>
      <c r="KB131"/>
      <c r="KC131"/>
      <c r="KD131"/>
      <c r="KE131"/>
      <c r="KF131"/>
      <c r="KG131"/>
      <c r="KH131"/>
      <c r="KI131"/>
    </row>
    <row r="132" spans="1:295" ht="20" customHeight="1" x14ac:dyDescent="0.15">
      <c r="A132" s="12"/>
      <c r="B132" s="13" t="s">
        <v>13</v>
      </c>
      <c r="C132" s="14" t="s">
        <v>25</v>
      </c>
      <c r="D132" s="15" t="s">
        <v>107</v>
      </c>
      <c r="E132" s="15" t="s">
        <v>118</v>
      </c>
      <c r="F132" s="16">
        <v>287</v>
      </c>
      <c r="G132" s="17">
        <v>16862.169999999998</v>
      </c>
      <c r="H132" s="17">
        <v>4233.25</v>
      </c>
      <c r="I132" s="17">
        <v>4839442.79</v>
      </c>
      <c r="J132" s="15" t="s">
        <v>22</v>
      </c>
      <c r="K132" s="15" t="s">
        <v>18</v>
      </c>
      <c r="L132" s="9">
        <f>YEAR(E132)</f>
        <v>2023</v>
      </c>
      <c r="M132" s="11">
        <f t="shared" si="3"/>
        <v>1214942.75</v>
      </c>
      <c r="U132" s="63">
        <v>2023</v>
      </c>
      <c r="V132" s="43">
        <v>15908937.57</v>
      </c>
      <c r="W132" s="44">
        <v>665</v>
      </c>
      <c r="X132" s="44">
        <v>112576576.92000002</v>
      </c>
      <c r="Y132" s="61">
        <v>15908937.57</v>
      </c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/>
      <c r="AY132"/>
      <c r="AZ132"/>
      <c r="BA132"/>
      <c r="BB132"/>
      <c r="BC132"/>
      <c r="BD132"/>
      <c r="BE132"/>
      <c r="BF132"/>
      <c r="BG132"/>
      <c r="BH132"/>
      <c r="BI132"/>
      <c r="BJ132"/>
      <c r="BK132"/>
      <c r="BL132"/>
      <c r="BM132"/>
      <c r="BN132"/>
      <c r="BO132"/>
      <c r="BP132"/>
      <c r="BQ132"/>
      <c r="BR132"/>
      <c r="BS132"/>
      <c r="BT132"/>
      <c r="BU132"/>
      <c r="BV132"/>
      <c r="BW132"/>
      <c r="BX132"/>
      <c r="BY132"/>
      <c r="BZ132"/>
      <c r="CA132"/>
      <c r="CB132"/>
      <c r="CC132"/>
      <c r="CD132"/>
      <c r="CE132"/>
      <c r="CF132"/>
      <c r="CG132"/>
      <c r="CH132"/>
      <c r="CI132"/>
      <c r="CJ132"/>
      <c r="CK132"/>
      <c r="CL132"/>
      <c r="CM132"/>
      <c r="CN132"/>
      <c r="CO132"/>
      <c r="CP132"/>
      <c r="CQ132"/>
      <c r="CR132"/>
      <c r="CS132"/>
      <c r="CT132"/>
      <c r="CU132"/>
      <c r="CV132"/>
      <c r="CW132"/>
      <c r="CX132"/>
      <c r="CY132"/>
      <c r="CZ132"/>
      <c r="DA132"/>
      <c r="DB132"/>
      <c r="DC132"/>
      <c r="DD132"/>
      <c r="DE132"/>
      <c r="DF132"/>
      <c r="DG132"/>
      <c r="DH132"/>
      <c r="DI132"/>
      <c r="DJ132"/>
      <c r="DK132"/>
      <c r="DL132"/>
      <c r="DM132"/>
      <c r="DN132"/>
      <c r="DO132"/>
      <c r="DP132"/>
      <c r="DQ132"/>
      <c r="DR132"/>
      <c r="DS132"/>
      <c r="DT132"/>
      <c r="DU132"/>
      <c r="DV132"/>
      <c r="DW132"/>
      <c r="DX132"/>
      <c r="DY132"/>
      <c r="DZ132"/>
      <c r="EA132"/>
      <c r="EB132"/>
      <c r="EC132"/>
      <c r="ED132"/>
      <c r="EE132"/>
      <c r="EF132"/>
      <c r="EG132"/>
      <c r="EH132"/>
      <c r="EI132"/>
      <c r="EJ132"/>
      <c r="EK132"/>
      <c r="EL132"/>
      <c r="EM132"/>
      <c r="EN132"/>
      <c r="EO132"/>
      <c r="EP132"/>
      <c r="EQ132"/>
      <c r="ER132"/>
      <c r="ES132"/>
      <c r="ET132"/>
      <c r="EU132"/>
      <c r="EV132"/>
      <c r="EW132"/>
      <c r="EX132"/>
      <c r="EY132"/>
      <c r="EZ132"/>
      <c r="FA132"/>
      <c r="FB132"/>
      <c r="FC132"/>
      <c r="FD132"/>
      <c r="FE132"/>
      <c r="FF132"/>
      <c r="FG132"/>
      <c r="FH132"/>
      <c r="FI132"/>
      <c r="FJ132"/>
      <c r="FK132"/>
      <c r="FL132"/>
      <c r="FM132"/>
      <c r="FN132"/>
      <c r="FO132"/>
      <c r="FP132"/>
      <c r="FQ132"/>
      <c r="FR132"/>
      <c r="FS132"/>
      <c r="FT132"/>
      <c r="FU132"/>
      <c r="FV132"/>
      <c r="FW132"/>
      <c r="FX132"/>
      <c r="FY132"/>
      <c r="FZ132"/>
      <c r="GA132"/>
      <c r="GB132"/>
      <c r="GC132"/>
      <c r="GD132"/>
      <c r="GE132"/>
      <c r="GF132"/>
      <c r="GG132"/>
      <c r="GH132"/>
      <c r="GI132"/>
      <c r="GJ132"/>
      <c r="GK132"/>
      <c r="GL132"/>
      <c r="GM132"/>
      <c r="GN132"/>
      <c r="GO132"/>
      <c r="GP132"/>
      <c r="GQ132"/>
      <c r="GR132"/>
      <c r="GS132"/>
      <c r="GT132"/>
      <c r="GU132"/>
      <c r="GV132"/>
      <c r="GW132"/>
      <c r="GX132"/>
      <c r="GY132"/>
      <c r="GZ132"/>
      <c r="HA132"/>
      <c r="HB132"/>
      <c r="HC132"/>
      <c r="HD132"/>
      <c r="HE132"/>
      <c r="HF132"/>
      <c r="HG132"/>
      <c r="HH132"/>
      <c r="HI132"/>
      <c r="HJ132"/>
      <c r="HK132"/>
      <c r="HL132"/>
      <c r="HM132"/>
      <c r="HN132"/>
      <c r="HO132"/>
      <c r="HP132"/>
      <c r="HQ132"/>
      <c r="HR132"/>
      <c r="HS132"/>
      <c r="HT132"/>
      <c r="HU132"/>
      <c r="HV132"/>
      <c r="HW132"/>
      <c r="HX132"/>
      <c r="HY132"/>
      <c r="HZ132"/>
      <c r="IA132"/>
      <c r="IB132"/>
      <c r="IC132"/>
      <c r="ID132"/>
      <c r="IE132"/>
      <c r="IF132"/>
      <c r="IG132"/>
      <c r="IH132"/>
      <c r="II132"/>
      <c r="IJ132"/>
      <c r="IK132"/>
      <c r="IL132"/>
      <c r="IM132"/>
      <c r="IN132"/>
      <c r="IO132"/>
      <c r="IP132"/>
      <c r="IQ132"/>
      <c r="IR132"/>
      <c r="IS132"/>
      <c r="IT132"/>
      <c r="IU132"/>
      <c r="IV132"/>
      <c r="IW132"/>
      <c r="IX132"/>
      <c r="IY132"/>
      <c r="IZ132"/>
      <c r="JA132"/>
      <c r="JB132"/>
      <c r="JC132"/>
      <c r="JD132"/>
      <c r="JE132"/>
      <c r="JF132"/>
      <c r="JG132"/>
      <c r="JH132"/>
      <c r="JI132"/>
      <c r="JJ132"/>
      <c r="JK132"/>
      <c r="JL132"/>
      <c r="JM132"/>
      <c r="JN132"/>
      <c r="JO132"/>
      <c r="JP132"/>
      <c r="JQ132"/>
      <c r="JR132"/>
      <c r="JS132"/>
      <c r="JT132"/>
      <c r="JU132"/>
      <c r="JV132"/>
      <c r="JW132"/>
      <c r="JX132"/>
      <c r="JY132"/>
      <c r="JZ132"/>
      <c r="KA132"/>
      <c r="KB132"/>
      <c r="KC132"/>
      <c r="KD132"/>
      <c r="KE132"/>
      <c r="KF132"/>
      <c r="KG132"/>
      <c r="KH132"/>
      <c r="KI132"/>
    </row>
    <row r="133" spans="1:295" ht="20" customHeight="1" x14ac:dyDescent="0.15">
      <c r="A133" s="12"/>
      <c r="B133" s="13" t="s">
        <v>13</v>
      </c>
      <c r="C133" s="14" t="s">
        <v>31</v>
      </c>
      <c r="D133" s="15" t="s">
        <v>68</v>
      </c>
      <c r="E133" s="15" t="s">
        <v>123</v>
      </c>
      <c r="F133" s="16">
        <v>608</v>
      </c>
      <c r="G133" s="17">
        <v>26360.69</v>
      </c>
      <c r="H133" s="17">
        <v>9315.67</v>
      </c>
      <c r="I133" s="17">
        <v>16027299.52</v>
      </c>
      <c r="J133" s="15" t="s">
        <v>17</v>
      </c>
      <c r="K133" s="15" t="s">
        <v>18</v>
      </c>
      <c r="L133" s="9">
        <f>YEAR(E133)</f>
        <v>2023</v>
      </c>
      <c r="M133" s="11">
        <f t="shared" ref="M133:M196" si="4">H133*F133</f>
        <v>5663927.3600000003</v>
      </c>
      <c r="U133" s="42" t="s">
        <v>68</v>
      </c>
      <c r="V133" s="43">
        <v>75552737.450000003</v>
      </c>
      <c r="W133" s="44">
        <v>623.33333333333337</v>
      </c>
      <c r="X133" s="44">
        <v>397164699.23000002</v>
      </c>
      <c r="Y133" s="61">
        <v>75552737.450000003</v>
      </c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/>
      <c r="BD133"/>
      <c r="BE133"/>
      <c r="BF133"/>
      <c r="BG133"/>
      <c r="BH133"/>
      <c r="BI133"/>
      <c r="BJ133"/>
      <c r="BK133"/>
      <c r="BL133"/>
      <c r="BM133"/>
      <c r="BN133"/>
      <c r="BO133"/>
      <c r="BP133"/>
      <c r="BQ133"/>
      <c r="BR133"/>
      <c r="BS133"/>
      <c r="BT133"/>
      <c r="BU133"/>
      <c r="BV133"/>
      <c r="BW133"/>
      <c r="BX133"/>
      <c r="BY133"/>
      <c r="BZ133"/>
      <c r="CA133"/>
      <c r="CB133"/>
      <c r="CC133"/>
      <c r="CD133"/>
      <c r="CE133"/>
      <c r="CF133"/>
      <c r="CG133"/>
      <c r="CH133"/>
      <c r="CI133"/>
      <c r="CJ133"/>
      <c r="CK133"/>
      <c r="CL133"/>
      <c r="CM133"/>
      <c r="CN133"/>
      <c r="CO133"/>
      <c r="CP133"/>
      <c r="CQ133"/>
      <c r="CR133"/>
      <c r="CS133"/>
      <c r="CT133"/>
      <c r="CU133"/>
      <c r="CV133"/>
      <c r="CW133"/>
      <c r="CX133"/>
      <c r="CY133"/>
      <c r="CZ133"/>
      <c r="DA133"/>
      <c r="DB133"/>
      <c r="DC133"/>
      <c r="DD133"/>
      <c r="DE133"/>
      <c r="DF133"/>
      <c r="DG133"/>
      <c r="DH133"/>
      <c r="DI133"/>
      <c r="DJ133"/>
      <c r="DK133"/>
      <c r="DL133"/>
      <c r="DM133"/>
      <c r="DN133"/>
      <c r="DO133"/>
      <c r="DP133"/>
      <c r="DQ133"/>
      <c r="DR133"/>
      <c r="DS133"/>
      <c r="DT133"/>
      <c r="DU133"/>
      <c r="DV133"/>
      <c r="DW133"/>
      <c r="DX133"/>
      <c r="DY133"/>
      <c r="DZ133"/>
      <c r="EA133"/>
      <c r="EB133"/>
      <c r="EC133"/>
      <c r="ED133"/>
      <c r="EE133"/>
      <c r="EF133"/>
      <c r="EG133"/>
      <c r="EH133"/>
      <c r="EI133"/>
      <c r="EJ133"/>
      <c r="EK133"/>
      <c r="EL133"/>
      <c r="EM133"/>
      <c r="EN133"/>
      <c r="EO133"/>
      <c r="EP133"/>
      <c r="EQ133"/>
      <c r="ER133"/>
      <c r="ES133"/>
      <c r="ET133"/>
      <c r="EU133"/>
      <c r="EV133"/>
      <c r="EW133"/>
      <c r="EX133"/>
      <c r="EY133"/>
      <c r="EZ133"/>
      <c r="FA133"/>
      <c r="FB133"/>
      <c r="FC133"/>
      <c r="FD133"/>
      <c r="FE133"/>
      <c r="FF133"/>
      <c r="FG133"/>
      <c r="FH133"/>
      <c r="FI133"/>
      <c r="FJ133"/>
      <c r="FK133"/>
      <c r="FL133"/>
      <c r="FM133"/>
      <c r="FN133"/>
      <c r="FO133"/>
      <c r="FP133"/>
      <c r="FQ133"/>
      <c r="FR133"/>
      <c r="FS133"/>
      <c r="FT133"/>
      <c r="FU133"/>
      <c r="FV133"/>
      <c r="FW133"/>
      <c r="FX133"/>
      <c r="FY133"/>
      <c r="FZ133"/>
      <c r="GA133"/>
      <c r="GB133"/>
      <c r="GC133"/>
      <c r="GD133"/>
      <c r="GE133"/>
      <c r="GF133"/>
      <c r="GG133"/>
      <c r="GH133"/>
      <c r="GI133"/>
      <c r="GJ133"/>
      <c r="GK133"/>
      <c r="GL133"/>
      <c r="GM133"/>
      <c r="GN133"/>
      <c r="GO133"/>
      <c r="GP133"/>
      <c r="GQ133"/>
      <c r="GR133"/>
      <c r="GS133"/>
      <c r="GT133"/>
      <c r="GU133"/>
      <c r="GV133"/>
      <c r="GW133"/>
      <c r="GX133"/>
      <c r="GY133"/>
      <c r="GZ133"/>
      <c r="HA133"/>
      <c r="HB133"/>
      <c r="HC133"/>
      <c r="HD133"/>
      <c r="HE133"/>
      <c r="HF133"/>
      <c r="HG133"/>
      <c r="HH133"/>
      <c r="HI133"/>
      <c r="HJ133"/>
      <c r="HK133"/>
      <c r="HL133"/>
      <c r="HM133"/>
      <c r="HN133"/>
      <c r="HO133"/>
      <c r="HP133"/>
      <c r="HQ133"/>
      <c r="HR133"/>
      <c r="HS133"/>
      <c r="HT133"/>
      <c r="HU133"/>
      <c r="HV133"/>
      <c r="HW133"/>
      <c r="HX133"/>
      <c r="HY133"/>
      <c r="HZ133"/>
      <c r="IA133"/>
      <c r="IB133"/>
      <c r="IC133"/>
      <c r="ID133"/>
      <c r="IE133"/>
      <c r="IF133"/>
      <c r="IG133"/>
      <c r="IH133"/>
      <c r="II133"/>
      <c r="IJ133"/>
      <c r="IK133"/>
      <c r="IL133"/>
      <c r="IM133"/>
      <c r="IN133"/>
      <c r="IO133"/>
      <c r="IP133"/>
      <c r="IQ133"/>
      <c r="IR133"/>
      <c r="IS133"/>
      <c r="IT133"/>
      <c r="IU133"/>
      <c r="IV133"/>
      <c r="IW133"/>
      <c r="IX133"/>
      <c r="IY133"/>
      <c r="IZ133"/>
      <c r="JA133"/>
      <c r="JB133"/>
      <c r="JC133"/>
      <c r="JD133"/>
      <c r="JE133"/>
      <c r="JF133"/>
      <c r="JG133"/>
      <c r="JH133"/>
      <c r="JI133"/>
      <c r="JJ133"/>
      <c r="JK133"/>
      <c r="JL133"/>
      <c r="JM133"/>
      <c r="JN133"/>
      <c r="JO133"/>
      <c r="JP133"/>
      <c r="JQ133"/>
      <c r="JR133"/>
      <c r="JS133"/>
      <c r="JT133"/>
      <c r="JU133"/>
      <c r="JV133"/>
      <c r="JW133"/>
      <c r="JX133"/>
      <c r="JY133"/>
      <c r="JZ133"/>
      <c r="KA133"/>
      <c r="KB133"/>
      <c r="KC133"/>
      <c r="KD133"/>
      <c r="KE133"/>
      <c r="KF133"/>
      <c r="KG133"/>
      <c r="KH133"/>
      <c r="KI133"/>
    </row>
    <row r="134" spans="1:295" ht="20" customHeight="1" x14ac:dyDescent="0.15">
      <c r="A134" s="12"/>
      <c r="B134" s="13" t="s">
        <v>13</v>
      </c>
      <c r="C134" s="14" t="s">
        <v>31</v>
      </c>
      <c r="D134" s="15" t="s">
        <v>68</v>
      </c>
      <c r="E134" s="15" t="s">
        <v>132</v>
      </c>
      <c r="F134" s="16">
        <v>409</v>
      </c>
      <c r="G134" s="17">
        <v>48643.45</v>
      </c>
      <c r="H134" s="17">
        <v>3745.48</v>
      </c>
      <c r="I134" s="17">
        <v>19895171.050000001</v>
      </c>
      <c r="J134" s="15" t="s">
        <v>17</v>
      </c>
      <c r="K134" s="15" t="s">
        <v>18</v>
      </c>
      <c r="L134" s="9">
        <f>YEAR(E134)</f>
        <v>2023</v>
      </c>
      <c r="M134" s="11">
        <f t="shared" si="4"/>
        <v>1531901.32</v>
      </c>
      <c r="U134" s="63">
        <v>2020</v>
      </c>
      <c r="V134" s="43">
        <v>829074.12000000011</v>
      </c>
      <c r="W134" s="44">
        <v>181</v>
      </c>
      <c r="X134" s="44">
        <v>7719622.8499999996</v>
      </c>
      <c r="Y134" s="61">
        <v>829074.12000000011</v>
      </c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/>
      <c r="BA134"/>
      <c r="BB134"/>
      <c r="BC134"/>
      <c r="BD134"/>
      <c r="BE134"/>
      <c r="BF134"/>
      <c r="BG134"/>
      <c r="BH134"/>
      <c r="BI134"/>
      <c r="BJ134"/>
      <c r="BK134"/>
      <c r="BL134"/>
      <c r="BM134"/>
      <c r="BN134"/>
      <c r="BO134"/>
      <c r="BP134"/>
      <c r="BQ134"/>
      <c r="BR134"/>
      <c r="BS134"/>
      <c r="BT134"/>
      <c r="BU134"/>
      <c r="BV134"/>
      <c r="BW134"/>
      <c r="BX134"/>
      <c r="BY134"/>
      <c r="BZ134"/>
      <c r="CA134"/>
      <c r="CB134"/>
      <c r="CC134"/>
      <c r="CD134"/>
      <c r="CE134"/>
      <c r="CF134"/>
      <c r="CG134"/>
      <c r="CH134"/>
      <c r="CI134"/>
      <c r="CJ134"/>
      <c r="CK134"/>
      <c r="CL134"/>
      <c r="CM134"/>
      <c r="CN134"/>
      <c r="CO134"/>
      <c r="CP134"/>
      <c r="CQ134"/>
      <c r="CR134"/>
      <c r="CS134"/>
      <c r="CT134"/>
      <c r="CU134"/>
      <c r="CV134"/>
      <c r="CW134"/>
      <c r="CX134"/>
      <c r="CY134"/>
      <c r="CZ134"/>
      <c r="DA134"/>
      <c r="DB134"/>
      <c r="DC134"/>
      <c r="DD134"/>
      <c r="DE134"/>
      <c r="DF134"/>
      <c r="DG134"/>
      <c r="DH134"/>
      <c r="DI134"/>
      <c r="DJ134"/>
      <c r="DK134"/>
      <c r="DL134"/>
      <c r="DM134"/>
      <c r="DN134"/>
      <c r="DO134"/>
      <c r="DP134"/>
      <c r="DQ134"/>
      <c r="DR134"/>
      <c r="DS134"/>
      <c r="DT134"/>
      <c r="DU134"/>
      <c r="DV134"/>
      <c r="DW134"/>
      <c r="DX134"/>
      <c r="DY134"/>
      <c r="DZ134"/>
      <c r="EA134"/>
      <c r="EB134"/>
      <c r="EC134"/>
      <c r="ED134"/>
      <c r="EE134"/>
      <c r="EF134"/>
      <c r="EG134"/>
      <c r="EH134"/>
      <c r="EI134"/>
      <c r="EJ134"/>
      <c r="EK134"/>
      <c r="EL134"/>
      <c r="EM134"/>
      <c r="EN134"/>
      <c r="EO134"/>
      <c r="EP134"/>
      <c r="EQ134"/>
      <c r="ER134"/>
      <c r="ES134"/>
      <c r="ET134"/>
      <c r="EU134"/>
      <c r="EV134"/>
      <c r="EW134"/>
      <c r="EX134"/>
      <c r="EY134"/>
      <c r="EZ134"/>
      <c r="FA134"/>
      <c r="FB134"/>
      <c r="FC134"/>
      <c r="FD134"/>
      <c r="FE134"/>
      <c r="FF134"/>
      <c r="FG134"/>
      <c r="FH134"/>
      <c r="FI134"/>
      <c r="FJ134"/>
      <c r="FK134"/>
      <c r="FL134"/>
      <c r="FM134"/>
      <c r="FN134"/>
      <c r="FO134"/>
      <c r="FP134"/>
      <c r="FQ134"/>
      <c r="FR134"/>
      <c r="FS134"/>
      <c r="FT134"/>
      <c r="FU134"/>
      <c r="FV134"/>
      <c r="FW134"/>
      <c r="FX134"/>
      <c r="FY134"/>
      <c r="FZ134"/>
      <c r="GA134"/>
      <c r="GB134"/>
      <c r="GC134"/>
      <c r="GD134"/>
      <c r="GE134"/>
      <c r="GF134"/>
      <c r="GG134"/>
      <c r="GH134"/>
      <c r="GI134"/>
      <c r="GJ134"/>
      <c r="GK134"/>
      <c r="GL134"/>
      <c r="GM134"/>
      <c r="GN134"/>
      <c r="GO134"/>
      <c r="GP134"/>
      <c r="GQ134"/>
      <c r="GR134"/>
      <c r="GS134"/>
      <c r="GT134"/>
      <c r="GU134"/>
      <c r="GV134"/>
      <c r="GW134"/>
      <c r="GX134"/>
      <c r="GY134"/>
      <c r="GZ134"/>
      <c r="HA134"/>
      <c r="HB134"/>
      <c r="HC134"/>
      <c r="HD134"/>
      <c r="HE134"/>
      <c r="HF134"/>
      <c r="HG134"/>
      <c r="HH134"/>
      <c r="HI134"/>
      <c r="HJ134"/>
      <c r="HK134"/>
      <c r="HL134"/>
      <c r="HM134"/>
      <c r="HN134"/>
      <c r="HO134"/>
      <c r="HP134"/>
      <c r="HQ134"/>
      <c r="HR134"/>
      <c r="HS134"/>
      <c r="HT134"/>
      <c r="HU134"/>
      <c r="HV134"/>
      <c r="HW134"/>
      <c r="HX134"/>
      <c r="HY134"/>
      <c r="HZ134"/>
      <c r="IA134"/>
      <c r="IB134"/>
      <c r="IC134"/>
      <c r="ID134"/>
      <c r="IE134"/>
      <c r="IF134"/>
      <c r="IG134"/>
      <c r="IH134"/>
      <c r="II134"/>
      <c r="IJ134"/>
      <c r="IK134"/>
      <c r="IL134"/>
      <c r="IM134"/>
      <c r="IN134"/>
      <c r="IO134"/>
      <c r="IP134"/>
      <c r="IQ134"/>
      <c r="IR134"/>
      <c r="IS134"/>
      <c r="IT134"/>
      <c r="IU134"/>
      <c r="IV134"/>
      <c r="IW134"/>
      <c r="IX134"/>
      <c r="IY134"/>
      <c r="IZ134"/>
      <c r="JA134"/>
      <c r="JB134"/>
      <c r="JC134"/>
      <c r="JD134"/>
      <c r="JE134"/>
      <c r="JF134"/>
      <c r="JG134"/>
      <c r="JH134"/>
      <c r="JI134"/>
      <c r="JJ134"/>
      <c r="JK134"/>
      <c r="JL134"/>
      <c r="JM134"/>
      <c r="JN134"/>
      <c r="JO134"/>
      <c r="JP134"/>
      <c r="JQ134"/>
      <c r="JR134"/>
      <c r="JS134"/>
      <c r="JT134"/>
      <c r="JU134"/>
      <c r="JV134"/>
      <c r="JW134"/>
      <c r="JX134"/>
      <c r="JY134"/>
      <c r="JZ134"/>
      <c r="KA134"/>
      <c r="KB134"/>
      <c r="KC134"/>
      <c r="KD134"/>
      <c r="KE134"/>
      <c r="KF134"/>
      <c r="KG134"/>
      <c r="KH134"/>
      <c r="KI134"/>
    </row>
    <row r="135" spans="1:295" ht="20" customHeight="1" x14ac:dyDescent="0.15">
      <c r="A135" s="12"/>
      <c r="B135" s="13" t="s">
        <v>13</v>
      </c>
      <c r="C135" s="14" t="s">
        <v>23</v>
      </c>
      <c r="D135" s="15" t="s">
        <v>139</v>
      </c>
      <c r="E135" s="15" t="s">
        <v>142</v>
      </c>
      <c r="F135" s="16">
        <v>490</v>
      </c>
      <c r="G135" s="17">
        <v>23893.95</v>
      </c>
      <c r="H135" s="17">
        <v>5788.54</v>
      </c>
      <c r="I135" s="19">
        <v>11708035.5</v>
      </c>
      <c r="J135" s="15" t="s">
        <v>30</v>
      </c>
      <c r="K135" s="15" t="s">
        <v>18</v>
      </c>
      <c r="L135" s="9">
        <f>YEAR(E135)</f>
        <v>2023</v>
      </c>
      <c r="M135" s="11">
        <f t="shared" si="4"/>
        <v>2836384.6</v>
      </c>
      <c r="U135" s="63">
        <v>2021</v>
      </c>
      <c r="V135" s="43">
        <v>25462931.870000001</v>
      </c>
      <c r="W135" s="44">
        <v>571</v>
      </c>
      <c r="X135" s="44">
        <v>151620954.56999999</v>
      </c>
      <c r="Y135" s="61">
        <v>25462931.870000001</v>
      </c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/>
      <c r="BC135"/>
      <c r="BD135"/>
      <c r="BE135"/>
      <c r="BF135"/>
      <c r="BG135"/>
      <c r="BH135"/>
      <c r="BI135"/>
      <c r="BJ135"/>
      <c r="BK135"/>
      <c r="BL135"/>
      <c r="BM135"/>
      <c r="BN135"/>
      <c r="BO135"/>
      <c r="BP135"/>
      <c r="BQ135"/>
      <c r="BR135"/>
      <c r="BS135"/>
      <c r="BT135"/>
      <c r="BU135"/>
      <c r="BV135"/>
      <c r="BW135"/>
      <c r="BX135"/>
      <c r="BY135"/>
      <c r="BZ135"/>
      <c r="CA135"/>
      <c r="CB135"/>
      <c r="CC135"/>
      <c r="CD135"/>
      <c r="CE135"/>
      <c r="CF135"/>
      <c r="CG135"/>
      <c r="CH135"/>
      <c r="CI135"/>
      <c r="CJ135"/>
      <c r="CK135"/>
      <c r="CL135"/>
      <c r="CM135"/>
      <c r="CN135"/>
      <c r="CO135"/>
      <c r="CP135"/>
      <c r="CQ135"/>
      <c r="CR135"/>
      <c r="CS135"/>
      <c r="CT135"/>
      <c r="CU135"/>
      <c r="CV135"/>
      <c r="CW135"/>
      <c r="CX135"/>
      <c r="CY135"/>
      <c r="CZ135"/>
      <c r="DA135"/>
      <c r="DB135"/>
      <c r="DC135"/>
      <c r="DD135"/>
      <c r="DE135"/>
      <c r="DF135"/>
      <c r="DG135"/>
      <c r="DH135"/>
      <c r="DI135"/>
      <c r="DJ135"/>
      <c r="DK135"/>
      <c r="DL135"/>
      <c r="DM135"/>
      <c r="DN135"/>
      <c r="DO135"/>
      <c r="DP135"/>
      <c r="DQ135"/>
      <c r="DR135"/>
      <c r="DS135"/>
      <c r="DT135"/>
      <c r="DU135"/>
      <c r="DV135"/>
      <c r="DW135"/>
      <c r="DX135"/>
      <c r="DY135"/>
      <c r="DZ135"/>
      <c r="EA135"/>
      <c r="EB135"/>
      <c r="EC135"/>
      <c r="ED135"/>
      <c r="EE135"/>
      <c r="EF135"/>
      <c r="EG135"/>
      <c r="EH135"/>
      <c r="EI135"/>
      <c r="EJ135"/>
      <c r="EK135"/>
      <c r="EL135"/>
      <c r="EM135"/>
      <c r="EN135"/>
      <c r="EO135"/>
      <c r="EP135"/>
      <c r="EQ135"/>
      <c r="ER135"/>
      <c r="ES135"/>
      <c r="ET135"/>
      <c r="EU135"/>
      <c r="EV135"/>
      <c r="EW135"/>
      <c r="EX135"/>
      <c r="EY135"/>
      <c r="EZ135"/>
      <c r="FA135"/>
      <c r="FB135"/>
      <c r="FC135"/>
      <c r="FD135"/>
      <c r="FE135"/>
      <c r="FF135"/>
      <c r="FG135"/>
      <c r="FH135"/>
      <c r="FI135"/>
      <c r="FJ135"/>
      <c r="FK135"/>
      <c r="FL135"/>
      <c r="FM135"/>
      <c r="FN135"/>
      <c r="FO135"/>
      <c r="FP135"/>
      <c r="FQ135"/>
      <c r="FR135"/>
      <c r="FS135"/>
      <c r="FT135"/>
      <c r="FU135"/>
      <c r="FV135"/>
      <c r="FW135"/>
      <c r="FX135"/>
      <c r="FY135"/>
      <c r="FZ135"/>
      <c r="GA135"/>
      <c r="GB135"/>
      <c r="GC135"/>
      <c r="GD135"/>
      <c r="GE135"/>
      <c r="GF135"/>
      <c r="GG135"/>
      <c r="GH135"/>
      <c r="GI135"/>
      <c r="GJ135"/>
      <c r="GK135"/>
      <c r="GL135"/>
      <c r="GM135"/>
      <c r="GN135"/>
      <c r="GO135"/>
      <c r="GP135"/>
      <c r="GQ135"/>
      <c r="GR135"/>
      <c r="GS135"/>
      <c r="GT135"/>
      <c r="GU135"/>
      <c r="GV135"/>
      <c r="GW135"/>
      <c r="GX135"/>
      <c r="GY135"/>
      <c r="GZ135"/>
      <c r="HA135"/>
      <c r="HB135"/>
      <c r="HC135"/>
      <c r="HD135"/>
      <c r="HE135"/>
      <c r="HF135"/>
      <c r="HG135"/>
      <c r="HH135"/>
      <c r="HI135"/>
      <c r="HJ135"/>
      <c r="HK135"/>
      <c r="HL135"/>
      <c r="HM135"/>
      <c r="HN135"/>
      <c r="HO135"/>
      <c r="HP135"/>
      <c r="HQ135"/>
      <c r="HR135"/>
      <c r="HS135"/>
      <c r="HT135"/>
      <c r="HU135"/>
      <c r="HV135"/>
      <c r="HW135"/>
      <c r="HX135"/>
      <c r="HY135"/>
      <c r="HZ135"/>
      <c r="IA135"/>
      <c r="IB135"/>
      <c r="IC135"/>
      <c r="ID135"/>
      <c r="IE135"/>
      <c r="IF135"/>
      <c r="IG135"/>
      <c r="IH135"/>
      <c r="II135"/>
      <c r="IJ135"/>
      <c r="IK135"/>
      <c r="IL135"/>
      <c r="IM135"/>
      <c r="IN135"/>
      <c r="IO135"/>
      <c r="IP135"/>
      <c r="IQ135"/>
      <c r="IR135"/>
      <c r="IS135"/>
      <c r="IT135"/>
      <c r="IU135"/>
      <c r="IV135"/>
      <c r="IW135"/>
      <c r="IX135"/>
      <c r="IY135"/>
      <c r="IZ135"/>
      <c r="JA135"/>
      <c r="JB135"/>
      <c r="JC135"/>
      <c r="JD135"/>
      <c r="JE135"/>
      <c r="JF135"/>
      <c r="JG135"/>
      <c r="JH135"/>
      <c r="JI135"/>
      <c r="JJ135"/>
      <c r="JK135"/>
      <c r="JL135"/>
      <c r="JM135"/>
      <c r="JN135"/>
      <c r="JO135"/>
      <c r="JP135"/>
      <c r="JQ135"/>
      <c r="JR135"/>
      <c r="JS135"/>
      <c r="JT135"/>
      <c r="JU135"/>
      <c r="JV135"/>
      <c r="JW135"/>
      <c r="JX135"/>
      <c r="JY135"/>
      <c r="JZ135"/>
      <c r="KA135"/>
      <c r="KB135"/>
      <c r="KC135"/>
      <c r="KD135"/>
      <c r="KE135"/>
      <c r="KF135"/>
      <c r="KG135"/>
      <c r="KH135"/>
      <c r="KI135"/>
    </row>
    <row r="136" spans="1:295" ht="20" customHeight="1" x14ac:dyDescent="0.15">
      <c r="A136" s="12"/>
      <c r="B136" s="13" t="s">
        <v>13</v>
      </c>
      <c r="C136" s="14" t="s">
        <v>31</v>
      </c>
      <c r="D136" s="15" t="s">
        <v>139</v>
      </c>
      <c r="E136" s="15" t="s">
        <v>144</v>
      </c>
      <c r="F136" s="16">
        <v>413</v>
      </c>
      <c r="G136" s="17">
        <v>13305.43</v>
      </c>
      <c r="H136" s="17">
        <v>7780.18</v>
      </c>
      <c r="I136" s="17">
        <v>5495142.5899999999</v>
      </c>
      <c r="J136" s="15" t="s">
        <v>22</v>
      </c>
      <c r="K136" s="15" t="s">
        <v>18</v>
      </c>
      <c r="L136" s="9">
        <f>YEAR(E136)</f>
        <v>2023</v>
      </c>
      <c r="M136" s="11">
        <f t="shared" si="4"/>
        <v>3213214.3400000003</v>
      </c>
      <c r="U136" s="63">
        <v>2022</v>
      </c>
      <c r="V136" s="43">
        <v>26683025.830000002</v>
      </c>
      <c r="W136" s="44">
        <v>709.66666666666663</v>
      </c>
      <c r="X136" s="44">
        <v>134006282.28999999</v>
      </c>
      <c r="Y136" s="61">
        <v>26683025.830000002</v>
      </c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/>
      <c r="AZ136"/>
      <c r="BA136"/>
      <c r="BB136"/>
      <c r="BC136"/>
      <c r="BD136"/>
      <c r="BE136"/>
      <c r="BF136"/>
      <c r="BG136"/>
      <c r="BH136"/>
      <c r="BI136"/>
      <c r="BJ136"/>
      <c r="BK136"/>
      <c r="BL136"/>
      <c r="BM136"/>
      <c r="BN136"/>
      <c r="BO136"/>
      <c r="BP136"/>
      <c r="BQ136"/>
      <c r="BR136"/>
      <c r="BS136"/>
      <c r="BT136"/>
      <c r="BU136"/>
      <c r="BV136"/>
      <c r="BW136"/>
      <c r="BX136"/>
      <c r="BY136"/>
      <c r="BZ136"/>
      <c r="CA136"/>
      <c r="CB136"/>
      <c r="CC136"/>
      <c r="CD136"/>
      <c r="CE136"/>
      <c r="CF136"/>
      <c r="CG136"/>
      <c r="CH136"/>
      <c r="CI136"/>
      <c r="CJ136"/>
      <c r="CK136"/>
      <c r="CL136"/>
      <c r="CM136"/>
      <c r="CN136"/>
      <c r="CO136"/>
      <c r="CP136"/>
      <c r="CQ136"/>
      <c r="CR136"/>
      <c r="CS136"/>
      <c r="CT136"/>
      <c r="CU136"/>
      <c r="CV136"/>
      <c r="CW136"/>
      <c r="CX136"/>
      <c r="CY136"/>
      <c r="CZ136"/>
      <c r="DA136"/>
      <c r="DB136"/>
      <c r="DC136"/>
      <c r="DD136"/>
      <c r="DE136"/>
      <c r="DF136"/>
      <c r="DG136"/>
      <c r="DH136"/>
      <c r="DI136"/>
      <c r="DJ136"/>
      <c r="DK136"/>
      <c r="DL136"/>
      <c r="DM136"/>
      <c r="DN136"/>
      <c r="DO136"/>
      <c r="DP136"/>
      <c r="DQ136"/>
      <c r="DR136"/>
      <c r="DS136"/>
      <c r="DT136"/>
      <c r="DU136"/>
      <c r="DV136"/>
      <c r="DW136"/>
      <c r="DX136"/>
      <c r="DY136"/>
      <c r="DZ136"/>
      <c r="EA136"/>
      <c r="EB136"/>
      <c r="EC136"/>
      <c r="ED136"/>
      <c r="EE136"/>
      <c r="EF136"/>
      <c r="EG136"/>
      <c r="EH136"/>
      <c r="EI136"/>
      <c r="EJ136"/>
      <c r="EK136"/>
      <c r="EL136"/>
      <c r="EM136"/>
      <c r="EN136"/>
      <c r="EO136"/>
      <c r="EP136"/>
      <c r="EQ136"/>
      <c r="ER136"/>
      <c r="ES136"/>
      <c r="ET136"/>
      <c r="EU136"/>
      <c r="EV136"/>
      <c r="EW136"/>
      <c r="EX136"/>
      <c r="EY136"/>
      <c r="EZ136"/>
      <c r="FA136"/>
      <c r="FB136"/>
      <c r="FC136"/>
      <c r="FD136"/>
      <c r="FE136"/>
      <c r="FF136"/>
      <c r="FG136"/>
      <c r="FH136"/>
      <c r="FI136"/>
      <c r="FJ136"/>
      <c r="FK136"/>
      <c r="FL136"/>
      <c r="FM136"/>
      <c r="FN136"/>
      <c r="FO136"/>
      <c r="FP136"/>
      <c r="FQ136"/>
      <c r="FR136"/>
      <c r="FS136"/>
      <c r="FT136"/>
      <c r="FU136"/>
      <c r="FV136"/>
      <c r="FW136"/>
      <c r="FX136"/>
      <c r="FY136"/>
      <c r="FZ136"/>
      <c r="GA136"/>
      <c r="GB136"/>
      <c r="GC136"/>
      <c r="GD136"/>
      <c r="GE136"/>
      <c r="GF136"/>
      <c r="GG136"/>
      <c r="GH136"/>
      <c r="GI136"/>
      <c r="GJ136"/>
      <c r="GK136"/>
      <c r="GL136"/>
      <c r="GM136"/>
      <c r="GN136"/>
      <c r="GO136"/>
      <c r="GP136"/>
      <c r="GQ136"/>
      <c r="GR136"/>
      <c r="GS136"/>
      <c r="GT136"/>
      <c r="GU136"/>
      <c r="GV136"/>
      <c r="GW136"/>
      <c r="GX136"/>
      <c r="GY136"/>
      <c r="GZ136"/>
      <c r="HA136"/>
      <c r="HB136"/>
      <c r="HC136"/>
      <c r="HD136"/>
      <c r="HE136"/>
      <c r="HF136"/>
      <c r="HG136"/>
      <c r="HH136"/>
      <c r="HI136"/>
      <c r="HJ136"/>
      <c r="HK136"/>
      <c r="HL136"/>
      <c r="HM136"/>
      <c r="HN136"/>
      <c r="HO136"/>
      <c r="HP136"/>
      <c r="HQ136"/>
      <c r="HR136"/>
      <c r="HS136"/>
      <c r="HT136"/>
      <c r="HU136"/>
      <c r="HV136"/>
      <c r="HW136"/>
      <c r="HX136"/>
      <c r="HY136"/>
      <c r="HZ136"/>
      <c r="IA136"/>
      <c r="IB136"/>
      <c r="IC136"/>
      <c r="ID136"/>
      <c r="IE136"/>
      <c r="IF136"/>
      <c r="IG136"/>
      <c r="IH136"/>
      <c r="II136"/>
      <c r="IJ136"/>
      <c r="IK136"/>
      <c r="IL136"/>
      <c r="IM136"/>
      <c r="IN136"/>
      <c r="IO136"/>
      <c r="IP136"/>
      <c r="IQ136"/>
      <c r="IR136"/>
      <c r="IS136"/>
      <c r="IT136"/>
      <c r="IU136"/>
      <c r="IV136"/>
      <c r="IW136"/>
      <c r="IX136"/>
      <c r="IY136"/>
      <c r="IZ136"/>
      <c r="JA136"/>
      <c r="JB136"/>
      <c r="JC136"/>
      <c r="JD136"/>
      <c r="JE136"/>
      <c r="JF136"/>
      <c r="JG136"/>
      <c r="JH136"/>
      <c r="JI136"/>
      <c r="JJ136"/>
      <c r="JK136"/>
      <c r="JL136"/>
      <c r="JM136"/>
      <c r="JN136"/>
      <c r="JO136"/>
      <c r="JP136"/>
      <c r="JQ136"/>
      <c r="JR136"/>
      <c r="JS136"/>
      <c r="JT136"/>
      <c r="JU136"/>
      <c r="JV136"/>
      <c r="JW136"/>
      <c r="JX136"/>
      <c r="JY136"/>
      <c r="JZ136"/>
      <c r="KA136"/>
      <c r="KB136"/>
      <c r="KC136"/>
      <c r="KD136"/>
      <c r="KE136"/>
      <c r="KF136"/>
      <c r="KG136"/>
      <c r="KH136"/>
      <c r="KI136"/>
    </row>
    <row r="137" spans="1:295" ht="20" customHeight="1" x14ac:dyDescent="0.15">
      <c r="A137" s="12"/>
      <c r="B137" s="13" t="s">
        <v>13</v>
      </c>
      <c r="C137" s="14" t="s">
        <v>35</v>
      </c>
      <c r="D137" s="15" t="s">
        <v>139</v>
      </c>
      <c r="E137" s="15" t="s">
        <v>147</v>
      </c>
      <c r="F137" s="16">
        <v>290</v>
      </c>
      <c r="G137" s="17">
        <v>40212.78</v>
      </c>
      <c r="H137" s="17">
        <v>6892.54</v>
      </c>
      <c r="I137" s="19">
        <v>11661706.199999999</v>
      </c>
      <c r="J137" s="15" t="s">
        <v>22</v>
      </c>
      <c r="K137" s="15" t="s">
        <v>18</v>
      </c>
      <c r="L137" s="9">
        <f>YEAR(E137)</f>
        <v>2023</v>
      </c>
      <c r="M137" s="11">
        <f t="shared" si="4"/>
        <v>1998836.6</v>
      </c>
      <c r="U137" s="63">
        <v>2023</v>
      </c>
      <c r="V137" s="43">
        <v>22577705.629999999</v>
      </c>
      <c r="W137" s="44">
        <v>696</v>
      </c>
      <c r="X137" s="44">
        <v>103817839.52000001</v>
      </c>
      <c r="Y137" s="61">
        <v>22577705.629999999</v>
      </c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/>
      <c r="BA137"/>
      <c r="BB137"/>
      <c r="BC137"/>
      <c r="BD137"/>
      <c r="BE137"/>
      <c r="BF137"/>
      <c r="BG137"/>
      <c r="BH137"/>
      <c r="BI137"/>
      <c r="BJ137"/>
      <c r="BK137"/>
      <c r="BL137"/>
      <c r="BM137"/>
      <c r="BN137"/>
      <c r="BO137"/>
      <c r="BP137"/>
      <c r="BQ137"/>
      <c r="BR137"/>
      <c r="BS137"/>
      <c r="BT137"/>
      <c r="BU137"/>
      <c r="BV137"/>
      <c r="BW137"/>
      <c r="BX137"/>
      <c r="BY137"/>
      <c r="BZ137"/>
      <c r="CA137"/>
      <c r="CB137"/>
      <c r="CC137"/>
      <c r="CD137"/>
      <c r="CE137"/>
      <c r="CF137"/>
      <c r="CG137"/>
      <c r="CH137"/>
      <c r="CI137"/>
      <c r="CJ137"/>
      <c r="CK137"/>
      <c r="CL137"/>
      <c r="CM137"/>
      <c r="CN137"/>
      <c r="CO137"/>
      <c r="CP137"/>
      <c r="CQ137"/>
      <c r="CR137"/>
      <c r="CS137"/>
      <c r="CT137"/>
      <c r="CU137"/>
      <c r="CV137"/>
      <c r="CW137"/>
      <c r="CX137"/>
      <c r="CY137"/>
      <c r="CZ137"/>
      <c r="DA137"/>
      <c r="DB137"/>
      <c r="DC137"/>
      <c r="DD137"/>
      <c r="DE137"/>
      <c r="DF137"/>
      <c r="DG137"/>
      <c r="DH137"/>
      <c r="DI137"/>
      <c r="DJ137"/>
      <c r="DK137"/>
      <c r="DL137"/>
      <c r="DM137"/>
      <c r="DN137"/>
      <c r="DO137"/>
      <c r="DP137"/>
      <c r="DQ137"/>
      <c r="DR137"/>
      <c r="DS137"/>
      <c r="DT137"/>
      <c r="DU137"/>
      <c r="DV137"/>
      <c r="DW137"/>
      <c r="DX137"/>
      <c r="DY137"/>
      <c r="DZ137"/>
      <c r="EA137"/>
      <c r="EB137"/>
      <c r="EC137"/>
      <c r="ED137"/>
      <c r="EE137"/>
      <c r="EF137"/>
      <c r="EG137"/>
      <c r="EH137"/>
      <c r="EI137"/>
      <c r="EJ137"/>
      <c r="EK137"/>
      <c r="EL137"/>
      <c r="EM137"/>
      <c r="EN137"/>
      <c r="EO137"/>
      <c r="EP137"/>
      <c r="EQ137"/>
      <c r="ER137"/>
      <c r="ES137"/>
      <c r="ET137"/>
      <c r="EU137"/>
      <c r="EV137"/>
      <c r="EW137"/>
      <c r="EX137"/>
      <c r="EY137"/>
      <c r="EZ137"/>
      <c r="FA137"/>
      <c r="FB137"/>
      <c r="FC137"/>
      <c r="FD137"/>
      <c r="FE137"/>
      <c r="FF137"/>
      <c r="FG137"/>
      <c r="FH137"/>
      <c r="FI137"/>
      <c r="FJ137"/>
      <c r="FK137"/>
      <c r="FL137"/>
      <c r="FM137"/>
      <c r="FN137"/>
      <c r="FO137"/>
      <c r="FP137"/>
      <c r="FQ137"/>
      <c r="FR137"/>
      <c r="FS137"/>
      <c r="FT137"/>
      <c r="FU137"/>
      <c r="FV137"/>
      <c r="FW137"/>
      <c r="FX137"/>
      <c r="FY137"/>
      <c r="FZ137"/>
      <c r="GA137"/>
      <c r="GB137"/>
      <c r="GC137"/>
      <c r="GD137"/>
      <c r="GE137"/>
      <c r="GF137"/>
      <c r="GG137"/>
      <c r="GH137"/>
      <c r="GI137"/>
      <c r="GJ137"/>
      <c r="GK137"/>
      <c r="GL137"/>
      <c r="GM137"/>
      <c r="GN137"/>
      <c r="GO137"/>
      <c r="GP137"/>
      <c r="GQ137"/>
      <c r="GR137"/>
      <c r="GS137"/>
      <c r="GT137"/>
      <c r="GU137"/>
      <c r="GV137"/>
      <c r="GW137"/>
      <c r="GX137"/>
      <c r="GY137"/>
      <c r="GZ137"/>
      <c r="HA137"/>
      <c r="HB137"/>
      <c r="HC137"/>
      <c r="HD137"/>
      <c r="HE137"/>
      <c r="HF137"/>
      <c r="HG137"/>
      <c r="HH137"/>
      <c r="HI137"/>
      <c r="HJ137"/>
      <c r="HK137"/>
      <c r="HL137"/>
      <c r="HM137"/>
      <c r="HN137"/>
      <c r="HO137"/>
      <c r="HP137"/>
      <c r="HQ137"/>
      <c r="HR137"/>
      <c r="HS137"/>
      <c r="HT137"/>
      <c r="HU137"/>
      <c r="HV137"/>
      <c r="HW137"/>
      <c r="HX137"/>
      <c r="HY137"/>
      <c r="HZ137"/>
      <c r="IA137"/>
      <c r="IB137"/>
      <c r="IC137"/>
      <c r="ID137"/>
      <c r="IE137"/>
      <c r="IF137"/>
      <c r="IG137"/>
      <c r="IH137"/>
      <c r="II137"/>
      <c r="IJ137"/>
      <c r="IK137"/>
      <c r="IL137"/>
      <c r="IM137"/>
      <c r="IN137"/>
      <c r="IO137"/>
      <c r="IP137"/>
      <c r="IQ137"/>
      <c r="IR137"/>
      <c r="IS137"/>
      <c r="IT137"/>
      <c r="IU137"/>
      <c r="IV137"/>
      <c r="IW137"/>
      <c r="IX137"/>
      <c r="IY137"/>
      <c r="IZ137"/>
      <c r="JA137"/>
      <c r="JB137"/>
      <c r="JC137"/>
      <c r="JD137"/>
      <c r="JE137"/>
      <c r="JF137"/>
      <c r="JG137"/>
      <c r="JH137"/>
      <c r="JI137"/>
      <c r="JJ137"/>
      <c r="JK137"/>
      <c r="JL137"/>
      <c r="JM137"/>
      <c r="JN137"/>
      <c r="JO137"/>
      <c r="JP137"/>
      <c r="JQ137"/>
      <c r="JR137"/>
      <c r="JS137"/>
      <c r="JT137"/>
      <c r="JU137"/>
      <c r="JV137"/>
      <c r="JW137"/>
      <c r="JX137"/>
      <c r="JY137"/>
      <c r="JZ137"/>
      <c r="KA137"/>
      <c r="KB137"/>
      <c r="KC137"/>
      <c r="KD137"/>
      <c r="KE137"/>
      <c r="KF137"/>
      <c r="KG137"/>
      <c r="KH137"/>
      <c r="KI137"/>
    </row>
    <row r="138" spans="1:295" ht="20" customHeight="1" x14ac:dyDescent="0.15">
      <c r="A138" s="12"/>
      <c r="B138" s="13" t="s">
        <v>13</v>
      </c>
      <c r="C138" s="14" t="s">
        <v>14</v>
      </c>
      <c r="D138" s="15" t="s">
        <v>153</v>
      </c>
      <c r="E138" s="15" t="s">
        <v>161</v>
      </c>
      <c r="F138" s="16">
        <v>221</v>
      </c>
      <c r="G138" s="17">
        <v>49351.360000000001</v>
      </c>
      <c r="H138" s="17">
        <v>5461.08</v>
      </c>
      <c r="I138" s="17">
        <v>10906650.560000001</v>
      </c>
      <c r="J138" s="15" t="s">
        <v>17</v>
      </c>
      <c r="K138" s="15" t="s">
        <v>18</v>
      </c>
      <c r="L138" s="9">
        <f>YEAR(E138)</f>
        <v>2023</v>
      </c>
      <c r="M138" s="11">
        <f t="shared" si="4"/>
        <v>1206898.68</v>
      </c>
      <c r="U138" s="42" t="s">
        <v>114</v>
      </c>
      <c r="V138" s="43">
        <v>44894917.560000002</v>
      </c>
      <c r="W138" s="44">
        <v>571</v>
      </c>
      <c r="X138" s="44">
        <v>158898529.06</v>
      </c>
      <c r="Y138" s="61">
        <v>44894917.560000002</v>
      </c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/>
      <c r="AX138"/>
      <c r="AY138"/>
      <c r="AZ138"/>
      <c r="BA138"/>
      <c r="BB138"/>
      <c r="BC138"/>
      <c r="BD138"/>
      <c r="BE138"/>
      <c r="BF138"/>
      <c r="BG138"/>
      <c r="BH138"/>
      <c r="BI138"/>
      <c r="BJ138"/>
      <c r="BK138"/>
      <c r="BL138"/>
      <c r="BM138"/>
      <c r="BN138"/>
      <c r="BO138"/>
      <c r="BP138"/>
      <c r="BQ138"/>
      <c r="BR138"/>
      <c r="BS138"/>
      <c r="BT138"/>
      <c r="BU138"/>
      <c r="BV138"/>
      <c r="BW138"/>
      <c r="BX138"/>
      <c r="BY138"/>
      <c r="BZ138"/>
      <c r="CA138"/>
      <c r="CB138"/>
      <c r="CC138"/>
      <c r="CD138"/>
      <c r="CE138"/>
      <c r="CF138"/>
      <c r="CG138"/>
      <c r="CH138"/>
      <c r="CI138"/>
      <c r="CJ138"/>
      <c r="CK138"/>
      <c r="CL138"/>
      <c r="CM138"/>
      <c r="CN138"/>
      <c r="CO138"/>
      <c r="CP138"/>
      <c r="CQ138"/>
      <c r="CR138"/>
      <c r="CS138"/>
      <c r="CT138"/>
      <c r="CU138"/>
      <c r="CV138"/>
      <c r="CW138"/>
      <c r="CX138"/>
      <c r="CY138"/>
      <c r="CZ138"/>
      <c r="DA138"/>
      <c r="DB138"/>
      <c r="DC138"/>
      <c r="DD138"/>
      <c r="DE138"/>
      <c r="DF138"/>
      <c r="DG138"/>
      <c r="DH138"/>
      <c r="DI138"/>
      <c r="DJ138"/>
      <c r="DK138"/>
      <c r="DL138"/>
      <c r="DM138"/>
      <c r="DN138"/>
      <c r="DO138"/>
      <c r="DP138"/>
      <c r="DQ138"/>
      <c r="DR138"/>
      <c r="DS138"/>
      <c r="DT138"/>
      <c r="DU138"/>
      <c r="DV138"/>
      <c r="DW138"/>
      <c r="DX138"/>
      <c r="DY138"/>
      <c r="DZ138"/>
      <c r="EA138"/>
      <c r="EB138"/>
      <c r="EC138"/>
      <c r="ED138"/>
      <c r="EE138"/>
      <c r="EF138"/>
      <c r="EG138"/>
      <c r="EH138"/>
      <c r="EI138"/>
      <c r="EJ138"/>
      <c r="EK138"/>
      <c r="EL138"/>
      <c r="EM138"/>
      <c r="EN138"/>
      <c r="EO138"/>
      <c r="EP138"/>
      <c r="EQ138"/>
      <c r="ER138"/>
      <c r="ES138"/>
      <c r="ET138"/>
      <c r="EU138"/>
      <c r="EV138"/>
      <c r="EW138"/>
      <c r="EX138"/>
      <c r="EY138"/>
      <c r="EZ138"/>
      <c r="FA138"/>
      <c r="FB138"/>
      <c r="FC138"/>
      <c r="FD138"/>
      <c r="FE138"/>
      <c r="FF138"/>
      <c r="FG138"/>
      <c r="FH138"/>
      <c r="FI138"/>
      <c r="FJ138"/>
      <c r="FK138"/>
      <c r="FL138"/>
      <c r="FM138"/>
      <c r="FN138"/>
      <c r="FO138"/>
      <c r="FP138"/>
      <c r="FQ138"/>
      <c r="FR138"/>
      <c r="FS138"/>
      <c r="FT138"/>
      <c r="FU138"/>
      <c r="FV138"/>
      <c r="FW138"/>
      <c r="FX138"/>
      <c r="FY138"/>
      <c r="FZ138"/>
      <c r="GA138"/>
      <c r="GB138"/>
      <c r="GC138"/>
      <c r="GD138"/>
      <c r="GE138"/>
      <c r="GF138"/>
      <c r="GG138"/>
      <c r="GH138"/>
      <c r="GI138"/>
      <c r="GJ138"/>
      <c r="GK138"/>
      <c r="GL138"/>
      <c r="GM138"/>
      <c r="GN138"/>
      <c r="GO138"/>
      <c r="GP138"/>
      <c r="GQ138"/>
      <c r="GR138"/>
      <c r="GS138"/>
      <c r="GT138"/>
      <c r="GU138"/>
      <c r="GV138"/>
      <c r="GW138"/>
      <c r="GX138"/>
      <c r="GY138"/>
      <c r="GZ138"/>
      <c r="HA138"/>
      <c r="HB138"/>
      <c r="HC138"/>
      <c r="HD138"/>
      <c r="HE138"/>
      <c r="HF138"/>
      <c r="HG138"/>
      <c r="HH138"/>
      <c r="HI138"/>
      <c r="HJ138"/>
      <c r="HK138"/>
      <c r="HL138"/>
      <c r="HM138"/>
      <c r="HN138"/>
      <c r="HO138"/>
      <c r="HP138"/>
      <c r="HQ138"/>
      <c r="HR138"/>
      <c r="HS138"/>
      <c r="HT138"/>
      <c r="HU138"/>
      <c r="HV138"/>
      <c r="HW138"/>
      <c r="HX138"/>
      <c r="HY138"/>
      <c r="HZ138"/>
      <c r="IA138"/>
      <c r="IB138"/>
      <c r="IC138"/>
      <c r="ID138"/>
      <c r="IE138"/>
      <c r="IF138"/>
      <c r="IG138"/>
      <c r="IH138"/>
      <c r="II138"/>
      <c r="IJ138"/>
      <c r="IK138"/>
      <c r="IL138"/>
      <c r="IM138"/>
      <c r="IN138"/>
      <c r="IO138"/>
      <c r="IP138"/>
      <c r="IQ138"/>
      <c r="IR138"/>
      <c r="IS138"/>
      <c r="IT138"/>
      <c r="IU138"/>
      <c r="IV138"/>
      <c r="IW138"/>
      <c r="IX138"/>
      <c r="IY138"/>
      <c r="IZ138"/>
      <c r="JA138"/>
      <c r="JB138"/>
      <c r="JC138"/>
      <c r="JD138"/>
      <c r="JE138"/>
      <c r="JF138"/>
      <c r="JG138"/>
      <c r="JH138"/>
      <c r="JI138"/>
      <c r="JJ138"/>
      <c r="JK138"/>
      <c r="JL138"/>
      <c r="JM138"/>
      <c r="JN138"/>
      <c r="JO138"/>
      <c r="JP138"/>
      <c r="JQ138"/>
      <c r="JR138"/>
      <c r="JS138"/>
      <c r="JT138"/>
      <c r="JU138"/>
      <c r="JV138"/>
      <c r="JW138"/>
      <c r="JX138"/>
      <c r="JY138"/>
      <c r="JZ138"/>
      <c r="KA138"/>
      <c r="KB138"/>
      <c r="KC138"/>
      <c r="KD138"/>
      <c r="KE138"/>
      <c r="KF138"/>
      <c r="KG138"/>
      <c r="KH138"/>
      <c r="KI138"/>
    </row>
    <row r="139" spans="1:295" ht="20" customHeight="1" x14ac:dyDescent="0.15">
      <c r="A139" s="12"/>
      <c r="B139" s="13" t="s">
        <v>13</v>
      </c>
      <c r="C139" s="14" t="s">
        <v>31</v>
      </c>
      <c r="D139" s="15" t="s">
        <v>153</v>
      </c>
      <c r="E139" s="15" t="s">
        <v>163</v>
      </c>
      <c r="F139" s="16">
        <v>600</v>
      </c>
      <c r="G139" s="17">
        <v>35084.68</v>
      </c>
      <c r="H139" s="17">
        <v>5515.51</v>
      </c>
      <c r="I139" s="16">
        <v>21050808</v>
      </c>
      <c r="J139" s="15" t="s">
        <v>28</v>
      </c>
      <c r="K139" s="15" t="s">
        <v>18</v>
      </c>
      <c r="L139" s="9">
        <f>YEAR(E139)</f>
        <v>2023</v>
      </c>
      <c r="M139" s="11">
        <f t="shared" si="4"/>
        <v>3309306</v>
      </c>
      <c r="U139" s="63">
        <v>2020</v>
      </c>
      <c r="V139" s="43">
        <v>4540970.38</v>
      </c>
      <c r="W139" s="44">
        <v>546.5</v>
      </c>
      <c r="X139" s="44">
        <v>17813387.960000001</v>
      </c>
      <c r="Y139" s="61">
        <v>4540970.38</v>
      </c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/>
      <c r="AV139"/>
      <c r="AW139"/>
      <c r="AX139"/>
      <c r="AY139"/>
      <c r="AZ139"/>
      <c r="BA139"/>
      <c r="BB139"/>
      <c r="BC139"/>
      <c r="BD139"/>
      <c r="BE139"/>
      <c r="BF139"/>
      <c r="BG139"/>
      <c r="BH139"/>
      <c r="BI139"/>
      <c r="BJ139"/>
      <c r="BK139"/>
      <c r="BL139"/>
      <c r="BM139"/>
      <c r="BN139"/>
      <c r="BO139"/>
      <c r="BP139"/>
      <c r="BQ139"/>
      <c r="BR139"/>
      <c r="BS139"/>
      <c r="BT139"/>
      <c r="BU139"/>
      <c r="BV139"/>
      <c r="BW139"/>
      <c r="BX139"/>
      <c r="BY139"/>
      <c r="BZ139"/>
      <c r="CA139"/>
      <c r="CB139"/>
      <c r="CC139"/>
      <c r="CD139"/>
      <c r="CE139"/>
      <c r="CF139"/>
      <c r="CG139"/>
      <c r="CH139"/>
      <c r="CI139"/>
      <c r="CJ139"/>
      <c r="CK139"/>
      <c r="CL139"/>
      <c r="CM139"/>
      <c r="CN139"/>
      <c r="CO139"/>
      <c r="CP139"/>
      <c r="CQ139"/>
      <c r="CR139"/>
      <c r="CS139"/>
      <c r="CT139"/>
      <c r="CU139"/>
      <c r="CV139"/>
      <c r="CW139"/>
      <c r="CX139"/>
      <c r="CY139"/>
      <c r="CZ139"/>
      <c r="DA139"/>
      <c r="DB139"/>
      <c r="DC139"/>
      <c r="DD139"/>
      <c r="DE139"/>
      <c r="DF139"/>
      <c r="DG139"/>
      <c r="DH139"/>
      <c r="DI139"/>
      <c r="DJ139"/>
      <c r="DK139"/>
      <c r="DL139"/>
      <c r="DM139"/>
      <c r="DN139"/>
      <c r="DO139"/>
      <c r="DP139"/>
      <c r="DQ139"/>
      <c r="DR139"/>
      <c r="DS139"/>
      <c r="DT139"/>
      <c r="DU139"/>
      <c r="DV139"/>
      <c r="DW139"/>
      <c r="DX139"/>
      <c r="DY139"/>
      <c r="DZ139"/>
      <c r="EA139"/>
      <c r="EB139"/>
      <c r="EC139"/>
      <c r="ED139"/>
      <c r="EE139"/>
      <c r="EF139"/>
      <c r="EG139"/>
      <c r="EH139"/>
      <c r="EI139"/>
      <c r="EJ139"/>
      <c r="EK139"/>
      <c r="EL139"/>
      <c r="EM139"/>
      <c r="EN139"/>
      <c r="EO139"/>
      <c r="EP139"/>
      <c r="EQ139"/>
      <c r="ER139"/>
      <c r="ES139"/>
      <c r="ET139"/>
      <c r="EU139"/>
      <c r="EV139"/>
      <c r="EW139"/>
      <c r="EX139"/>
      <c r="EY139"/>
      <c r="EZ139"/>
      <c r="FA139"/>
      <c r="FB139"/>
      <c r="FC139"/>
      <c r="FD139"/>
      <c r="FE139"/>
      <c r="FF139"/>
      <c r="FG139"/>
      <c r="FH139"/>
      <c r="FI139"/>
      <c r="FJ139"/>
      <c r="FK139"/>
      <c r="FL139"/>
      <c r="FM139"/>
      <c r="FN139"/>
      <c r="FO139"/>
      <c r="FP139"/>
      <c r="FQ139"/>
      <c r="FR139"/>
      <c r="FS139"/>
      <c r="FT139"/>
      <c r="FU139"/>
      <c r="FV139"/>
      <c r="FW139"/>
      <c r="FX139"/>
      <c r="FY139"/>
      <c r="FZ139"/>
      <c r="GA139"/>
      <c r="GB139"/>
      <c r="GC139"/>
      <c r="GD139"/>
      <c r="GE139"/>
      <c r="GF139"/>
      <c r="GG139"/>
      <c r="GH139"/>
      <c r="GI139"/>
      <c r="GJ139"/>
      <c r="GK139"/>
      <c r="GL139"/>
      <c r="GM139"/>
      <c r="GN139"/>
      <c r="GO139"/>
      <c r="GP139"/>
      <c r="GQ139"/>
      <c r="GR139"/>
      <c r="GS139"/>
      <c r="GT139"/>
      <c r="GU139"/>
      <c r="GV139"/>
      <c r="GW139"/>
      <c r="GX139"/>
      <c r="GY139"/>
      <c r="GZ139"/>
      <c r="HA139"/>
      <c r="HB139"/>
      <c r="HC139"/>
      <c r="HD139"/>
      <c r="HE139"/>
      <c r="HF139"/>
      <c r="HG139"/>
      <c r="HH139"/>
      <c r="HI139"/>
      <c r="HJ139"/>
      <c r="HK139"/>
      <c r="HL139"/>
      <c r="HM139"/>
      <c r="HN139"/>
      <c r="HO139"/>
      <c r="HP139"/>
      <c r="HQ139"/>
      <c r="HR139"/>
      <c r="HS139"/>
      <c r="HT139"/>
      <c r="HU139"/>
      <c r="HV139"/>
      <c r="HW139"/>
      <c r="HX139"/>
      <c r="HY139"/>
      <c r="HZ139"/>
      <c r="IA139"/>
      <c r="IB139"/>
      <c r="IC139"/>
      <c r="ID139"/>
      <c r="IE139"/>
      <c r="IF139"/>
      <c r="IG139"/>
      <c r="IH139"/>
      <c r="II139"/>
      <c r="IJ139"/>
      <c r="IK139"/>
      <c r="IL139"/>
      <c r="IM139"/>
      <c r="IN139"/>
      <c r="IO139"/>
      <c r="IP139"/>
      <c r="IQ139"/>
      <c r="IR139"/>
      <c r="IS139"/>
      <c r="IT139"/>
      <c r="IU139"/>
      <c r="IV139"/>
      <c r="IW139"/>
      <c r="IX139"/>
      <c r="IY139"/>
      <c r="IZ139"/>
      <c r="JA139"/>
      <c r="JB139"/>
      <c r="JC139"/>
      <c r="JD139"/>
      <c r="JE139"/>
      <c r="JF139"/>
      <c r="JG139"/>
      <c r="JH139"/>
      <c r="JI139"/>
      <c r="JJ139"/>
      <c r="JK139"/>
      <c r="JL139"/>
      <c r="JM139"/>
      <c r="JN139"/>
      <c r="JO139"/>
      <c r="JP139"/>
      <c r="JQ139"/>
      <c r="JR139"/>
      <c r="JS139"/>
      <c r="JT139"/>
      <c r="JU139"/>
      <c r="JV139"/>
      <c r="JW139"/>
      <c r="JX139"/>
      <c r="JY139"/>
      <c r="JZ139"/>
      <c r="KA139"/>
      <c r="KB139"/>
      <c r="KC139"/>
      <c r="KD139"/>
      <c r="KE139"/>
      <c r="KF139"/>
      <c r="KG139"/>
      <c r="KH139"/>
      <c r="KI139"/>
    </row>
    <row r="140" spans="1:295" ht="20" customHeight="1" x14ac:dyDescent="0.15">
      <c r="A140" s="12"/>
      <c r="B140" s="13" t="s">
        <v>13</v>
      </c>
      <c r="C140" s="14" t="s">
        <v>19</v>
      </c>
      <c r="D140" s="15" t="s">
        <v>114</v>
      </c>
      <c r="E140" s="15" t="s">
        <v>168</v>
      </c>
      <c r="F140" s="16">
        <v>998</v>
      </c>
      <c r="G140" s="19">
        <v>30576.799999999999</v>
      </c>
      <c r="H140" s="17">
        <v>2142.19</v>
      </c>
      <c r="I140" s="19">
        <v>30515646.399999999</v>
      </c>
      <c r="J140" s="15" t="s">
        <v>17</v>
      </c>
      <c r="K140" s="15" t="s">
        <v>18</v>
      </c>
      <c r="L140" s="9">
        <f>YEAR(E140)</f>
        <v>2023</v>
      </c>
      <c r="M140" s="11">
        <f t="shared" si="4"/>
        <v>2137905.62</v>
      </c>
      <c r="U140" s="63">
        <v>2021</v>
      </c>
      <c r="V140" s="43">
        <v>8635880.3100000005</v>
      </c>
      <c r="W140" s="44">
        <v>652.5</v>
      </c>
      <c r="X140" s="44">
        <v>35354519.009999998</v>
      </c>
      <c r="Y140" s="61">
        <v>8635880.3100000005</v>
      </c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/>
      <c r="BA140"/>
      <c r="BB140"/>
      <c r="BC140"/>
      <c r="BD140"/>
      <c r="BE140"/>
      <c r="BF140"/>
      <c r="BG140"/>
      <c r="BH140"/>
      <c r="BI140"/>
      <c r="BJ140"/>
      <c r="BK140"/>
      <c r="BL140"/>
      <c r="BM140"/>
      <c r="BN140"/>
      <c r="BO140"/>
      <c r="BP140"/>
      <c r="BQ140"/>
      <c r="BR140"/>
      <c r="BS140"/>
      <c r="BT140"/>
      <c r="BU140"/>
      <c r="BV140"/>
      <c r="BW140"/>
      <c r="BX140"/>
      <c r="BY140"/>
      <c r="BZ140"/>
      <c r="CA140"/>
      <c r="CB140"/>
      <c r="CC140"/>
      <c r="CD140"/>
      <c r="CE140"/>
      <c r="CF140"/>
      <c r="CG140"/>
      <c r="CH140"/>
      <c r="CI140"/>
      <c r="CJ140"/>
      <c r="CK140"/>
      <c r="CL140"/>
      <c r="CM140"/>
      <c r="CN140"/>
      <c r="CO140"/>
      <c r="CP140"/>
      <c r="CQ140"/>
      <c r="CR140"/>
      <c r="CS140"/>
      <c r="CT140"/>
      <c r="CU140"/>
      <c r="CV140"/>
      <c r="CW140"/>
      <c r="CX140"/>
      <c r="CY140"/>
      <c r="CZ140"/>
      <c r="DA140"/>
      <c r="DB140"/>
      <c r="DC140"/>
      <c r="DD140"/>
      <c r="DE140"/>
      <c r="DF140"/>
      <c r="DG140"/>
      <c r="DH140"/>
      <c r="DI140"/>
      <c r="DJ140"/>
      <c r="DK140"/>
      <c r="DL140"/>
      <c r="DM140"/>
      <c r="DN140"/>
      <c r="DO140"/>
      <c r="DP140"/>
      <c r="DQ140"/>
      <c r="DR140"/>
      <c r="DS140"/>
      <c r="DT140"/>
      <c r="DU140"/>
      <c r="DV140"/>
      <c r="DW140"/>
      <c r="DX140"/>
      <c r="DY140"/>
      <c r="DZ140"/>
      <c r="EA140"/>
      <c r="EB140"/>
      <c r="EC140"/>
      <c r="ED140"/>
      <c r="EE140"/>
      <c r="EF140"/>
      <c r="EG140"/>
      <c r="EH140"/>
      <c r="EI140"/>
      <c r="EJ140"/>
      <c r="EK140"/>
      <c r="EL140"/>
      <c r="EM140"/>
      <c r="EN140"/>
      <c r="EO140"/>
      <c r="EP140"/>
      <c r="EQ140"/>
      <c r="ER140"/>
      <c r="ES140"/>
      <c r="ET140"/>
      <c r="EU140"/>
      <c r="EV140"/>
      <c r="EW140"/>
      <c r="EX140"/>
      <c r="EY140"/>
      <c r="EZ140"/>
      <c r="FA140"/>
      <c r="FB140"/>
      <c r="FC140"/>
      <c r="FD140"/>
      <c r="FE140"/>
      <c r="FF140"/>
      <c r="FG140"/>
      <c r="FH140"/>
      <c r="FI140"/>
      <c r="FJ140"/>
      <c r="FK140"/>
      <c r="FL140"/>
      <c r="FM140"/>
      <c r="FN140"/>
      <c r="FO140"/>
      <c r="FP140"/>
      <c r="FQ140"/>
      <c r="FR140"/>
      <c r="FS140"/>
      <c r="FT140"/>
      <c r="FU140"/>
      <c r="FV140"/>
      <c r="FW140"/>
      <c r="FX140"/>
      <c r="FY140"/>
      <c r="FZ140"/>
      <c r="GA140"/>
      <c r="GB140"/>
      <c r="GC140"/>
      <c r="GD140"/>
      <c r="GE140"/>
      <c r="GF140"/>
      <c r="GG140"/>
      <c r="GH140"/>
      <c r="GI140"/>
      <c r="GJ140"/>
      <c r="GK140"/>
      <c r="GL140"/>
      <c r="GM140"/>
      <c r="GN140"/>
      <c r="GO140"/>
      <c r="GP140"/>
      <c r="GQ140"/>
      <c r="GR140"/>
      <c r="GS140"/>
      <c r="GT140"/>
      <c r="GU140"/>
      <c r="GV140"/>
      <c r="GW140"/>
      <c r="GX140"/>
      <c r="GY140"/>
      <c r="GZ140"/>
      <c r="HA140"/>
      <c r="HB140"/>
      <c r="HC140"/>
      <c r="HD140"/>
      <c r="HE140"/>
      <c r="HF140"/>
      <c r="HG140"/>
      <c r="HH140"/>
      <c r="HI140"/>
      <c r="HJ140"/>
      <c r="HK140"/>
      <c r="HL140"/>
      <c r="HM140"/>
      <c r="HN140"/>
      <c r="HO140"/>
      <c r="HP140"/>
      <c r="HQ140"/>
      <c r="HR140"/>
      <c r="HS140"/>
      <c r="HT140"/>
      <c r="HU140"/>
      <c r="HV140"/>
      <c r="HW140"/>
      <c r="HX140"/>
      <c r="HY140"/>
      <c r="HZ140"/>
      <c r="IA140"/>
      <c r="IB140"/>
      <c r="IC140"/>
      <c r="ID140"/>
      <c r="IE140"/>
      <c r="IF140"/>
      <c r="IG140"/>
      <c r="IH140"/>
      <c r="II140"/>
      <c r="IJ140"/>
      <c r="IK140"/>
      <c r="IL140"/>
      <c r="IM140"/>
      <c r="IN140"/>
      <c r="IO140"/>
      <c r="IP140"/>
      <c r="IQ140"/>
      <c r="IR140"/>
      <c r="IS140"/>
      <c r="IT140"/>
      <c r="IU140"/>
      <c r="IV140"/>
      <c r="IW140"/>
      <c r="IX140"/>
      <c r="IY140"/>
      <c r="IZ140"/>
      <c r="JA140"/>
      <c r="JB140"/>
      <c r="JC140"/>
      <c r="JD140"/>
      <c r="JE140"/>
      <c r="JF140"/>
      <c r="JG140"/>
      <c r="JH140"/>
      <c r="JI140"/>
      <c r="JJ140"/>
      <c r="JK140"/>
      <c r="JL140"/>
      <c r="JM140"/>
      <c r="JN140"/>
      <c r="JO140"/>
      <c r="JP140"/>
      <c r="JQ140"/>
      <c r="JR140"/>
      <c r="JS140"/>
      <c r="JT140"/>
      <c r="JU140"/>
      <c r="JV140"/>
      <c r="JW140"/>
      <c r="JX140"/>
      <c r="JY140"/>
      <c r="JZ140"/>
      <c r="KA140"/>
      <c r="KB140"/>
      <c r="KC140"/>
      <c r="KD140"/>
      <c r="KE140"/>
      <c r="KF140"/>
      <c r="KG140"/>
      <c r="KH140"/>
      <c r="KI140"/>
    </row>
    <row r="141" spans="1:295" ht="20.75" customHeight="1" x14ac:dyDescent="0.15">
      <c r="A141" s="12"/>
      <c r="B141" s="13" t="s">
        <v>13</v>
      </c>
      <c r="C141" s="14" t="s">
        <v>14</v>
      </c>
      <c r="D141" s="15" t="s">
        <v>114</v>
      </c>
      <c r="E141" s="15" t="s">
        <v>169</v>
      </c>
      <c r="F141" s="16">
        <v>278</v>
      </c>
      <c r="G141" s="17">
        <v>28564.880000000001</v>
      </c>
      <c r="H141" s="17">
        <v>8098.26</v>
      </c>
      <c r="I141" s="17">
        <v>7941036.6399999997</v>
      </c>
      <c r="J141" s="15" t="s">
        <v>17</v>
      </c>
      <c r="K141" s="15" t="s">
        <v>18</v>
      </c>
      <c r="L141" s="9">
        <f>YEAR(E141)</f>
        <v>2023</v>
      </c>
      <c r="M141" s="11">
        <f t="shared" si="4"/>
        <v>2251316.2800000003</v>
      </c>
      <c r="U141" s="63">
        <v>2022</v>
      </c>
      <c r="V141" s="43">
        <v>20980403.850000001</v>
      </c>
      <c r="W141" s="44">
        <v>676.2</v>
      </c>
      <c r="X141" s="44">
        <v>67816676.210000008</v>
      </c>
      <c r="Y141" s="61">
        <v>20980403.850000001</v>
      </c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  <c r="AU141"/>
      <c r="AV141"/>
      <c r="AW141"/>
      <c r="AX141"/>
      <c r="AY141"/>
      <c r="AZ141"/>
      <c r="BA141"/>
      <c r="BB141"/>
      <c r="BC141"/>
      <c r="BD141"/>
      <c r="BE141"/>
      <c r="BF141"/>
      <c r="BG141"/>
      <c r="BH141"/>
      <c r="BI141"/>
      <c r="BJ141"/>
      <c r="BK141"/>
      <c r="BL141"/>
      <c r="BM141"/>
      <c r="BN141"/>
      <c r="BO141"/>
      <c r="BP141"/>
      <c r="BQ141"/>
      <c r="BR141"/>
      <c r="BS141"/>
      <c r="BT141"/>
      <c r="BU141"/>
      <c r="BV141"/>
      <c r="BW141"/>
      <c r="BX141"/>
      <c r="BY141"/>
      <c r="BZ141"/>
      <c r="CA141"/>
      <c r="CB141"/>
      <c r="CC141"/>
      <c r="CD141"/>
      <c r="CE141"/>
      <c r="CF141"/>
      <c r="CG141"/>
      <c r="CH141"/>
      <c r="CI141"/>
      <c r="CJ141"/>
      <c r="CK141"/>
      <c r="CL141"/>
      <c r="CM141"/>
      <c r="CN141"/>
      <c r="CO141"/>
      <c r="CP141"/>
      <c r="CQ141"/>
      <c r="CR141"/>
      <c r="CS141"/>
      <c r="CT141"/>
      <c r="CU141"/>
      <c r="CV141"/>
      <c r="CW141"/>
      <c r="CX141"/>
      <c r="CY141"/>
      <c r="CZ141"/>
      <c r="DA141"/>
      <c r="DB141"/>
      <c r="DC141"/>
      <c r="DD141"/>
      <c r="DE141"/>
      <c r="DF141"/>
      <c r="DG141"/>
      <c r="DH141"/>
      <c r="DI141"/>
      <c r="DJ141"/>
      <c r="DK141"/>
      <c r="DL141"/>
      <c r="DM141"/>
      <c r="DN141"/>
      <c r="DO141"/>
      <c r="DP141"/>
      <c r="DQ141"/>
      <c r="DR141"/>
      <c r="DS141"/>
      <c r="DT141"/>
      <c r="DU141"/>
      <c r="DV141"/>
      <c r="DW141"/>
      <c r="DX141"/>
      <c r="DY141"/>
      <c r="DZ141"/>
      <c r="EA141"/>
      <c r="EB141"/>
      <c r="EC141"/>
      <c r="ED141"/>
      <c r="EE141"/>
      <c r="EF141"/>
      <c r="EG141"/>
      <c r="EH141"/>
      <c r="EI141"/>
      <c r="EJ141"/>
      <c r="EK141"/>
      <c r="EL141"/>
      <c r="EM141"/>
      <c r="EN141"/>
      <c r="EO141"/>
      <c r="EP141"/>
      <c r="EQ141"/>
      <c r="ER141"/>
      <c r="ES141"/>
      <c r="ET141"/>
      <c r="EU141"/>
      <c r="EV141"/>
      <c r="EW141"/>
      <c r="EX141"/>
      <c r="EY141"/>
      <c r="EZ141"/>
      <c r="FA141"/>
      <c r="FB141"/>
      <c r="FC141"/>
      <c r="FD141"/>
      <c r="FE141"/>
      <c r="FF141"/>
      <c r="FG141"/>
      <c r="FH141"/>
      <c r="FI141"/>
      <c r="FJ141"/>
      <c r="FK141"/>
      <c r="FL141"/>
      <c r="FM141"/>
      <c r="FN141"/>
      <c r="FO141"/>
      <c r="FP141"/>
      <c r="FQ141"/>
      <c r="FR141"/>
      <c r="FS141"/>
      <c r="FT141"/>
      <c r="FU141"/>
      <c r="FV141"/>
      <c r="FW141"/>
      <c r="FX141"/>
      <c r="FY141"/>
      <c r="FZ141"/>
      <c r="GA141"/>
      <c r="GB141"/>
      <c r="GC141"/>
      <c r="GD141"/>
      <c r="GE141"/>
      <c r="GF141"/>
      <c r="GG141"/>
      <c r="GH141"/>
      <c r="GI141"/>
      <c r="GJ141"/>
      <c r="GK141"/>
      <c r="GL141"/>
      <c r="GM141"/>
      <c r="GN141"/>
      <c r="GO141"/>
      <c r="GP141"/>
      <c r="GQ141"/>
      <c r="GR141"/>
      <c r="GS141"/>
      <c r="GT141"/>
      <c r="GU141"/>
      <c r="GV141"/>
      <c r="GW141"/>
      <c r="GX141"/>
      <c r="GY141"/>
      <c r="GZ141"/>
      <c r="HA141"/>
      <c r="HB141"/>
      <c r="HC141"/>
      <c r="HD141"/>
      <c r="HE141"/>
      <c r="HF141"/>
      <c r="HG141"/>
      <c r="HH141"/>
      <c r="HI141"/>
      <c r="HJ141"/>
      <c r="HK141"/>
      <c r="HL141"/>
      <c r="HM141"/>
      <c r="HN141"/>
      <c r="HO141"/>
      <c r="HP141"/>
      <c r="HQ141"/>
      <c r="HR141"/>
      <c r="HS141"/>
      <c r="HT141"/>
      <c r="HU141"/>
      <c r="HV141"/>
      <c r="HW141"/>
      <c r="HX141"/>
      <c r="HY141"/>
      <c r="HZ141"/>
      <c r="IA141"/>
      <c r="IB141"/>
      <c r="IC141"/>
      <c r="ID141"/>
      <c r="IE141"/>
      <c r="IF141"/>
      <c r="IG141"/>
      <c r="IH141"/>
      <c r="II141"/>
      <c r="IJ141"/>
      <c r="IK141"/>
      <c r="IL141"/>
      <c r="IM141"/>
      <c r="IN141"/>
      <c r="IO141"/>
      <c r="IP141"/>
      <c r="IQ141"/>
      <c r="IR141"/>
      <c r="IS141"/>
      <c r="IT141"/>
      <c r="IU141"/>
      <c r="IV141"/>
      <c r="IW141"/>
      <c r="IX141"/>
      <c r="IY141"/>
      <c r="IZ141"/>
      <c r="JA141"/>
      <c r="JB141"/>
      <c r="JC141"/>
      <c r="JD141"/>
      <c r="JE141"/>
      <c r="JF141"/>
      <c r="JG141"/>
      <c r="JH141"/>
      <c r="JI141"/>
      <c r="JJ141"/>
      <c r="JK141"/>
      <c r="JL141"/>
      <c r="JM141"/>
      <c r="JN141"/>
      <c r="JO141"/>
      <c r="JP141"/>
      <c r="JQ141"/>
      <c r="JR141"/>
      <c r="JS141"/>
      <c r="JT141"/>
      <c r="JU141"/>
      <c r="JV141"/>
      <c r="JW141"/>
      <c r="JX141"/>
      <c r="JY141"/>
      <c r="JZ141"/>
      <c r="KA141"/>
      <c r="KB141"/>
      <c r="KC141"/>
      <c r="KD141"/>
      <c r="KE141"/>
      <c r="KF141"/>
      <c r="KG141"/>
      <c r="KH141"/>
      <c r="KI141"/>
    </row>
    <row r="142" spans="1:295" ht="20.75" customHeight="1" thickBot="1" x14ac:dyDescent="0.2">
      <c r="A142" s="20"/>
      <c r="B142" s="21" t="s">
        <v>13</v>
      </c>
      <c r="C142" s="22" t="s">
        <v>14</v>
      </c>
      <c r="D142" s="23" t="s">
        <v>114</v>
      </c>
      <c r="E142" s="23" t="s">
        <v>170</v>
      </c>
      <c r="F142" s="24">
        <v>315</v>
      </c>
      <c r="G142" s="25">
        <v>42814.92</v>
      </c>
      <c r="H142" s="25">
        <v>6620.22</v>
      </c>
      <c r="I142" s="27">
        <v>13486699.800000001</v>
      </c>
      <c r="J142" s="23" t="s">
        <v>17</v>
      </c>
      <c r="K142" s="23" t="s">
        <v>18</v>
      </c>
      <c r="L142" s="9">
        <f>YEAR(E142)</f>
        <v>2023</v>
      </c>
      <c r="M142" s="11">
        <f t="shared" si="4"/>
        <v>2085369.3</v>
      </c>
      <c r="U142" s="63">
        <v>2023</v>
      </c>
      <c r="V142" s="43">
        <v>10737663.02</v>
      </c>
      <c r="W142" s="44">
        <v>411</v>
      </c>
      <c r="X142" s="44">
        <v>37913945.879999995</v>
      </c>
      <c r="Y142" s="61">
        <v>10737663.02</v>
      </c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/>
      <c r="BA142"/>
      <c r="BB142"/>
      <c r="BC142"/>
      <c r="BD142"/>
      <c r="BE142"/>
      <c r="BF142"/>
      <c r="BG142"/>
      <c r="BH142"/>
      <c r="BI142"/>
      <c r="BJ142"/>
      <c r="BK142"/>
      <c r="BL142"/>
      <c r="BM142"/>
      <c r="BN142"/>
      <c r="BO142"/>
      <c r="BP142"/>
      <c r="BQ142"/>
      <c r="BR142"/>
      <c r="BS142"/>
      <c r="BT142"/>
      <c r="BU142"/>
      <c r="BV142"/>
      <c r="BW142"/>
      <c r="BX142"/>
      <c r="BY142"/>
      <c r="BZ142"/>
      <c r="CA142"/>
      <c r="CB142"/>
      <c r="CC142"/>
      <c r="CD142"/>
      <c r="CE142"/>
      <c r="CF142"/>
      <c r="CG142"/>
      <c r="CH142"/>
      <c r="CI142"/>
      <c r="CJ142"/>
      <c r="CK142"/>
      <c r="CL142"/>
      <c r="CM142"/>
      <c r="CN142"/>
      <c r="CO142"/>
      <c r="CP142"/>
      <c r="CQ142"/>
      <c r="CR142"/>
      <c r="CS142"/>
      <c r="CT142"/>
      <c r="CU142"/>
      <c r="CV142"/>
      <c r="CW142"/>
      <c r="CX142"/>
      <c r="CY142"/>
      <c r="CZ142"/>
      <c r="DA142"/>
      <c r="DB142"/>
      <c r="DC142"/>
      <c r="DD142"/>
      <c r="DE142"/>
      <c r="DF142"/>
      <c r="DG142"/>
      <c r="DH142"/>
      <c r="DI142"/>
      <c r="DJ142"/>
      <c r="DK142"/>
      <c r="DL142"/>
      <c r="DM142"/>
      <c r="DN142"/>
      <c r="DO142"/>
      <c r="DP142"/>
      <c r="DQ142"/>
      <c r="DR142"/>
      <c r="DS142"/>
      <c r="DT142"/>
      <c r="DU142"/>
      <c r="DV142"/>
      <c r="DW142"/>
      <c r="DX142"/>
      <c r="DY142"/>
      <c r="DZ142"/>
      <c r="EA142"/>
      <c r="EB142"/>
      <c r="EC142"/>
      <c r="ED142"/>
      <c r="EE142"/>
      <c r="EF142"/>
      <c r="EG142"/>
      <c r="EH142"/>
      <c r="EI142"/>
      <c r="EJ142"/>
      <c r="EK142"/>
      <c r="EL142"/>
      <c r="EM142"/>
      <c r="EN142"/>
      <c r="EO142"/>
      <c r="EP142"/>
      <c r="EQ142"/>
      <c r="ER142"/>
      <c r="ES142"/>
      <c r="ET142"/>
      <c r="EU142"/>
      <c r="EV142"/>
      <c r="EW142"/>
      <c r="EX142"/>
      <c r="EY142"/>
      <c r="EZ142"/>
      <c r="FA142"/>
      <c r="FB142"/>
      <c r="FC142"/>
      <c r="FD142"/>
      <c r="FE142"/>
      <c r="FF142"/>
      <c r="FG142"/>
      <c r="FH142"/>
      <c r="FI142"/>
      <c r="FJ142"/>
      <c r="FK142"/>
      <c r="FL142"/>
      <c r="FM142"/>
      <c r="FN142"/>
      <c r="FO142"/>
      <c r="FP142"/>
      <c r="FQ142"/>
      <c r="FR142"/>
      <c r="FS142"/>
      <c r="FT142"/>
      <c r="FU142"/>
      <c r="FV142"/>
      <c r="FW142"/>
      <c r="FX142"/>
      <c r="FY142"/>
      <c r="FZ142"/>
      <c r="GA142"/>
      <c r="GB142"/>
      <c r="GC142"/>
      <c r="GD142"/>
      <c r="GE142"/>
      <c r="GF142"/>
      <c r="GG142"/>
      <c r="GH142"/>
      <c r="GI142"/>
      <c r="GJ142"/>
      <c r="GK142"/>
      <c r="GL142"/>
      <c r="GM142"/>
      <c r="GN142"/>
      <c r="GO142"/>
      <c r="GP142"/>
      <c r="GQ142"/>
      <c r="GR142"/>
      <c r="GS142"/>
      <c r="GT142"/>
      <c r="GU142"/>
      <c r="GV142"/>
      <c r="GW142"/>
      <c r="GX142"/>
      <c r="GY142"/>
      <c r="GZ142"/>
      <c r="HA142"/>
      <c r="HB142"/>
      <c r="HC142"/>
      <c r="HD142"/>
      <c r="HE142"/>
      <c r="HF142"/>
      <c r="HG142"/>
      <c r="HH142"/>
      <c r="HI142"/>
      <c r="HJ142"/>
      <c r="HK142"/>
      <c r="HL142"/>
      <c r="HM142"/>
      <c r="HN142"/>
      <c r="HO142"/>
      <c r="HP142"/>
      <c r="HQ142"/>
      <c r="HR142"/>
      <c r="HS142"/>
      <c r="HT142"/>
      <c r="HU142"/>
      <c r="HV142"/>
      <c r="HW142"/>
      <c r="HX142"/>
      <c r="HY142"/>
      <c r="HZ142"/>
      <c r="IA142"/>
      <c r="IB142"/>
      <c r="IC142"/>
      <c r="ID142"/>
      <c r="IE142"/>
      <c r="IF142"/>
      <c r="IG142"/>
      <c r="IH142"/>
      <c r="II142"/>
      <c r="IJ142"/>
      <c r="IK142"/>
      <c r="IL142"/>
      <c r="IM142"/>
      <c r="IN142"/>
      <c r="IO142"/>
      <c r="IP142"/>
      <c r="IQ142"/>
      <c r="IR142"/>
      <c r="IS142"/>
      <c r="IT142"/>
      <c r="IU142"/>
      <c r="IV142"/>
      <c r="IW142"/>
      <c r="IX142"/>
      <c r="IY142"/>
      <c r="IZ142"/>
      <c r="JA142"/>
      <c r="JB142"/>
      <c r="JC142"/>
      <c r="JD142"/>
      <c r="JE142"/>
      <c r="JF142"/>
      <c r="JG142"/>
      <c r="JH142"/>
      <c r="JI142"/>
      <c r="JJ142"/>
      <c r="JK142"/>
      <c r="JL142"/>
      <c r="JM142"/>
      <c r="JN142"/>
      <c r="JO142"/>
      <c r="JP142"/>
      <c r="JQ142"/>
      <c r="JR142"/>
      <c r="JS142"/>
      <c r="JT142"/>
      <c r="JU142"/>
      <c r="JV142"/>
      <c r="JW142"/>
      <c r="JX142"/>
      <c r="JY142"/>
      <c r="JZ142"/>
      <c r="KA142"/>
      <c r="KB142"/>
      <c r="KC142"/>
      <c r="KD142"/>
      <c r="KE142"/>
      <c r="KF142"/>
      <c r="KG142"/>
      <c r="KH142"/>
      <c r="KI142"/>
    </row>
    <row r="143" spans="1:295" ht="21" customHeight="1" thickBot="1" x14ac:dyDescent="0.2">
      <c r="A143" s="51"/>
      <c r="B143" s="52"/>
      <c r="C143" s="53"/>
      <c r="D143" s="54"/>
      <c r="E143" s="54"/>
      <c r="F143" s="55"/>
      <c r="G143" s="56"/>
      <c r="H143" s="56"/>
      <c r="I143" s="56"/>
      <c r="J143" s="54"/>
      <c r="K143" s="54"/>
      <c r="L143" s="9"/>
      <c r="M143" s="11"/>
      <c r="U143" s="42" t="s">
        <v>107</v>
      </c>
      <c r="V143" s="43">
        <v>30241398.670000002</v>
      </c>
      <c r="W143" s="44">
        <v>496.81818181818181</v>
      </c>
      <c r="X143" s="44">
        <v>192738381.17000002</v>
      </c>
      <c r="Y143" s="61">
        <v>30241398.670000002</v>
      </c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/>
      <c r="AX143"/>
      <c r="AY143"/>
      <c r="AZ143"/>
      <c r="BA143"/>
      <c r="BB143"/>
      <c r="BC143"/>
      <c r="BD143"/>
      <c r="BE143"/>
      <c r="BF143"/>
      <c r="BG143"/>
      <c r="BH143"/>
      <c r="BI143"/>
      <c r="BJ143"/>
      <c r="BK143"/>
      <c r="BL143"/>
      <c r="BM143"/>
      <c r="BN143"/>
      <c r="BO143"/>
      <c r="BP143"/>
      <c r="BQ143"/>
      <c r="BR143"/>
      <c r="BS143"/>
      <c r="BT143"/>
      <c r="BU143"/>
      <c r="BV143"/>
      <c r="BW143"/>
      <c r="BX143"/>
      <c r="BY143"/>
      <c r="BZ143"/>
      <c r="CA143"/>
      <c r="CB143"/>
      <c r="CC143"/>
      <c r="CD143"/>
      <c r="CE143"/>
      <c r="CF143"/>
      <c r="CG143"/>
      <c r="CH143"/>
      <c r="CI143"/>
      <c r="CJ143"/>
      <c r="CK143"/>
      <c r="CL143"/>
      <c r="CM143"/>
      <c r="CN143"/>
      <c r="CO143"/>
      <c r="CP143"/>
      <c r="CQ143"/>
      <c r="CR143"/>
      <c r="CS143"/>
      <c r="CT143"/>
      <c r="CU143"/>
      <c r="CV143"/>
      <c r="CW143"/>
      <c r="CX143"/>
      <c r="CY143"/>
      <c r="CZ143"/>
      <c r="DA143"/>
      <c r="DB143"/>
      <c r="DC143"/>
      <c r="DD143"/>
      <c r="DE143"/>
      <c r="DF143"/>
      <c r="DG143"/>
      <c r="DH143"/>
      <c r="DI143"/>
      <c r="DJ143"/>
      <c r="DK143"/>
      <c r="DL143"/>
      <c r="DM143"/>
      <c r="DN143"/>
      <c r="DO143"/>
      <c r="DP143"/>
      <c r="DQ143"/>
      <c r="DR143"/>
      <c r="DS143"/>
      <c r="DT143"/>
      <c r="DU143"/>
      <c r="DV143"/>
      <c r="DW143"/>
      <c r="DX143"/>
      <c r="DY143"/>
      <c r="DZ143"/>
      <c r="EA143"/>
      <c r="EB143"/>
      <c r="EC143"/>
      <c r="ED143"/>
      <c r="EE143"/>
      <c r="EF143"/>
      <c r="EG143"/>
      <c r="EH143"/>
      <c r="EI143"/>
      <c r="EJ143"/>
      <c r="EK143"/>
      <c r="EL143"/>
      <c r="EM143"/>
      <c r="EN143"/>
      <c r="EO143"/>
      <c r="EP143"/>
      <c r="EQ143"/>
      <c r="ER143"/>
      <c r="ES143"/>
      <c r="ET143"/>
      <c r="EU143"/>
      <c r="EV143"/>
      <c r="EW143"/>
      <c r="EX143"/>
      <c r="EY143"/>
      <c r="EZ143"/>
      <c r="FA143"/>
      <c r="FB143"/>
      <c r="FC143"/>
      <c r="FD143"/>
      <c r="FE143"/>
      <c r="FF143"/>
      <c r="FG143"/>
      <c r="FH143"/>
      <c r="FI143"/>
      <c r="FJ143"/>
      <c r="FK143"/>
      <c r="FL143"/>
      <c r="FM143"/>
      <c r="FN143"/>
      <c r="FO143"/>
      <c r="FP143"/>
      <c r="FQ143"/>
      <c r="FR143"/>
      <c r="FS143"/>
      <c r="FT143"/>
      <c r="FU143"/>
      <c r="FV143"/>
      <c r="FW143"/>
      <c r="FX143"/>
      <c r="FY143"/>
      <c r="FZ143"/>
      <c r="GA143"/>
      <c r="GB143"/>
      <c r="GC143"/>
      <c r="GD143"/>
      <c r="GE143"/>
      <c r="GF143"/>
      <c r="GG143"/>
      <c r="GH143"/>
      <c r="GI143"/>
      <c r="GJ143"/>
      <c r="GK143"/>
      <c r="GL143"/>
      <c r="GM143"/>
      <c r="GN143"/>
      <c r="GO143"/>
      <c r="GP143"/>
      <c r="GQ143"/>
      <c r="GR143"/>
      <c r="GS143"/>
      <c r="GT143"/>
      <c r="GU143"/>
      <c r="GV143"/>
      <c r="GW143"/>
      <c r="GX143"/>
      <c r="GY143"/>
      <c r="GZ143"/>
      <c r="HA143"/>
      <c r="HB143"/>
      <c r="HC143"/>
      <c r="HD143"/>
      <c r="HE143"/>
      <c r="HF143"/>
      <c r="HG143"/>
      <c r="HH143"/>
      <c r="HI143"/>
      <c r="HJ143"/>
      <c r="HK143"/>
      <c r="HL143"/>
      <c r="HM143"/>
      <c r="HN143"/>
      <c r="HO143"/>
      <c r="HP143"/>
      <c r="HQ143"/>
      <c r="HR143"/>
      <c r="HS143"/>
      <c r="HT143"/>
      <c r="HU143"/>
      <c r="HV143"/>
      <c r="HW143"/>
      <c r="HX143"/>
      <c r="HY143"/>
      <c r="HZ143"/>
      <c r="IA143"/>
      <c r="IB143"/>
      <c r="IC143"/>
      <c r="ID143"/>
      <c r="IE143"/>
      <c r="IF143"/>
      <c r="IG143"/>
      <c r="IH143"/>
      <c r="II143"/>
      <c r="IJ143"/>
      <c r="IK143"/>
      <c r="IL143"/>
      <c r="IM143"/>
      <c r="IN143"/>
      <c r="IO143"/>
      <c r="IP143"/>
      <c r="IQ143"/>
      <c r="IR143"/>
      <c r="IS143"/>
      <c r="IT143"/>
      <c r="IU143"/>
      <c r="IV143"/>
      <c r="IW143"/>
      <c r="IX143"/>
      <c r="IY143"/>
      <c r="IZ143"/>
      <c r="JA143"/>
      <c r="JB143"/>
      <c r="JC143"/>
      <c r="JD143"/>
      <c r="JE143"/>
      <c r="JF143"/>
      <c r="JG143"/>
      <c r="JH143"/>
      <c r="JI143"/>
      <c r="JJ143"/>
      <c r="JK143"/>
      <c r="JL143"/>
      <c r="JM143"/>
      <c r="JN143"/>
      <c r="JO143"/>
      <c r="JP143"/>
      <c r="JQ143"/>
      <c r="JR143"/>
      <c r="JS143"/>
      <c r="JT143"/>
      <c r="JU143"/>
      <c r="JV143"/>
      <c r="JW143"/>
      <c r="JX143"/>
      <c r="JY143"/>
      <c r="JZ143"/>
      <c r="KA143"/>
      <c r="KB143"/>
      <c r="KC143"/>
      <c r="KD143"/>
      <c r="KE143"/>
      <c r="KF143"/>
      <c r="KG143"/>
      <c r="KH143"/>
      <c r="KI143"/>
    </row>
    <row r="144" spans="1:295" ht="20.25" customHeight="1" thickBot="1" x14ac:dyDescent="0.2">
      <c r="A144" s="3" t="s">
        <v>174</v>
      </c>
      <c r="B144" s="2" t="s">
        <v>2</v>
      </c>
      <c r="C144" s="2" t="s">
        <v>3</v>
      </c>
      <c r="D144" s="2" t="s">
        <v>4</v>
      </c>
      <c r="E144" s="2" t="s">
        <v>5</v>
      </c>
      <c r="F144" s="2" t="s">
        <v>6</v>
      </c>
      <c r="G144" s="2" t="s">
        <v>7</v>
      </c>
      <c r="H144" s="2" t="s">
        <v>8</v>
      </c>
      <c r="I144" s="2" t="s">
        <v>9</v>
      </c>
      <c r="J144" s="2" t="s">
        <v>10</v>
      </c>
      <c r="K144" s="2" t="s">
        <v>11</v>
      </c>
      <c r="L144" s="31" t="s">
        <v>12</v>
      </c>
      <c r="M144" s="64" t="s">
        <v>793</v>
      </c>
      <c r="U144" s="63">
        <v>2020</v>
      </c>
      <c r="V144" s="43">
        <v>14379318.380000001</v>
      </c>
      <c r="W144" s="44">
        <v>387.66666666666669</v>
      </c>
      <c r="X144" s="44">
        <v>89085848.390000015</v>
      </c>
      <c r="Y144" s="61">
        <v>14379318.380000001</v>
      </c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/>
      <c r="AY144"/>
      <c r="AZ144"/>
      <c r="BA144"/>
      <c r="BB144"/>
      <c r="BC144"/>
      <c r="BD144"/>
      <c r="BE144"/>
      <c r="BF144"/>
      <c r="BG144"/>
      <c r="BH144"/>
      <c r="BI144"/>
      <c r="BJ144"/>
      <c r="BK144"/>
      <c r="BL144"/>
      <c r="BM144"/>
      <c r="BN144"/>
      <c r="BO144"/>
      <c r="BP144"/>
      <c r="BQ144"/>
      <c r="BR144"/>
      <c r="BS144"/>
      <c r="BT144"/>
      <c r="BU144"/>
      <c r="BV144"/>
      <c r="BW144"/>
      <c r="BX144"/>
      <c r="BY144"/>
      <c r="BZ144"/>
      <c r="CA144"/>
      <c r="CB144"/>
      <c r="CC144"/>
      <c r="CD144"/>
      <c r="CE144"/>
      <c r="CF144"/>
      <c r="CG144"/>
      <c r="CH144"/>
      <c r="CI144"/>
      <c r="CJ144"/>
      <c r="CK144"/>
      <c r="CL144"/>
      <c r="CM144"/>
      <c r="CN144"/>
      <c r="CO144"/>
      <c r="CP144"/>
      <c r="CQ144"/>
      <c r="CR144"/>
      <c r="CS144"/>
      <c r="CT144"/>
      <c r="CU144"/>
      <c r="CV144"/>
      <c r="CW144"/>
      <c r="CX144"/>
      <c r="CY144"/>
      <c r="CZ144"/>
      <c r="DA144"/>
      <c r="DB144"/>
      <c r="DC144"/>
      <c r="DD144"/>
      <c r="DE144"/>
      <c r="DF144"/>
      <c r="DG144"/>
      <c r="DH144"/>
      <c r="DI144"/>
      <c r="DJ144"/>
      <c r="DK144"/>
      <c r="DL144"/>
      <c r="DM144"/>
      <c r="DN144"/>
      <c r="DO144"/>
      <c r="DP144"/>
      <c r="DQ144"/>
      <c r="DR144"/>
      <c r="DS144"/>
      <c r="DT144"/>
      <c r="DU144"/>
      <c r="DV144"/>
      <c r="DW144"/>
      <c r="DX144"/>
      <c r="DY144"/>
      <c r="DZ144"/>
      <c r="EA144"/>
      <c r="EB144"/>
      <c r="EC144"/>
      <c r="ED144"/>
      <c r="EE144"/>
      <c r="EF144"/>
      <c r="EG144"/>
      <c r="EH144"/>
      <c r="EI144"/>
      <c r="EJ144"/>
      <c r="EK144"/>
      <c r="EL144"/>
      <c r="EM144"/>
      <c r="EN144"/>
      <c r="EO144"/>
      <c r="EP144"/>
      <c r="EQ144"/>
      <c r="ER144"/>
      <c r="ES144"/>
      <c r="ET144"/>
      <c r="EU144"/>
      <c r="EV144"/>
      <c r="EW144"/>
      <c r="EX144"/>
      <c r="EY144"/>
      <c r="EZ144"/>
      <c r="FA144"/>
      <c r="FB144"/>
      <c r="FC144"/>
      <c r="FD144"/>
      <c r="FE144"/>
      <c r="FF144"/>
      <c r="FG144"/>
      <c r="FH144"/>
      <c r="FI144"/>
      <c r="FJ144"/>
      <c r="FK144"/>
      <c r="FL144"/>
      <c r="FM144"/>
      <c r="FN144"/>
      <c r="FO144"/>
      <c r="FP144"/>
      <c r="FQ144"/>
      <c r="FR144"/>
      <c r="FS144"/>
      <c r="FT144"/>
      <c r="FU144"/>
      <c r="FV144"/>
      <c r="FW144"/>
      <c r="FX144"/>
      <c r="FY144"/>
      <c r="FZ144"/>
      <c r="GA144"/>
      <c r="GB144"/>
      <c r="GC144"/>
      <c r="GD144"/>
      <c r="GE144"/>
      <c r="GF144"/>
      <c r="GG144"/>
      <c r="GH144"/>
      <c r="GI144"/>
      <c r="GJ144"/>
      <c r="GK144"/>
      <c r="GL144"/>
      <c r="GM144"/>
      <c r="GN144"/>
      <c r="GO144"/>
      <c r="GP144"/>
      <c r="GQ144"/>
      <c r="GR144"/>
      <c r="GS144"/>
      <c r="GT144"/>
      <c r="GU144"/>
      <c r="GV144"/>
      <c r="GW144"/>
      <c r="GX144"/>
      <c r="GY144"/>
      <c r="GZ144"/>
      <c r="HA144"/>
      <c r="HB144"/>
      <c r="HC144"/>
      <c r="HD144"/>
      <c r="HE144"/>
      <c r="HF144"/>
      <c r="HG144"/>
      <c r="HH144"/>
      <c r="HI144"/>
      <c r="HJ144"/>
      <c r="HK144"/>
      <c r="HL144"/>
      <c r="HM144"/>
      <c r="HN144"/>
      <c r="HO144"/>
      <c r="HP144"/>
      <c r="HQ144"/>
      <c r="HR144"/>
      <c r="HS144"/>
      <c r="HT144"/>
      <c r="HU144"/>
      <c r="HV144"/>
      <c r="HW144"/>
      <c r="HX144"/>
      <c r="HY144"/>
      <c r="HZ144"/>
      <c r="IA144"/>
      <c r="IB144"/>
      <c r="IC144"/>
      <c r="ID144"/>
      <c r="IE144"/>
      <c r="IF144"/>
      <c r="IG144"/>
      <c r="IH144"/>
      <c r="II144"/>
      <c r="IJ144"/>
      <c r="IK144"/>
      <c r="IL144"/>
      <c r="IM144"/>
      <c r="IN144"/>
      <c r="IO144"/>
      <c r="IP144"/>
      <c r="IQ144"/>
      <c r="IR144"/>
      <c r="IS144"/>
      <c r="IT144"/>
      <c r="IU144"/>
      <c r="IV144"/>
      <c r="IW144"/>
      <c r="IX144"/>
      <c r="IY144"/>
      <c r="IZ144"/>
      <c r="JA144"/>
      <c r="JB144"/>
      <c r="JC144"/>
      <c r="JD144"/>
      <c r="JE144"/>
      <c r="JF144"/>
      <c r="JG144"/>
      <c r="JH144"/>
      <c r="JI144"/>
      <c r="JJ144"/>
      <c r="JK144"/>
      <c r="JL144"/>
      <c r="JM144"/>
      <c r="JN144"/>
      <c r="JO144"/>
      <c r="JP144"/>
      <c r="JQ144"/>
      <c r="JR144"/>
      <c r="JS144"/>
      <c r="JT144"/>
      <c r="JU144"/>
      <c r="JV144"/>
      <c r="JW144"/>
      <c r="JX144"/>
      <c r="JY144"/>
      <c r="JZ144"/>
      <c r="KA144"/>
      <c r="KB144"/>
      <c r="KC144"/>
      <c r="KD144"/>
      <c r="KE144"/>
      <c r="KF144"/>
      <c r="KG144"/>
      <c r="KH144"/>
      <c r="KI144"/>
    </row>
    <row r="145" spans="1:295" ht="20" customHeight="1" x14ac:dyDescent="0.15">
      <c r="A145" s="5"/>
      <c r="B145" s="6" t="s">
        <v>174</v>
      </c>
      <c r="C145" s="7" t="s">
        <v>43</v>
      </c>
      <c r="D145" s="8" t="s">
        <v>114</v>
      </c>
      <c r="E145" s="8" t="s">
        <v>175</v>
      </c>
      <c r="F145" s="9">
        <v>702</v>
      </c>
      <c r="G145" s="10">
        <v>18536.45</v>
      </c>
      <c r="H145" s="10">
        <v>5105.01</v>
      </c>
      <c r="I145" s="26">
        <v>13012587.9</v>
      </c>
      <c r="J145" s="8" t="s">
        <v>30</v>
      </c>
      <c r="K145" s="8" t="s">
        <v>18</v>
      </c>
      <c r="L145" s="9">
        <f>YEAR(E145)</f>
        <v>2020</v>
      </c>
      <c r="M145" s="11">
        <f t="shared" si="4"/>
        <v>3583717.02</v>
      </c>
      <c r="U145" s="63">
        <v>2021</v>
      </c>
      <c r="V145" s="43">
        <v>11537841.920000002</v>
      </c>
      <c r="W145" s="44">
        <v>589.33333333333337</v>
      </c>
      <c r="X145" s="44">
        <v>47302609.560000002</v>
      </c>
      <c r="Y145" s="61">
        <v>11537841.920000002</v>
      </c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  <c r="BA145"/>
      <c r="BB145"/>
      <c r="BC145"/>
      <c r="BD145"/>
      <c r="BE145"/>
      <c r="BF145"/>
      <c r="BG145"/>
      <c r="BH145"/>
      <c r="BI145"/>
      <c r="BJ145"/>
      <c r="BK145"/>
      <c r="BL145"/>
      <c r="BM145"/>
      <c r="BN145"/>
      <c r="BO145"/>
      <c r="BP145"/>
      <c r="BQ145"/>
      <c r="BR145"/>
      <c r="BS145"/>
      <c r="BT145"/>
      <c r="BU145"/>
      <c r="BV145"/>
      <c r="BW145"/>
      <c r="BX145"/>
      <c r="BY145"/>
      <c r="BZ145"/>
      <c r="CA145"/>
      <c r="CB145"/>
      <c r="CC145"/>
      <c r="CD145"/>
      <c r="CE145"/>
      <c r="CF145"/>
      <c r="CG145"/>
      <c r="CH145"/>
      <c r="CI145"/>
      <c r="CJ145"/>
      <c r="CK145"/>
      <c r="CL145"/>
      <c r="CM145"/>
      <c r="CN145"/>
      <c r="CO145"/>
      <c r="CP145"/>
      <c r="CQ145"/>
      <c r="CR145"/>
      <c r="CS145"/>
      <c r="CT145"/>
      <c r="CU145"/>
      <c r="CV145"/>
      <c r="CW145"/>
      <c r="CX145"/>
      <c r="CY145"/>
      <c r="CZ145"/>
      <c r="DA145"/>
      <c r="DB145"/>
      <c r="DC145"/>
      <c r="DD145"/>
      <c r="DE145"/>
      <c r="DF145"/>
      <c r="DG145"/>
      <c r="DH145"/>
      <c r="DI145"/>
      <c r="DJ145"/>
      <c r="DK145"/>
      <c r="DL145"/>
      <c r="DM145"/>
      <c r="DN145"/>
      <c r="DO145"/>
      <c r="DP145"/>
      <c r="DQ145"/>
      <c r="DR145"/>
      <c r="DS145"/>
      <c r="DT145"/>
      <c r="DU145"/>
      <c r="DV145"/>
      <c r="DW145"/>
      <c r="DX145"/>
      <c r="DY145"/>
      <c r="DZ145"/>
      <c r="EA145"/>
      <c r="EB145"/>
      <c r="EC145"/>
      <c r="ED145"/>
      <c r="EE145"/>
      <c r="EF145"/>
      <c r="EG145"/>
      <c r="EH145"/>
      <c r="EI145"/>
      <c r="EJ145"/>
      <c r="EK145"/>
      <c r="EL145"/>
      <c r="EM145"/>
      <c r="EN145"/>
      <c r="EO145"/>
      <c r="EP145"/>
      <c r="EQ145"/>
      <c r="ER145"/>
      <c r="ES145"/>
      <c r="ET145"/>
      <c r="EU145"/>
      <c r="EV145"/>
      <c r="EW145"/>
      <c r="EX145"/>
      <c r="EY145"/>
      <c r="EZ145"/>
      <c r="FA145"/>
      <c r="FB145"/>
      <c r="FC145"/>
      <c r="FD145"/>
      <c r="FE145"/>
      <c r="FF145"/>
      <c r="FG145"/>
      <c r="FH145"/>
      <c r="FI145"/>
      <c r="FJ145"/>
      <c r="FK145"/>
      <c r="FL145"/>
      <c r="FM145"/>
      <c r="FN145"/>
      <c r="FO145"/>
      <c r="FP145"/>
      <c r="FQ145"/>
      <c r="FR145"/>
      <c r="FS145"/>
      <c r="FT145"/>
      <c r="FU145"/>
      <c r="FV145"/>
      <c r="FW145"/>
      <c r="FX145"/>
      <c r="FY145"/>
      <c r="FZ145"/>
      <c r="GA145"/>
      <c r="GB145"/>
      <c r="GC145"/>
      <c r="GD145"/>
      <c r="GE145"/>
      <c r="GF145"/>
      <c r="GG145"/>
      <c r="GH145"/>
      <c r="GI145"/>
      <c r="GJ145"/>
      <c r="GK145"/>
      <c r="GL145"/>
      <c r="GM145"/>
      <c r="GN145"/>
      <c r="GO145"/>
      <c r="GP145"/>
      <c r="GQ145"/>
      <c r="GR145"/>
      <c r="GS145"/>
      <c r="GT145"/>
      <c r="GU145"/>
      <c r="GV145"/>
      <c r="GW145"/>
      <c r="GX145"/>
      <c r="GY145"/>
      <c r="GZ145"/>
      <c r="HA145"/>
      <c r="HB145"/>
      <c r="HC145"/>
      <c r="HD145"/>
      <c r="HE145"/>
      <c r="HF145"/>
      <c r="HG145"/>
      <c r="HH145"/>
      <c r="HI145"/>
      <c r="HJ145"/>
      <c r="HK145"/>
      <c r="HL145"/>
      <c r="HM145"/>
      <c r="HN145"/>
      <c r="HO145"/>
      <c r="HP145"/>
      <c r="HQ145"/>
      <c r="HR145"/>
      <c r="HS145"/>
      <c r="HT145"/>
      <c r="HU145"/>
      <c r="HV145"/>
      <c r="HW145"/>
      <c r="HX145"/>
      <c r="HY145"/>
      <c r="HZ145"/>
      <c r="IA145"/>
      <c r="IB145"/>
      <c r="IC145"/>
      <c r="ID145"/>
      <c r="IE145"/>
      <c r="IF145"/>
      <c r="IG145"/>
      <c r="IH145"/>
      <c r="II145"/>
      <c r="IJ145"/>
      <c r="IK145"/>
      <c r="IL145"/>
      <c r="IM145"/>
      <c r="IN145"/>
      <c r="IO145"/>
      <c r="IP145"/>
      <c r="IQ145"/>
      <c r="IR145"/>
      <c r="IS145"/>
      <c r="IT145"/>
      <c r="IU145"/>
      <c r="IV145"/>
      <c r="IW145"/>
      <c r="IX145"/>
      <c r="IY145"/>
      <c r="IZ145"/>
      <c r="JA145"/>
      <c r="JB145"/>
      <c r="JC145"/>
      <c r="JD145"/>
      <c r="JE145"/>
      <c r="JF145"/>
      <c r="JG145"/>
      <c r="JH145"/>
      <c r="JI145"/>
      <c r="JJ145"/>
      <c r="JK145"/>
      <c r="JL145"/>
      <c r="JM145"/>
      <c r="JN145"/>
      <c r="JO145"/>
      <c r="JP145"/>
      <c r="JQ145"/>
      <c r="JR145"/>
      <c r="JS145"/>
      <c r="JT145"/>
      <c r="JU145"/>
      <c r="JV145"/>
      <c r="JW145"/>
      <c r="JX145"/>
      <c r="JY145"/>
      <c r="JZ145"/>
      <c r="KA145"/>
      <c r="KB145"/>
      <c r="KC145"/>
      <c r="KD145"/>
      <c r="KE145"/>
      <c r="KF145"/>
      <c r="KG145"/>
      <c r="KH145"/>
      <c r="KI145"/>
    </row>
    <row r="146" spans="1:295" ht="20" customHeight="1" x14ac:dyDescent="0.15">
      <c r="A146" s="12"/>
      <c r="B146" s="13" t="s">
        <v>174</v>
      </c>
      <c r="C146" s="14" t="s">
        <v>57</v>
      </c>
      <c r="D146" s="15" t="s">
        <v>139</v>
      </c>
      <c r="E146" s="15" t="s">
        <v>175</v>
      </c>
      <c r="F146" s="16">
        <v>963</v>
      </c>
      <c r="G146" s="19">
        <v>29641.1</v>
      </c>
      <c r="H146" s="17">
        <v>7617.73</v>
      </c>
      <c r="I146" s="19">
        <v>28544379.300000001</v>
      </c>
      <c r="J146" s="15" t="s">
        <v>30</v>
      </c>
      <c r="K146" s="15" t="s">
        <v>18</v>
      </c>
      <c r="L146" s="9">
        <f>YEAR(E146)</f>
        <v>2020</v>
      </c>
      <c r="M146" s="11">
        <f t="shared" si="4"/>
        <v>7335873.9899999993</v>
      </c>
      <c r="U146" s="63">
        <v>2023</v>
      </c>
      <c r="V146" s="43">
        <v>4324238.37</v>
      </c>
      <c r="W146" s="44">
        <v>685.5</v>
      </c>
      <c r="X146" s="44">
        <v>56349923.219999999</v>
      </c>
      <c r="Y146" s="61">
        <v>4324238.37</v>
      </c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  <c r="AU146"/>
      <c r="AV146"/>
      <c r="AW146"/>
      <c r="AX146"/>
      <c r="AY146"/>
      <c r="AZ146"/>
      <c r="BA146"/>
      <c r="BB146"/>
      <c r="BC146"/>
      <c r="BD146"/>
      <c r="BE146"/>
      <c r="BF146"/>
      <c r="BG146"/>
      <c r="BH146"/>
      <c r="BI146"/>
      <c r="BJ146"/>
      <c r="BK146"/>
      <c r="BL146"/>
      <c r="BM146"/>
      <c r="BN146"/>
      <c r="BO146"/>
      <c r="BP146"/>
      <c r="BQ146"/>
      <c r="BR146"/>
      <c r="BS146"/>
      <c r="BT146"/>
      <c r="BU146"/>
      <c r="BV146"/>
      <c r="BW146"/>
      <c r="BX146"/>
      <c r="BY146"/>
      <c r="BZ146"/>
      <c r="CA146"/>
      <c r="CB146"/>
      <c r="CC146"/>
      <c r="CD146"/>
      <c r="CE146"/>
      <c r="CF146"/>
      <c r="CG146"/>
      <c r="CH146"/>
      <c r="CI146"/>
      <c r="CJ146"/>
      <c r="CK146"/>
      <c r="CL146"/>
      <c r="CM146"/>
      <c r="CN146"/>
      <c r="CO146"/>
      <c r="CP146"/>
      <c r="CQ146"/>
      <c r="CR146"/>
      <c r="CS146"/>
      <c r="CT146"/>
      <c r="CU146"/>
      <c r="CV146"/>
      <c r="CW146"/>
      <c r="CX146"/>
      <c r="CY146"/>
      <c r="CZ146"/>
      <c r="DA146"/>
      <c r="DB146"/>
      <c r="DC146"/>
      <c r="DD146"/>
      <c r="DE146"/>
      <c r="DF146"/>
      <c r="DG146"/>
      <c r="DH146"/>
      <c r="DI146"/>
      <c r="DJ146"/>
      <c r="DK146"/>
      <c r="DL146"/>
      <c r="DM146"/>
      <c r="DN146"/>
      <c r="DO146"/>
      <c r="DP146"/>
      <c r="DQ146"/>
      <c r="DR146"/>
      <c r="DS146"/>
      <c r="DT146"/>
      <c r="DU146"/>
      <c r="DV146"/>
      <c r="DW146"/>
      <c r="DX146"/>
      <c r="DY146"/>
      <c r="DZ146"/>
      <c r="EA146"/>
      <c r="EB146"/>
      <c r="EC146"/>
      <c r="ED146"/>
      <c r="EE146"/>
      <c r="EF146"/>
      <c r="EG146"/>
      <c r="EH146"/>
      <c r="EI146"/>
      <c r="EJ146"/>
      <c r="EK146"/>
      <c r="EL146"/>
      <c r="EM146"/>
      <c r="EN146"/>
      <c r="EO146"/>
      <c r="EP146"/>
      <c r="EQ146"/>
      <c r="ER146"/>
      <c r="ES146"/>
      <c r="ET146"/>
      <c r="EU146"/>
      <c r="EV146"/>
      <c r="EW146"/>
      <c r="EX146"/>
      <c r="EY146"/>
      <c r="EZ146"/>
      <c r="FA146"/>
      <c r="FB146"/>
      <c r="FC146"/>
      <c r="FD146"/>
      <c r="FE146"/>
      <c r="FF146"/>
      <c r="FG146"/>
      <c r="FH146"/>
      <c r="FI146"/>
      <c r="FJ146"/>
      <c r="FK146"/>
      <c r="FL146"/>
      <c r="FM146"/>
      <c r="FN146"/>
      <c r="FO146"/>
      <c r="FP146"/>
      <c r="FQ146"/>
      <c r="FR146"/>
      <c r="FS146"/>
      <c r="FT146"/>
      <c r="FU146"/>
      <c r="FV146"/>
      <c r="FW146"/>
      <c r="FX146"/>
      <c r="FY146"/>
      <c r="FZ146"/>
      <c r="GA146"/>
      <c r="GB146"/>
      <c r="GC146"/>
      <c r="GD146"/>
      <c r="GE146"/>
      <c r="GF146"/>
      <c r="GG146"/>
      <c r="GH146"/>
      <c r="GI146"/>
      <c r="GJ146"/>
      <c r="GK146"/>
      <c r="GL146"/>
      <c r="GM146"/>
      <c r="GN146"/>
      <c r="GO146"/>
      <c r="GP146"/>
      <c r="GQ146"/>
      <c r="GR146"/>
      <c r="GS146"/>
      <c r="GT146"/>
      <c r="GU146"/>
      <c r="GV146"/>
      <c r="GW146"/>
      <c r="GX146"/>
      <c r="GY146"/>
      <c r="GZ146"/>
      <c r="HA146"/>
      <c r="HB146"/>
      <c r="HC146"/>
      <c r="HD146"/>
      <c r="HE146"/>
      <c r="HF146"/>
      <c r="HG146"/>
      <c r="HH146"/>
      <c r="HI146"/>
      <c r="HJ146"/>
      <c r="HK146"/>
      <c r="HL146"/>
      <c r="HM146"/>
      <c r="HN146"/>
      <c r="HO146"/>
      <c r="HP146"/>
      <c r="HQ146"/>
      <c r="HR146"/>
      <c r="HS146"/>
      <c r="HT146"/>
      <c r="HU146"/>
      <c r="HV146"/>
      <c r="HW146"/>
      <c r="HX146"/>
      <c r="HY146"/>
      <c r="HZ146"/>
      <c r="IA146"/>
      <c r="IB146"/>
      <c r="IC146"/>
      <c r="ID146"/>
      <c r="IE146"/>
      <c r="IF146"/>
      <c r="IG146"/>
      <c r="IH146"/>
      <c r="II146"/>
      <c r="IJ146"/>
      <c r="IK146"/>
      <c r="IL146"/>
      <c r="IM146"/>
      <c r="IN146"/>
      <c r="IO146"/>
      <c r="IP146"/>
      <c r="IQ146"/>
      <c r="IR146"/>
      <c r="IS146"/>
      <c r="IT146"/>
      <c r="IU146"/>
      <c r="IV146"/>
      <c r="IW146"/>
      <c r="IX146"/>
      <c r="IY146"/>
      <c r="IZ146"/>
      <c r="JA146"/>
      <c r="JB146"/>
      <c r="JC146"/>
      <c r="JD146"/>
      <c r="JE146"/>
      <c r="JF146"/>
      <c r="JG146"/>
      <c r="JH146"/>
      <c r="JI146"/>
      <c r="JJ146"/>
      <c r="JK146"/>
      <c r="JL146"/>
      <c r="JM146"/>
      <c r="JN146"/>
      <c r="JO146"/>
      <c r="JP146"/>
      <c r="JQ146"/>
      <c r="JR146"/>
      <c r="JS146"/>
      <c r="JT146"/>
      <c r="JU146"/>
      <c r="JV146"/>
      <c r="JW146"/>
      <c r="JX146"/>
      <c r="JY146"/>
      <c r="JZ146"/>
      <c r="KA146"/>
      <c r="KB146"/>
      <c r="KC146"/>
      <c r="KD146"/>
      <c r="KE146"/>
      <c r="KF146"/>
      <c r="KG146"/>
      <c r="KH146"/>
      <c r="KI146"/>
    </row>
    <row r="147" spans="1:295" ht="20" customHeight="1" x14ac:dyDescent="0.15">
      <c r="A147" s="12"/>
      <c r="B147" s="13" t="s">
        <v>174</v>
      </c>
      <c r="C147" s="14" t="s">
        <v>79</v>
      </c>
      <c r="D147" s="15" t="s">
        <v>107</v>
      </c>
      <c r="E147" s="15" t="s">
        <v>175</v>
      </c>
      <c r="F147" s="16">
        <v>405</v>
      </c>
      <c r="G147" s="17">
        <v>49485.77</v>
      </c>
      <c r="H147" s="17">
        <v>8763.98</v>
      </c>
      <c r="I147" s="17">
        <v>20041736.850000001</v>
      </c>
      <c r="J147" s="15" t="s">
        <v>28</v>
      </c>
      <c r="K147" s="15" t="s">
        <v>18</v>
      </c>
      <c r="L147" s="9">
        <f>YEAR(E147)</f>
        <v>2020</v>
      </c>
      <c r="M147" s="11">
        <f t="shared" si="4"/>
        <v>3549411.9</v>
      </c>
      <c r="U147" s="42" t="s">
        <v>15</v>
      </c>
      <c r="V147" s="43">
        <v>36468417.530000009</v>
      </c>
      <c r="W147" s="44">
        <v>446.92307692307691</v>
      </c>
      <c r="X147" s="44">
        <v>171336561.95000005</v>
      </c>
      <c r="Y147" s="61">
        <v>36468417.530000009</v>
      </c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/>
      <c r="AY147"/>
      <c r="AZ147"/>
      <c r="BA147"/>
      <c r="BB147"/>
      <c r="BC147"/>
      <c r="BD147"/>
      <c r="BE147"/>
      <c r="BF147"/>
      <c r="BG147"/>
      <c r="BH147"/>
      <c r="BI147"/>
      <c r="BJ147"/>
      <c r="BK147"/>
      <c r="BL147"/>
      <c r="BM147"/>
      <c r="BN147"/>
      <c r="BO147"/>
      <c r="BP147"/>
      <c r="BQ147"/>
      <c r="BR147"/>
      <c r="BS147"/>
      <c r="BT147"/>
      <c r="BU147"/>
      <c r="BV147"/>
      <c r="BW147"/>
      <c r="BX147"/>
      <c r="BY147"/>
      <c r="BZ147"/>
      <c r="CA147"/>
      <c r="CB147"/>
      <c r="CC147"/>
      <c r="CD147"/>
      <c r="CE147"/>
      <c r="CF147"/>
      <c r="CG147"/>
      <c r="CH147"/>
      <c r="CI147"/>
      <c r="CJ147"/>
      <c r="CK147"/>
      <c r="CL147"/>
      <c r="CM147"/>
      <c r="CN147"/>
      <c r="CO147"/>
      <c r="CP147"/>
      <c r="CQ147"/>
      <c r="CR147"/>
      <c r="CS147"/>
      <c r="CT147"/>
      <c r="CU147"/>
      <c r="CV147"/>
      <c r="CW147"/>
      <c r="CX147"/>
      <c r="CY147"/>
      <c r="CZ147"/>
      <c r="DA147"/>
      <c r="DB147"/>
      <c r="DC147"/>
      <c r="DD147"/>
      <c r="DE147"/>
      <c r="DF147"/>
      <c r="DG147"/>
      <c r="DH147"/>
      <c r="DI147"/>
      <c r="DJ147"/>
      <c r="DK147"/>
      <c r="DL147"/>
      <c r="DM147"/>
      <c r="DN147"/>
      <c r="DO147"/>
      <c r="DP147"/>
      <c r="DQ147"/>
      <c r="DR147"/>
      <c r="DS147"/>
      <c r="DT147"/>
      <c r="DU147"/>
      <c r="DV147"/>
      <c r="DW147"/>
      <c r="DX147"/>
      <c r="DY147"/>
      <c r="DZ147"/>
      <c r="EA147"/>
      <c r="EB147"/>
      <c r="EC147"/>
      <c r="ED147"/>
      <c r="EE147"/>
      <c r="EF147"/>
      <c r="EG147"/>
      <c r="EH147"/>
      <c r="EI147"/>
      <c r="EJ147"/>
      <c r="EK147"/>
      <c r="EL147"/>
      <c r="EM147"/>
      <c r="EN147"/>
      <c r="EO147"/>
      <c r="EP147"/>
      <c r="EQ147"/>
      <c r="ER147"/>
      <c r="ES147"/>
      <c r="ET147"/>
      <c r="EU147"/>
      <c r="EV147"/>
      <c r="EW147"/>
      <c r="EX147"/>
      <c r="EY147"/>
      <c r="EZ147"/>
      <c r="FA147"/>
      <c r="FB147"/>
      <c r="FC147"/>
      <c r="FD147"/>
      <c r="FE147"/>
      <c r="FF147"/>
      <c r="FG147"/>
      <c r="FH147"/>
      <c r="FI147"/>
      <c r="FJ147"/>
      <c r="FK147"/>
      <c r="FL147"/>
      <c r="FM147"/>
      <c r="FN147"/>
      <c r="FO147"/>
      <c r="FP147"/>
      <c r="FQ147"/>
      <c r="FR147"/>
      <c r="FS147"/>
      <c r="FT147"/>
      <c r="FU147"/>
      <c r="FV147"/>
      <c r="FW147"/>
      <c r="FX147"/>
      <c r="FY147"/>
      <c r="FZ147"/>
      <c r="GA147"/>
      <c r="GB147"/>
      <c r="GC147"/>
      <c r="GD147"/>
      <c r="GE147"/>
      <c r="GF147"/>
      <c r="GG147"/>
      <c r="GH147"/>
      <c r="GI147"/>
      <c r="GJ147"/>
      <c r="GK147"/>
      <c r="GL147"/>
      <c r="GM147"/>
      <c r="GN147"/>
      <c r="GO147"/>
      <c r="GP147"/>
      <c r="GQ147"/>
      <c r="GR147"/>
      <c r="GS147"/>
      <c r="GT147"/>
      <c r="GU147"/>
      <c r="GV147"/>
      <c r="GW147"/>
      <c r="GX147"/>
      <c r="GY147"/>
      <c r="GZ147"/>
      <c r="HA147"/>
      <c r="HB147"/>
      <c r="HC147"/>
      <c r="HD147"/>
      <c r="HE147"/>
      <c r="HF147"/>
      <c r="HG147"/>
      <c r="HH147"/>
      <c r="HI147"/>
      <c r="HJ147"/>
      <c r="HK147"/>
      <c r="HL147"/>
      <c r="HM147"/>
      <c r="HN147"/>
      <c r="HO147"/>
      <c r="HP147"/>
      <c r="HQ147"/>
      <c r="HR147"/>
      <c r="HS147"/>
      <c r="HT147"/>
      <c r="HU147"/>
      <c r="HV147"/>
      <c r="HW147"/>
      <c r="HX147"/>
      <c r="HY147"/>
      <c r="HZ147"/>
      <c r="IA147"/>
      <c r="IB147"/>
      <c r="IC147"/>
      <c r="ID147"/>
      <c r="IE147"/>
      <c r="IF147"/>
      <c r="IG147"/>
      <c r="IH147"/>
      <c r="II147"/>
      <c r="IJ147"/>
      <c r="IK147"/>
      <c r="IL147"/>
      <c r="IM147"/>
      <c r="IN147"/>
      <c r="IO147"/>
      <c r="IP147"/>
      <c r="IQ147"/>
      <c r="IR147"/>
      <c r="IS147"/>
      <c r="IT147"/>
      <c r="IU147"/>
      <c r="IV147"/>
      <c r="IW147"/>
      <c r="IX147"/>
      <c r="IY147"/>
      <c r="IZ147"/>
      <c r="JA147"/>
      <c r="JB147"/>
      <c r="JC147"/>
      <c r="JD147"/>
      <c r="JE147"/>
      <c r="JF147"/>
      <c r="JG147"/>
      <c r="JH147"/>
      <c r="JI147"/>
      <c r="JJ147"/>
      <c r="JK147"/>
      <c r="JL147"/>
      <c r="JM147"/>
      <c r="JN147"/>
      <c r="JO147"/>
      <c r="JP147"/>
      <c r="JQ147"/>
      <c r="JR147"/>
      <c r="JS147"/>
      <c r="JT147"/>
      <c r="JU147"/>
      <c r="JV147"/>
      <c r="JW147"/>
      <c r="JX147"/>
      <c r="JY147"/>
      <c r="JZ147"/>
      <c r="KA147"/>
      <c r="KB147"/>
      <c r="KC147"/>
      <c r="KD147"/>
      <c r="KE147"/>
      <c r="KF147"/>
      <c r="KG147"/>
      <c r="KH147"/>
      <c r="KI147"/>
    </row>
    <row r="148" spans="1:295" ht="20" customHeight="1" x14ac:dyDescent="0.15">
      <c r="A148" s="12"/>
      <c r="B148" s="13" t="s">
        <v>174</v>
      </c>
      <c r="C148" s="14" t="s">
        <v>25</v>
      </c>
      <c r="D148" s="15" t="s">
        <v>114</v>
      </c>
      <c r="E148" s="15" t="s">
        <v>176</v>
      </c>
      <c r="F148" s="16">
        <v>518</v>
      </c>
      <c r="G148" s="19">
        <v>11462.7</v>
      </c>
      <c r="H148" s="17">
        <v>9321.44</v>
      </c>
      <c r="I148" s="19">
        <v>5937678.5999999996</v>
      </c>
      <c r="J148" s="15" t="s">
        <v>28</v>
      </c>
      <c r="K148" s="15" t="s">
        <v>18</v>
      </c>
      <c r="L148" s="9">
        <f>YEAR(E148)</f>
        <v>2020</v>
      </c>
      <c r="M148" s="11">
        <f t="shared" si="4"/>
        <v>4828505.92</v>
      </c>
      <c r="U148" s="63">
        <v>2020</v>
      </c>
      <c r="V148" s="43">
        <v>501325.98999999993</v>
      </c>
      <c r="W148" s="44">
        <v>121</v>
      </c>
      <c r="X148" s="44">
        <v>4800879.49</v>
      </c>
      <c r="Y148" s="61">
        <v>501325.98999999993</v>
      </c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/>
      <c r="AU148"/>
      <c r="AV148"/>
      <c r="AW148"/>
      <c r="AX148"/>
      <c r="AY148"/>
      <c r="AZ148"/>
      <c r="BA148"/>
      <c r="BB148"/>
      <c r="BC148"/>
      <c r="BD148"/>
      <c r="BE148"/>
      <c r="BF148"/>
      <c r="BG148"/>
      <c r="BH148"/>
      <c r="BI148"/>
      <c r="BJ148"/>
      <c r="BK148"/>
      <c r="BL148"/>
      <c r="BM148"/>
      <c r="BN148"/>
      <c r="BO148"/>
      <c r="BP148"/>
      <c r="BQ148"/>
      <c r="BR148"/>
      <c r="BS148"/>
      <c r="BT148"/>
      <c r="BU148"/>
      <c r="BV148"/>
      <c r="BW148"/>
      <c r="BX148"/>
      <c r="BY148"/>
      <c r="BZ148"/>
      <c r="CA148"/>
      <c r="CB148"/>
      <c r="CC148"/>
      <c r="CD148"/>
      <c r="CE148"/>
      <c r="CF148"/>
      <c r="CG148"/>
      <c r="CH148"/>
      <c r="CI148"/>
      <c r="CJ148"/>
      <c r="CK148"/>
      <c r="CL148"/>
      <c r="CM148"/>
      <c r="CN148"/>
      <c r="CO148"/>
      <c r="CP148"/>
      <c r="CQ148"/>
      <c r="CR148"/>
      <c r="CS148"/>
      <c r="CT148"/>
      <c r="CU148"/>
      <c r="CV148"/>
      <c r="CW148"/>
      <c r="CX148"/>
      <c r="CY148"/>
      <c r="CZ148"/>
      <c r="DA148"/>
      <c r="DB148"/>
      <c r="DC148"/>
      <c r="DD148"/>
      <c r="DE148"/>
      <c r="DF148"/>
      <c r="DG148"/>
      <c r="DH148"/>
      <c r="DI148"/>
      <c r="DJ148"/>
      <c r="DK148"/>
      <c r="DL148"/>
      <c r="DM148"/>
      <c r="DN148"/>
      <c r="DO148"/>
      <c r="DP148"/>
      <c r="DQ148"/>
      <c r="DR148"/>
      <c r="DS148"/>
      <c r="DT148"/>
      <c r="DU148"/>
      <c r="DV148"/>
      <c r="DW148"/>
      <c r="DX148"/>
      <c r="DY148"/>
      <c r="DZ148"/>
      <c r="EA148"/>
      <c r="EB148"/>
      <c r="EC148"/>
      <c r="ED148"/>
      <c r="EE148"/>
      <c r="EF148"/>
      <c r="EG148"/>
      <c r="EH148"/>
      <c r="EI148"/>
      <c r="EJ148"/>
      <c r="EK148"/>
      <c r="EL148"/>
      <c r="EM148"/>
      <c r="EN148"/>
      <c r="EO148"/>
      <c r="EP148"/>
      <c r="EQ148"/>
      <c r="ER148"/>
      <c r="ES148"/>
      <c r="ET148"/>
      <c r="EU148"/>
      <c r="EV148"/>
      <c r="EW148"/>
      <c r="EX148"/>
      <c r="EY148"/>
      <c r="EZ148"/>
      <c r="FA148"/>
      <c r="FB148"/>
      <c r="FC148"/>
      <c r="FD148"/>
      <c r="FE148"/>
      <c r="FF148"/>
      <c r="FG148"/>
      <c r="FH148"/>
      <c r="FI148"/>
      <c r="FJ148"/>
      <c r="FK148"/>
      <c r="FL148"/>
      <c r="FM148"/>
      <c r="FN148"/>
      <c r="FO148"/>
      <c r="FP148"/>
      <c r="FQ148"/>
      <c r="FR148"/>
      <c r="FS148"/>
      <c r="FT148"/>
      <c r="FU148"/>
      <c r="FV148"/>
      <c r="FW148"/>
      <c r="FX148"/>
      <c r="FY148"/>
      <c r="FZ148"/>
      <c r="GA148"/>
      <c r="GB148"/>
      <c r="GC148"/>
      <c r="GD148"/>
      <c r="GE148"/>
      <c r="GF148"/>
      <c r="GG148"/>
      <c r="GH148"/>
      <c r="GI148"/>
      <c r="GJ148"/>
      <c r="GK148"/>
      <c r="GL148"/>
      <c r="GM148"/>
      <c r="GN148"/>
      <c r="GO148"/>
      <c r="GP148"/>
      <c r="GQ148"/>
      <c r="GR148"/>
      <c r="GS148"/>
      <c r="GT148"/>
      <c r="GU148"/>
      <c r="GV148"/>
      <c r="GW148"/>
      <c r="GX148"/>
      <c r="GY148"/>
      <c r="GZ148"/>
      <c r="HA148"/>
      <c r="HB148"/>
      <c r="HC148"/>
      <c r="HD148"/>
      <c r="HE148"/>
      <c r="HF148"/>
      <c r="HG148"/>
      <c r="HH148"/>
      <c r="HI148"/>
      <c r="HJ148"/>
      <c r="HK148"/>
      <c r="HL148"/>
      <c r="HM148"/>
      <c r="HN148"/>
      <c r="HO148"/>
      <c r="HP148"/>
      <c r="HQ148"/>
      <c r="HR148"/>
      <c r="HS148"/>
      <c r="HT148"/>
      <c r="HU148"/>
      <c r="HV148"/>
      <c r="HW148"/>
      <c r="HX148"/>
      <c r="HY148"/>
      <c r="HZ148"/>
      <c r="IA148"/>
      <c r="IB148"/>
      <c r="IC148"/>
      <c r="ID148"/>
      <c r="IE148"/>
      <c r="IF148"/>
      <c r="IG148"/>
      <c r="IH148"/>
      <c r="II148"/>
      <c r="IJ148"/>
      <c r="IK148"/>
      <c r="IL148"/>
      <c r="IM148"/>
      <c r="IN148"/>
      <c r="IO148"/>
      <c r="IP148"/>
      <c r="IQ148"/>
      <c r="IR148"/>
      <c r="IS148"/>
      <c r="IT148"/>
      <c r="IU148"/>
      <c r="IV148"/>
      <c r="IW148"/>
      <c r="IX148"/>
      <c r="IY148"/>
      <c r="IZ148"/>
      <c r="JA148"/>
      <c r="JB148"/>
      <c r="JC148"/>
      <c r="JD148"/>
      <c r="JE148"/>
      <c r="JF148"/>
      <c r="JG148"/>
      <c r="JH148"/>
      <c r="JI148"/>
      <c r="JJ148"/>
      <c r="JK148"/>
      <c r="JL148"/>
      <c r="JM148"/>
      <c r="JN148"/>
      <c r="JO148"/>
      <c r="JP148"/>
      <c r="JQ148"/>
      <c r="JR148"/>
      <c r="JS148"/>
      <c r="JT148"/>
      <c r="JU148"/>
      <c r="JV148"/>
      <c r="JW148"/>
      <c r="JX148"/>
      <c r="JY148"/>
      <c r="JZ148"/>
      <c r="KA148"/>
      <c r="KB148"/>
      <c r="KC148"/>
      <c r="KD148"/>
      <c r="KE148"/>
      <c r="KF148"/>
      <c r="KG148"/>
      <c r="KH148"/>
      <c r="KI148"/>
    </row>
    <row r="149" spans="1:295" ht="20" customHeight="1" x14ac:dyDescent="0.15">
      <c r="A149" s="12"/>
      <c r="B149" s="13" t="s">
        <v>174</v>
      </c>
      <c r="C149" s="14" t="s">
        <v>35</v>
      </c>
      <c r="D149" s="15" t="s">
        <v>114</v>
      </c>
      <c r="E149" s="15" t="s">
        <v>179</v>
      </c>
      <c r="F149" s="16">
        <v>531</v>
      </c>
      <c r="G149" s="17">
        <v>16488.41</v>
      </c>
      <c r="H149" s="17">
        <v>7791.27</v>
      </c>
      <c r="I149" s="17">
        <v>8755345.7100000009</v>
      </c>
      <c r="J149" s="15" t="s">
        <v>28</v>
      </c>
      <c r="K149" s="15" t="s">
        <v>18</v>
      </c>
      <c r="L149" s="9">
        <f>YEAR(E149)</f>
        <v>2020</v>
      </c>
      <c r="M149" s="11">
        <f t="shared" si="4"/>
        <v>4137164.37</v>
      </c>
      <c r="U149" s="63">
        <v>2021</v>
      </c>
      <c r="V149" s="43">
        <v>6928174.25</v>
      </c>
      <c r="W149" s="44">
        <v>654.5</v>
      </c>
      <c r="X149" s="44">
        <v>43895656.680000007</v>
      </c>
      <c r="Y149" s="61">
        <v>6928174.25</v>
      </c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  <c r="AX149"/>
      <c r="AY149"/>
      <c r="AZ149"/>
      <c r="BA149"/>
      <c r="BB149"/>
      <c r="BC149"/>
      <c r="BD149"/>
      <c r="BE149"/>
      <c r="BF149"/>
      <c r="BG149"/>
      <c r="BH149"/>
      <c r="BI149"/>
      <c r="BJ149"/>
      <c r="BK149"/>
      <c r="BL149"/>
      <c r="BM149"/>
      <c r="BN149"/>
      <c r="BO149"/>
      <c r="BP149"/>
      <c r="BQ149"/>
      <c r="BR149"/>
      <c r="BS149"/>
      <c r="BT149"/>
      <c r="BU149"/>
      <c r="BV149"/>
      <c r="BW149"/>
      <c r="BX149"/>
      <c r="BY149"/>
      <c r="BZ149"/>
      <c r="CA149"/>
      <c r="CB149"/>
      <c r="CC149"/>
      <c r="CD149"/>
      <c r="CE149"/>
      <c r="CF149"/>
      <c r="CG149"/>
      <c r="CH149"/>
      <c r="CI149"/>
      <c r="CJ149"/>
      <c r="CK149"/>
      <c r="CL149"/>
      <c r="CM149"/>
      <c r="CN149"/>
      <c r="CO149"/>
      <c r="CP149"/>
      <c r="CQ149"/>
      <c r="CR149"/>
      <c r="CS149"/>
      <c r="CT149"/>
      <c r="CU149"/>
      <c r="CV149"/>
      <c r="CW149"/>
      <c r="CX149"/>
      <c r="CY149"/>
      <c r="CZ149"/>
      <c r="DA149"/>
      <c r="DB149"/>
      <c r="DC149"/>
      <c r="DD149"/>
      <c r="DE149"/>
      <c r="DF149"/>
      <c r="DG149"/>
      <c r="DH149"/>
      <c r="DI149"/>
      <c r="DJ149"/>
      <c r="DK149"/>
      <c r="DL149"/>
      <c r="DM149"/>
      <c r="DN149"/>
      <c r="DO149"/>
      <c r="DP149"/>
      <c r="DQ149"/>
      <c r="DR149"/>
      <c r="DS149"/>
      <c r="DT149"/>
      <c r="DU149"/>
      <c r="DV149"/>
      <c r="DW149"/>
      <c r="DX149"/>
      <c r="DY149"/>
      <c r="DZ149"/>
      <c r="EA149"/>
      <c r="EB149"/>
      <c r="EC149"/>
      <c r="ED149"/>
      <c r="EE149"/>
      <c r="EF149"/>
      <c r="EG149"/>
      <c r="EH149"/>
      <c r="EI149"/>
      <c r="EJ149"/>
      <c r="EK149"/>
      <c r="EL149"/>
      <c r="EM149"/>
      <c r="EN149"/>
      <c r="EO149"/>
      <c r="EP149"/>
      <c r="EQ149"/>
      <c r="ER149"/>
      <c r="ES149"/>
      <c r="ET149"/>
      <c r="EU149"/>
      <c r="EV149"/>
      <c r="EW149"/>
      <c r="EX149"/>
      <c r="EY149"/>
      <c r="EZ149"/>
      <c r="FA149"/>
      <c r="FB149"/>
      <c r="FC149"/>
      <c r="FD149"/>
      <c r="FE149"/>
      <c r="FF149"/>
      <c r="FG149"/>
      <c r="FH149"/>
      <c r="FI149"/>
      <c r="FJ149"/>
      <c r="FK149"/>
      <c r="FL149"/>
      <c r="FM149"/>
      <c r="FN149"/>
      <c r="FO149"/>
      <c r="FP149"/>
      <c r="FQ149"/>
      <c r="FR149"/>
      <c r="FS149"/>
      <c r="FT149"/>
      <c r="FU149"/>
      <c r="FV149"/>
      <c r="FW149"/>
      <c r="FX149"/>
      <c r="FY149"/>
      <c r="FZ149"/>
      <c r="GA149"/>
      <c r="GB149"/>
      <c r="GC149"/>
      <c r="GD149"/>
      <c r="GE149"/>
      <c r="GF149"/>
      <c r="GG149"/>
      <c r="GH149"/>
      <c r="GI149"/>
      <c r="GJ149"/>
      <c r="GK149"/>
      <c r="GL149"/>
      <c r="GM149"/>
      <c r="GN149"/>
      <c r="GO149"/>
      <c r="GP149"/>
      <c r="GQ149"/>
      <c r="GR149"/>
      <c r="GS149"/>
      <c r="GT149"/>
      <c r="GU149"/>
      <c r="GV149"/>
      <c r="GW149"/>
      <c r="GX149"/>
      <c r="GY149"/>
      <c r="GZ149"/>
      <c r="HA149"/>
      <c r="HB149"/>
      <c r="HC149"/>
      <c r="HD149"/>
      <c r="HE149"/>
      <c r="HF149"/>
      <c r="HG149"/>
      <c r="HH149"/>
      <c r="HI149"/>
      <c r="HJ149"/>
      <c r="HK149"/>
      <c r="HL149"/>
      <c r="HM149"/>
      <c r="HN149"/>
      <c r="HO149"/>
      <c r="HP149"/>
      <c r="HQ149"/>
      <c r="HR149"/>
      <c r="HS149"/>
      <c r="HT149"/>
      <c r="HU149"/>
      <c r="HV149"/>
      <c r="HW149"/>
      <c r="HX149"/>
      <c r="HY149"/>
      <c r="HZ149"/>
      <c r="IA149"/>
      <c r="IB149"/>
      <c r="IC149"/>
      <c r="ID149"/>
      <c r="IE149"/>
      <c r="IF149"/>
      <c r="IG149"/>
      <c r="IH149"/>
      <c r="II149"/>
      <c r="IJ149"/>
      <c r="IK149"/>
      <c r="IL149"/>
      <c r="IM149"/>
      <c r="IN149"/>
      <c r="IO149"/>
      <c r="IP149"/>
      <c r="IQ149"/>
      <c r="IR149"/>
      <c r="IS149"/>
      <c r="IT149"/>
      <c r="IU149"/>
      <c r="IV149"/>
      <c r="IW149"/>
      <c r="IX149"/>
      <c r="IY149"/>
      <c r="IZ149"/>
      <c r="JA149"/>
      <c r="JB149"/>
      <c r="JC149"/>
      <c r="JD149"/>
      <c r="JE149"/>
      <c r="JF149"/>
      <c r="JG149"/>
      <c r="JH149"/>
      <c r="JI149"/>
      <c r="JJ149"/>
      <c r="JK149"/>
      <c r="JL149"/>
      <c r="JM149"/>
      <c r="JN149"/>
      <c r="JO149"/>
      <c r="JP149"/>
      <c r="JQ149"/>
      <c r="JR149"/>
      <c r="JS149"/>
      <c r="JT149"/>
      <c r="JU149"/>
      <c r="JV149"/>
      <c r="JW149"/>
      <c r="JX149"/>
      <c r="JY149"/>
      <c r="JZ149"/>
      <c r="KA149"/>
      <c r="KB149"/>
      <c r="KC149"/>
      <c r="KD149"/>
      <c r="KE149"/>
      <c r="KF149"/>
      <c r="KG149"/>
      <c r="KH149"/>
      <c r="KI149"/>
    </row>
    <row r="150" spans="1:295" ht="20" customHeight="1" x14ac:dyDescent="0.15">
      <c r="A150" s="12"/>
      <c r="B150" s="13" t="s">
        <v>174</v>
      </c>
      <c r="C150" s="14" t="s">
        <v>23</v>
      </c>
      <c r="D150" s="15" t="s">
        <v>114</v>
      </c>
      <c r="E150" s="15" t="s">
        <v>189</v>
      </c>
      <c r="F150" s="16">
        <v>690</v>
      </c>
      <c r="G150" s="17">
        <v>32888.269999999997</v>
      </c>
      <c r="H150" s="17">
        <v>8503.9699999999993</v>
      </c>
      <c r="I150" s="19">
        <v>22692906.300000001</v>
      </c>
      <c r="J150" s="15" t="s">
        <v>17</v>
      </c>
      <c r="K150" s="15" t="s">
        <v>18</v>
      </c>
      <c r="L150" s="9">
        <f>YEAR(E150)</f>
        <v>2020</v>
      </c>
      <c r="M150" s="11">
        <f t="shared" si="4"/>
        <v>5867739.2999999998</v>
      </c>
      <c r="U150" s="63">
        <v>2022</v>
      </c>
      <c r="V150" s="43">
        <v>13058821.540000003</v>
      </c>
      <c r="W150" s="44">
        <v>359.2</v>
      </c>
      <c r="X150" s="44">
        <v>65333399.230000004</v>
      </c>
      <c r="Y150" s="61">
        <v>13058821.540000003</v>
      </c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/>
      <c r="AT150"/>
      <c r="AU150"/>
      <c r="AV150"/>
      <c r="AW150"/>
      <c r="AX150"/>
      <c r="AY150"/>
      <c r="AZ150"/>
      <c r="BA150"/>
      <c r="BB150"/>
      <c r="BC150"/>
      <c r="BD150"/>
      <c r="BE150"/>
      <c r="BF150"/>
      <c r="BG150"/>
      <c r="BH150"/>
      <c r="BI150"/>
      <c r="BJ150"/>
      <c r="BK150"/>
      <c r="BL150"/>
      <c r="BM150"/>
      <c r="BN150"/>
      <c r="BO150"/>
      <c r="BP150"/>
      <c r="BQ150"/>
      <c r="BR150"/>
      <c r="BS150"/>
      <c r="BT150"/>
      <c r="BU150"/>
      <c r="BV150"/>
      <c r="BW150"/>
      <c r="BX150"/>
      <c r="BY150"/>
      <c r="BZ150"/>
      <c r="CA150"/>
      <c r="CB150"/>
      <c r="CC150"/>
      <c r="CD150"/>
      <c r="CE150"/>
      <c r="CF150"/>
      <c r="CG150"/>
      <c r="CH150"/>
      <c r="CI150"/>
      <c r="CJ150"/>
      <c r="CK150"/>
      <c r="CL150"/>
      <c r="CM150"/>
      <c r="CN150"/>
      <c r="CO150"/>
      <c r="CP150"/>
      <c r="CQ150"/>
      <c r="CR150"/>
      <c r="CS150"/>
      <c r="CT150"/>
      <c r="CU150"/>
      <c r="CV150"/>
      <c r="CW150"/>
      <c r="CX150"/>
      <c r="CY150"/>
      <c r="CZ150"/>
      <c r="DA150"/>
      <c r="DB150"/>
      <c r="DC150"/>
      <c r="DD150"/>
      <c r="DE150"/>
      <c r="DF150"/>
      <c r="DG150"/>
      <c r="DH150"/>
      <c r="DI150"/>
      <c r="DJ150"/>
      <c r="DK150"/>
      <c r="DL150"/>
      <c r="DM150"/>
      <c r="DN150"/>
      <c r="DO150"/>
      <c r="DP150"/>
      <c r="DQ150"/>
      <c r="DR150"/>
      <c r="DS150"/>
      <c r="DT150"/>
      <c r="DU150"/>
      <c r="DV150"/>
      <c r="DW150"/>
      <c r="DX150"/>
      <c r="DY150"/>
      <c r="DZ150"/>
      <c r="EA150"/>
      <c r="EB150"/>
      <c r="EC150"/>
      <c r="ED150"/>
      <c r="EE150"/>
      <c r="EF150"/>
      <c r="EG150"/>
      <c r="EH150"/>
      <c r="EI150"/>
      <c r="EJ150"/>
      <c r="EK150"/>
      <c r="EL150"/>
      <c r="EM150"/>
      <c r="EN150"/>
      <c r="EO150"/>
      <c r="EP150"/>
      <c r="EQ150"/>
      <c r="ER150"/>
      <c r="ES150"/>
      <c r="ET150"/>
      <c r="EU150"/>
      <c r="EV150"/>
      <c r="EW150"/>
      <c r="EX150"/>
      <c r="EY150"/>
      <c r="EZ150"/>
      <c r="FA150"/>
      <c r="FB150"/>
      <c r="FC150"/>
      <c r="FD150"/>
      <c r="FE150"/>
      <c r="FF150"/>
      <c r="FG150"/>
      <c r="FH150"/>
      <c r="FI150"/>
      <c r="FJ150"/>
      <c r="FK150"/>
      <c r="FL150"/>
      <c r="FM150"/>
      <c r="FN150"/>
      <c r="FO150"/>
      <c r="FP150"/>
      <c r="FQ150"/>
      <c r="FR150"/>
      <c r="FS150"/>
      <c r="FT150"/>
      <c r="FU150"/>
      <c r="FV150"/>
      <c r="FW150"/>
      <c r="FX150"/>
      <c r="FY150"/>
      <c r="FZ150"/>
      <c r="GA150"/>
      <c r="GB150"/>
      <c r="GC150"/>
      <c r="GD150"/>
      <c r="GE150"/>
      <c r="GF150"/>
      <c r="GG150"/>
      <c r="GH150"/>
      <c r="GI150"/>
      <c r="GJ150"/>
      <c r="GK150"/>
      <c r="GL150"/>
      <c r="GM150"/>
      <c r="GN150"/>
      <c r="GO150"/>
      <c r="GP150"/>
      <c r="GQ150"/>
      <c r="GR150"/>
      <c r="GS150"/>
      <c r="GT150"/>
      <c r="GU150"/>
      <c r="GV150"/>
      <c r="GW150"/>
      <c r="GX150"/>
      <c r="GY150"/>
      <c r="GZ150"/>
      <c r="HA150"/>
      <c r="HB150"/>
      <c r="HC150"/>
      <c r="HD150"/>
      <c r="HE150"/>
      <c r="HF150"/>
      <c r="HG150"/>
      <c r="HH150"/>
      <c r="HI150"/>
      <c r="HJ150"/>
      <c r="HK150"/>
      <c r="HL150"/>
      <c r="HM150"/>
      <c r="HN150"/>
      <c r="HO150"/>
      <c r="HP150"/>
      <c r="HQ150"/>
      <c r="HR150"/>
      <c r="HS150"/>
      <c r="HT150"/>
      <c r="HU150"/>
      <c r="HV150"/>
      <c r="HW150"/>
      <c r="HX150"/>
      <c r="HY150"/>
      <c r="HZ150"/>
      <c r="IA150"/>
      <c r="IB150"/>
      <c r="IC150"/>
      <c r="ID150"/>
      <c r="IE150"/>
      <c r="IF150"/>
      <c r="IG150"/>
      <c r="IH150"/>
      <c r="II150"/>
      <c r="IJ150"/>
      <c r="IK150"/>
      <c r="IL150"/>
      <c r="IM150"/>
      <c r="IN150"/>
      <c r="IO150"/>
      <c r="IP150"/>
      <c r="IQ150"/>
      <c r="IR150"/>
      <c r="IS150"/>
      <c r="IT150"/>
      <c r="IU150"/>
      <c r="IV150"/>
      <c r="IW150"/>
      <c r="IX150"/>
      <c r="IY150"/>
      <c r="IZ150"/>
      <c r="JA150"/>
      <c r="JB150"/>
      <c r="JC150"/>
      <c r="JD150"/>
      <c r="JE150"/>
      <c r="JF150"/>
      <c r="JG150"/>
      <c r="JH150"/>
      <c r="JI150"/>
      <c r="JJ150"/>
      <c r="JK150"/>
      <c r="JL150"/>
      <c r="JM150"/>
      <c r="JN150"/>
      <c r="JO150"/>
      <c r="JP150"/>
      <c r="JQ150"/>
      <c r="JR150"/>
      <c r="JS150"/>
      <c r="JT150"/>
      <c r="JU150"/>
      <c r="JV150"/>
      <c r="JW150"/>
      <c r="JX150"/>
      <c r="JY150"/>
      <c r="JZ150"/>
      <c r="KA150"/>
      <c r="KB150"/>
      <c r="KC150"/>
      <c r="KD150"/>
      <c r="KE150"/>
      <c r="KF150"/>
      <c r="KG150"/>
      <c r="KH150"/>
      <c r="KI150"/>
    </row>
    <row r="151" spans="1:295" ht="20" customHeight="1" x14ac:dyDescent="0.15">
      <c r="A151" s="12"/>
      <c r="B151" s="13" t="s">
        <v>174</v>
      </c>
      <c r="C151" s="14" t="s">
        <v>35</v>
      </c>
      <c r="D151" s="15" t="s">
        <v>139</v>
      </c>
      <c r="E151" s="15" t="s">
        <v>198</v>
      </c>
      <c r="F151" s="16">
        <v>566</v>
      </c>
      <c r="G151" s="17">
        <v>10637.35</v>
      </c>
      <c r="H151" s="17">
        <v>3020.33</v>
      </c>
      <c r="I151" s="19">
        <v>6020740.0999999996</v>
      </c>
      <c r="J151" s="15" t="s">
        <v>30</v>
      </c>
      <c r="K151" s="15" t="s">
        <v>18</v>
      </c>
      <c r="L151" s="9">
        <f>YEAR(E151)</f>
        <v>2020</v>
      </c>
      <c r="M151" s="11">
        <f t="shared" si="4"/>
        <v>1709506.78</v>
      </c>
      <c r="U151" s="63">
        <v>2023</v>
      </c>
      <c r="V151" s="43">
        <v>15980095.75</v>
      </c>
      <c r="W151" s="44">
        <v>516.79999999999995</v>
      </c>
      <c r="X151" s="44">
        <v>57306626.549999997</v>
      </c>
      <c r="Y151" s="61">
        <v>15980095.75</v>
      </c>
      <c r="Z151"/>
      <c r="AA151"/>
      <c r="AB151"/>
      <c r="AC151"/>
      <c r="AD151"/>
      <c r="AE151"/>
      <c r="AF151"/>
      <c r="AG151"/>
      <c r="AH151"/>
      <c r="AI151"/>
      <c r="AJ151"/>
      <c r="AK151"/>
      <c r="AL151"/>
      <c r="AM151"/>
      <c r="AN151"/>
      <c r="AO151"/>
      <c r="AP151"/>
      <c r="AQ151"/>
      <c r="AR151"/>
      <c r="AS151"/>
      <c r="AT151"/>
      <c r="AU151"/>
      <c r="AV151"/>
      <c r="AW151"/>
      <c r="AX151"/>
      <c r="AY151"/>
      <c r="AZ151"/>
      <c r="BA151"/>
      <c r="BB151"/>
      <c r="BC151"/>
      <c r="BD151"/>
      <c r="BE151"/>
      <c r="BF151"/>
      <c r="BG151"/>
      <c r="BH151"/>
      <c r="BI151"/>
      <c r="BJ151"/>
      <c r="BK151"/>
      <c r="BL151"/>
      <c r="BM151"/>
      <c r="BN151"/>
      <c r="BO151"/>
      <c r="BP151"/>
      <c r="BQ151"/>
      <c r="BR151"/>
      <c r="BS151"/>
      <c r="BT151"/>
      <c r="BU151"/>
      <c r="BV151"/>
      <c r="BW151"/>
      <c r="BX151"/>
      <c r="BY151"/>
      <c r="BZ151"/>
      <c r="CA151"/>
      <c r="CB151"/>
      <c r="CC151"/>
      <c r="CD151"/>
      <c r="CE151"/>
      <c r="CF151"/>
      <c r="CG151"/>
      <c r="CH151"/>
      <c r="CI151"/>
      <c r="CJ151"/>
      <c r="CK151"/>
      <c r="CL151"/>
      <c r="CM151"/>
      <c r="CN151"/>
      <c r="CO151"/>
      <c r="CP151"/>
      <c r="CQ151"/>
      <c r="CR151"/>
      <c r="CS151"/>
      <c r="CT151"/>
      <c r="CU151"/>
      <c r="CV151"/>
      <c r="CW151"/>
      <c r="CX151"/>
      <c r="CY151"/>
      <c r="CZ151"/>
      <c r="DA151"/>
      <c r="DB151"/>
      <c r="DC151"/>
      <c r="DD151"/>
      <c r="DE151"/>
      <c r="DF151"/>
      <c r="DG151"/>
      <c r="DH151"/>
      <c r="DI151"/>
      <c r="DJ151"/>
      <c r="DK151"/>
      <c r="DL151"/>
      <c r="DM151"/>
      <c r="DN151"/>
      <c r="DO151"/>
      <c r="DP151"/>
      <c r="DQ151"/>
      <c r="DR151"/>
      <c r="DS151"/>
      <c r="DT151"/>
      <c r="DU151"/>
      <c r="DV151"/>
      <c r="DW151"/>
      <c r="DX151"/>
      <c r="DY151"/>
      <c r="DZ151"/>
      <c r="EA151"/>
      <c r="EB151"/>
      <c r="EC151"/>
      <c r="ED151"/>
      <c r="EE151"/>
      <c r="EF151"/>
      <c r="EG151"/>
      <c r="EH151"/>
      <c r="EI151"/>
      <c r="EJ151"/>
      <c r="EK151"/>
      <c r="EL151"/>
      <c r="EM151"/>
      <c r="EN151"/>
      <c r="EO151"/>
      <c r="EP151"/>
      <c r="EQ151"/>
      <c r="ER151"/>
      <c r="ES151"/>
      <c r="ET151"/>
      <c r="EU151"/>
      <c r="EV151"/>
      <c r="EW151"/>
      <c r="EX151"/>
      <c r="EY151"/>
      <c r="EZ151"/>
      <c r="FA151"/>
      <c r="FB151"/>
      <c r="FC151"/>
      <c r="FD151"/>
      <c r="FE151"/>
      <c r="FF151"/>
      <c r="FG151"/>
      <c r="FH151"/>
      <c r="FI151"/>
      <c r="FJ151"/>
      <c r="FK151"/>
      <c r="FL151"/>
      <c r="FM151"/>
      <c r="FN151"/>
      <c r="FO151"/>
      <c r="FP151"/>
      <c r="FQ151"/>
      <c r="FR151"/>
      <c r="FS151"/>
      <c r="FT151"/>
      <c r="FU151"/>
      <c r="FV151"/>
      <c r="FW151"/>
      <c r="FX151"/>
      <c r="FY151"/>
      <c r="FZ151"/>
      <c r="GA151"/>
      <c r="GB151"/>
      <c r="GC151"/>
      <c r="GD151"/>
      <c r="GE151"/>
      <c r="GF151"/>
      <c r="GG151"/>
      <c r="GH151"/>
      <c r="GI151"/>
      <c r="GJ151"/>
      <c r="GK151"/>
      <c r="GL151"/>
      <c r="GM151"/>
      <c r="GN151"/>
      <c r="GO151"/>
      <c r="GP151"/>
      <c r="GQ151"/>
      <c r="GR151"/>
      <c r="GS151"/>
      <c r="GT151"/>
      <c r="GU151"/>
      <c r="GV151"/>
      <c r="GW151"/>
      <c r="GX151"/>
      <c r="GY151"/>
      <c r="GZ151"/>
      <c r="HA151"/>
      <c r="HB151"/>
      <c r="HC151"/>
      <c r="HD151"/>
      <c r="HE151"/>
      <c r="HF151"/>
      <c r="HG151"/>
      <c r="HH151"/>
      <c r="HI151"/>
      <c r="HJ151"/>
      <c r="HK151"/>
      <c r="HL151"/>
      <c r="HM151"/>
      <c r="HN151"/>
      <c r="HO151"/>
      <c r="HP151"/>
      <c r="HQ151"/>
      <c r="HR151"/>
      <c r="HS151"/>
      <c r="HT151"/>
      <c r="HU151"/>
      <c r="HV151"/>
      <c r="HW151"/>
      <c r="HX151"/>
      <c r="HY151"/>
      <c r="HZ151"/>
      <c r="IA151"/>
      <c r="IB151"/>
      <c r="IC151"/>
      <c r="ID151"/>
      <c r="IE151"/>
      <c r="IF151"/>
      <c r="IG151"/>
      <c r="IH151"/>
      <c r="II151"/>
      <c r="IJ151"/>
      <c r="IK151"/>
      <c r="IL151"/>
      <c r="IM151"/>
      <c r="IN151"/>
      <c r="IO151"/>
      <c r="IP151"/>
      <c r="IQ151"/>
      <c r="IR151"/>
      <c r="IS151"/>
      <c r="IT151"/>
      <c r="IU151"/>
      <c r="IV151"/>
      <c r="IW151"/>
      <c r="IX151"/>
      <c r="IY151"/>
      <c r="IZ151"/>
      <c r="JA151"/>
      <c r="JB151"/>
      <c r="JC151"/>
      <c r="JD151"/>
      <c r="JE151"/>
      <c r="JF151"/>
      <c r="JG151"/>
      <c r="JH151"/>
      <c r="JI151"/>
      <c r="JJ151"/>
      <c r="JK151"/>
      <c r="JL151"/>
      <c r="JM151"/>
      <c r="JN151"/>
      <c r="JO151"/>
      <c r="JP151"/>
      <c r="JQ151"/>
      <c r="JR151"/>
      <c r="JS151"/>
      <c r="JT151"/>
      <c r="JU151"/>
      <c r="JV151"/>
      <c r="JW151"/>
      <c r="JX151"/>
      <c r="JY151"/>
      <c r="JZ151"/>
      <c r="KA151"/>
      <c r="KB151"/>
      <c r="KC151"/>
      <c r="KD151"/>
      <c r="KE151"/>
      <c r="KF151"/>
      <c r="KG151"/>
      <c r="KH151"/>
      <c r="KI151"/>
    </row>
    <row r="152" spans="1:295" ht="20" customHeight="1" x14ac:dyDescent="0.15">
      <c r="A152" s="12"/>
      <c r="B152" s="13" t="s">
        <v>174</v>
      </c>
      <c r="C152" s="14" t="s">
        <v>35</v>
      </c>
      <c r="D152" s="15" t="s">
        <v>26</v>
      </c>
      <c r="E152" s="15" t="s">
        <v>203</v>
      </c>
      <c r="F152" s="16">
        <v>395</v>
      </c>
      <c r="G152" s="17">
        <v>10195.24</v>
      </c>
      <c r="H152" s="17">
        <v>6032.84</v>
      </c>
      <c r="I152" s="19">
        <v>4027119.8</v>
      </c>
      <c r="J152" s="15" t="s">
        <v>30</v>
      </c>
      <c r="K152" s="15" t="s">
        <v>18</v>
      </c>
      <c r="L152" s="9">
        <f>YEAR(E152)</f>
        <v>2020</v>
      </c>
      <c r="M152" s="11">
        <f t="shared" si="4"/>
        <v>2382971.8000000003</v>
      </c>
      <c r="U152" s="42" t="s">
        <v>139</v>
      </c>
      <c r="V152" s="43">
        <v>46245210.299999997</v>
      </c>
      <c r="W152" s="44">
        <v>569.5625</v>
      </c>
      <c r="X152" s="44">
        <v>304863273.57999998</v>
      </c>
      <c r="Y152" s="61">
        <v>46245210.299999997</v>
      </c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/>
      <c r="AZ152"/>
      <c r="BA152"/>
      <c r="BB152"/>
      <c r="BC152"/>
      <c r="BD152"/>
      <c r="BE152"/>
      <c r="BF152"/>
      <c r="BG152"/>
      <c r="BH152"/>
      <c r="BI152"/>
      <c r="BJ152"/>
      <c r="BK152"/>
      <c r="BL152"/>
      <c r="BM152"/>
      <c r="BN152"/>
      <c r="BO152"/>
      <c r="BP152"/>
      <c r="BQ152"/>
      <c r="BR152"/>
      <c r="BS152"/>
      <c r="BT152"/>
      <c r="BU152"/>
      <c r="BV152"/>
      <c r="BW152"/>
      <c r="BX152"/>
      <c r="BY152"/>
      <c r="BZ152"/>
      <c r="CA152"/>
      <c r="CB152"/>
      <c r="CC152"/>
      <c r="CD152"/>
      <c r="CE152"/>
      <c r="CF152"/>
      <c r="CG152"/>
      <c r="CH152"/>
      <c r="CI152"/>
      <c r="CJ152"/>
      <c r="CK152"/>
      <c r="CL152"/>
      <c r="CM152"/>
      <c r="CN152"/>
      <c r="CO152"/>
      <c r="CP152"/>
      <c r="CQ152"/>
      <c r="CR152"/>
      <c r="CS152"/>
      <c r="CT152"/>
      <c r="CU152"/>
      <c r="CV152"/>
      <c r="CW152"/>
      <c r="CX152"/>
      <c r="CY152"/>
      <c r="CZ152"/>
      <c r="DA152"/>
      <c r="DB152"/>
      <c r="DC152"/>
      <c r="DD152"/>
      <c r="DE152"/>
      <c r="DF152"/>
      <c r="DG152"/>
      <c r="DH152"/>
      <c r="DI152"/>
      <c r="DJ152"/>
      <c r="DK152"/>
      <c r="DL152"/>
      <c r="DM152"/>
      <c r="DN152"/>
      <c r="DO152"/>
      <c r="DP152"/>
      <c r="DQ152"/>
      <c r="DR152"/>
      <c r="DS152"/>
      <c r="DT152"/>
      <c r="DU152"/>
      <c r="DV152"/>
      <c r="DW152"/>
      <c r="DX152"/>
      <c r="DY152"/>
      <c r="DZ152"/>
      <c r="EA152"/>
      <c r="EB152"/>
      <c r="EC152"/>
      <c r="ED152"/>
      <c r="EE152"/>
      <c r="EF152"/>
      <c r="EG152"/>
      <c r="EH152"/>
      <c r="EI152"/>
      <c r="EJ152"/>
      <c r="EK152"/>
      <c r="EL152"/>
      <c r="EM152"/>
      <c r="EN152"/>
      <c r="EO152"/>
      <c r="EP152"/>
      <c r="EQ152"/>
      <c r="ER152"/>
      <c r="ES152"/>
      <c r="ET152"/>
      <c r="EU152"/>
      <c r="EV152"/>
      <c r="EW152"/>
      <c r="EX152"/>
      <c r="EY152"/>
      <c r="EZ152"/>
      <c r="FA152"/>
      <c r="FB152"/>
      <c r="FC152"/>
      <c r="FD152"/>
      <c r="FE152"/>
      <c r="FF152"/>
      <c r="FG152"/>
      <c r="FH152"/>
      <c r="FI152"/>
      <c r="FJ152"/>
      <c r="FK152"/>
      <c r="FL152"/>
      <c r="FM152"/>
      <c r="FN152"/>
      <c r="FO152"/>
      <c r="FP152"/>
      <c r="FQ152"/>
      <c r="FR152"/>
      <c r="FS152"/>
      <c r="FT152"/>
      <c r="FU152"/>
      <c r="FV152"/>
      <c r="FW152"/>
      <c r="FX152"/>
      <c r="FY152"/>
      <c r="FZ152"/>
      <c r="GA152"/>
      <c r="GB152"/>
      <c r="GC152"/>
      <c r="GD152"/>
      <c r="GE152"/>
      <c r="GF152"/>
      <c r="GG152"/>
      <c r="GH152"/>
      <c r="GI152"/>
      <c r="GJ152"/>
      <c r="GK152"/>
      <c r="GL152"/>
      <c r="GM152"/>
      <c r="GN152"/>
      <c r="GO152"/>
      <c r="GP152"/>
      <c r="GQ152"/>
      <c r="GR152"/>
      <c r="GS152"/>
      <c r="GT152"/>
      <c r="GU152"/>
      <c r="GV152"/>
      <c r="GW152"/>
      <c r="GX152"/>
      <c r="GY152"/>
      <c r="GZ152"/>
      <c r="HA152"/>
      <c r="HB152"/>
      <c r="HC152"/>
      <c r="HD152"/>
      <c r="HE152"/>
      <c r="HF152"/>
      <c r="HG152"/>
      <c r="HH152"/>
      <c r="HI152"/>
      <c r="HJ152"/>
      <c r="HK152"/>
      <c r="HL152"/>
      <c r="HM152"/>
      <c r="HN152"/>
      <c r="HO152"/>
      <c r="HP152"/>
      <c r="HQ152"/>
      <c r="HR152"/>
      <c r="HS152"/>
      <c r="HT152"/>
      <c r="HU152"/>
      <c r="HV152"/>
      <c r="HW152"/>
      <c r="HX152"/>
      <c r="HY152"/>
      <c r="HZ152"/>
      <c r="IA152"/>
      <c r="IB152"/>
      <c r="IC152"/>
      <c r="ID152"/>
      <c r="IE152"/>
      <c r="IF152"/>
      <c r="IG152"/>
      <c r="IH152"/>
      <c r="II152"/>
      <c r="IJ152"/>
      <c r="IK152"/>
      <c r="IL152"/>
      <c r="IM152"/>
      <c r="IN152"/>
      <c r="IO152"/>
      <c r="IP152"/>
      <c r="IQ152"/>
      <c r="IR152"/>
      <c r="IS152"/>
      <c r="IT152"/>
      <c r="IU152"/>
      <c r="IV152"/>
      <c r="IW152"/>
      <c r="IX152"/>
      <c r="IY152"/>
      <c r="IZ152"/>
      <c r="JA152"/>
      <c r="JB152"/>
      <c r="JC152"/>
      <c r="JD152"/>
      <c r="JE152"/>
      <c r="JF152"/>
      <c r="JG152"/>
      <c r="JH152"/>
      <c r="JI152"/>
      <c r="JJ152"/>
      <c r="JK152"/>
      <c r="JL152"/>
      <c r="JM152"/>
      <c r="JN152"/>
      <c r="JO152"/>
      <c r="JP152"/>
      <c r="JQ152"/>
      <c r="JR152"/>
      <c r="JS152"/>
      <c r="JT152"/>
      <c r="JU152"/>
      <c r="JV152"/>
      <c r="JW152"/>
      <c r="JX152"/>
      <c r="JY152"/>
      <c r="JZ152"/>
      <c r="KA152"/>
      <c r="KB152"/>
      <c r="KC152"/>
      <c r="KD152"/>
      <c r="KE152"/>
      <c r="KF152"/>
      <c r="KG152"/>
      <c r="KH152"/>
      <c r="KI152"/>
    </row>
    <row r="153" spans="1:295" ht="20" customHeight="1" x14ac:dyDescent="0.15">
      <c r="A153" s="12"/>
      <c r="B153" s="13" t="s">
        <v>174</v>
      </c>
      <c r="C153" s="14" t="s">
        <v>19</v>
      </c>
      <c r="D153" s="15" t="s">
        <v>26</v>
      </c>
      <c r="E153" s="15" t="s">
        <v>212</v>
      </c>
      <c r="F153" s="16">
        <v>765</v>
      </c>
      <c r="G153" s="17">
        <v>38984.959999999999</v>
      </c>
      <c r="H153" s="17">
        <v>8638.35</v>
      </c>
      <c r="I153" s="19">
        <v>29823494.399999999</v>
      </c>
      <c r="J153" s="15" t="s">
        <v>28</v>
      </c>
      <c r="K153" s="15" t="s">
        <v>18</v>
      </c>
      <c r="L153" s="9">
        <f>YEAR(E153)</f>
        <v>2020</v>
      </c>
      <c r="M153" s="11">
        <f t="shared" si="4"/>
        <v>6608337.75</v>
      </c>
      <c r="U153" s="63">
        <v>2020</v>
      </c>
      <c r="V153" s="43">
        <v>7954415.2000000002</v>
      </c>
      <c r="W153" s="44">
        <v>623.5</v>
      </c>
      <c r="X153" s="44">
        <v>35166836.630000003</v>
      </c>
      <c r="Y153" s="61">
        <v>7954415.2000000002</v>
      </c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/>
      <c r="AX153"/>
      <c r="AY153"/>
      <c r="AZ153"/>
      <c r="BA153"/>
      <c r="BB153"/>
      <c r="BC153"/>
      <c r="BD153"/>
      <c r="BE153"/>
      <c r="BF153"/>
      <c r="BG153"/>
      <c r="BH153"/>
      <c r="BI153"/>
      <c r="BJ153"/>
      <c r="BK153"/>
      <c r="BL153"/>
      <c r="BM153"/>
      <c r="BN153"/>
      <c r="BO153"/>
      <c r="BP153"/>
      <c r="BQ153"/>
      <c r="BR153"/>
      <c r="BS153"/>
      <c r="BT153"/>
      <c r="BU153"/>
      <c r="BV153"/>
      <c r="BW153"/>
      <c r="BX153"/>
      <c r="BY153"/>
      <c r="BZ153"/>
      <c r="CA153"/>
      <c r="CB153"/>
      <c r="CC153"/>
      <c r="CD153"/>
      <c r="CE153"/>
      <c r="CF153"/>
      <c r="CG153"/>
      <c r="CH153"/>
      <c r="CI153"/>
      <c r="CJ153"/>
      <c r="CK153"/>
      <c r="CL153"/>
      <c r="CM153"/>
      <c r="CN153"/>
      <c r="CO153"/>
      <c r="CP153"/>
      <c r="CQ153"/>
      <c r="CR153"/>
      <c r="CS153"/>
      <c r="CT153"/>
      <c r="CU153"/>
      <c r="CV153"/>
      <c r="CW153"/>
      <c r="CX153"/>
      <c r="CY153"/>
      <c r="CZ153"/>
      <c r="DA153"/>
      <c r="DB153"/>
      <c r="DC153"/>
      <c r="DD153"/>
      <c r="DE153"/>
      <c r="DF153"/>
      <c r="DG153"/>
      <c r="DH153"/>
      <c r="DI153"/>
      <c r="DJ153"/>
      <c r="DK153"/>
      <c r="DL153"/>
      <c r="DM153"/>
      <c r="DN153"/>
      <c r="DO153"/>
      <c r="DP153"/>
      <c r="DQ153"/>
      <c r="DR153"/>
      <c r="DS153"/>
      <c r="DT153"/>
      <c r="DU153"/>
      <c r="DV153"/>
      <c r="DW153"/>
      <c r="DX153"/>
      <c r="DY153"/>
      <c r="DZ153"/>
      <c r="EA153"/>
      <c r="EB153"/>
      <c r="EC153"/>
      <c r="ED153"/>
      <c r="EE153"/>
      <c r="EF153"/>
      <c r="EG153"/>
      <c r="EH153"/>
      <c r="EI153"/>
      <c r="EJ153"/>
      <c r="EK153"/>
      <c r="EL153"/>
      <c r="EM153"/>
      <c r="EN153"/>
      <c r="EO153"/>
      <c r="EP153"/>
      <c r="EQ153"/>
      <c r="ER153"/>
      <c r="ES153"/>
      <c r="ET153"/>
      <c r="EU153"/>
      <c r="EV153"/>
      <c r="EW153"/>
      <c r="EX153"/>
      <c r="EY153"/>
      <c r="EZ153"/>
      <c r="FA153"/>
      <c r="FB153"/>
      <c r="FC153"/>
      <c r="FD153"/>
      <c r="FE153"/>
      <c r="FF153"/>
      <c r="FG153"/>
      <c r="FH153"/>
      <c r="FI153"/>
      <c r="FJ153"/>
      <c r="FK153"/>
      <c r="FL153"/>
      <c r="FM153"/>
      <c r="FN153"/>
      <c r="FO153"/>
      <c r="FP153"/>
      <c r="FQ153"/>
      <c r="FR153"/>
      <c r="FS153"/>
      <c r="FT153"/>
      <c r="FU153"/>
      <c r="FV153"/>
      <c r="FW153"/>
      <c r="FX153"/>
      <c r="FY153"/>
      <c r="FZ153"/>
      <c r="GA153"/>
      <c r="GB153"/>
      <c r="GC153"/>
      <c r="GD153"/>
      <c r="GE153"/>
      <c r="GF153"/>
      <c r="GG153"/>
      <c r="GH153"/>
      <c r="GI153"/>
      <c r="GJ153"/>
      <c r="GK153"/>
      <c r="GL153"/>
      <c r="GM153"/>
      <c r="GN153"/>
      <c r="GO153"/>
      <c r="GP153"/>
      <c r="GQ153"/>
      <c r="GR153"/>
      <c r="GS153"/>
      <c r="GT153"/>
      <c r="GU153"/>
      <c r="GV153"/>
      <c r="GW153"/>
      <c r="GX153"/>
      <c r="GY153"/>
      <c r="GZ153"/>
      <c r="HA153"/>
      <c r="HB153"/>
      <c r="HC153"/>
      <c r="HD153"/>
      <c r="HE153"/>
      <c r="HF153"/>
      <c r="HG153"/>
      <c r="HH153"/>
      <c r="HI153"/>
      <c r="HJ153"/>
      <c r="HK153"/>
      <c r="HL153"/>
      <c r="HM153"/>
      <c r="HN153"/>
      <c r="HO153"/>
      <c r="HP153"/>
      <c r="HQ153"/>
      <c r="HR153"/>
      <c r="HS153"/>
      <c r="HT153"/>
      <c r="HU153"/>
      <c r="HV153"/>
      <c r="HW153"/>
      <c r="HX153"/>
      <c r="HY153"/>
      <c r="HZ153"/>
      <c r="IA153"/>
      <c r="IB153"/>
      <c r="IC153"/>
      <c r="ID153"/>
      <c r="IE153"/>
      <c r="IF153"/>
      <c r="IG153"/>
      <c r="IH153"/>
      <c r="II153"/>
      <c r="IJ153"/>
      <c r="IK153"/>
      <c r="IL153"/>
      <c r="IM153"/>
      <c r="IN153"/>
      <c r="IO153"/>
      <c r="IP153"/>
      <c r="IQ153"/>
      <c r="IR153"/>
      <c r="IS153"/>
      <c r="IT153"/>
      <c r="IU153"/>
      <c r="IV153"/>
      <c r="IW153"/>
      <c r="IX153"/>
      <c r="IY153"/>
      <c r="IZ153"/>
      <c r="JA153"/>
      <c r="JB153"/>
      <c r="JC153"/>
      <c r="JD153"/>
      <c r="JE153"/>
      <c r="JF153"/>
      <c r="JG153"/>
      <c r="JH153"/>
      <c r="JI153"/>
      <c r="JJ153"/>
      <c r="JK153"/>
      <c r="JL153"/>
      <c r="JM153"/>
      <c r="JN153"/>
      <c r="JO153"/>
      <c r="JP153"/>
      <c r="JQ153"/>
      <c r="JR153"/>
      <c r="JS153"/>
      <c r="JT153"/>
      <c r="JU153"/>
      <c r="JV153"/>
      <c r="JW153"/>
      <c r="JX153"/>
      <c r="JY153"/>
      <c r="JZ153"/>
      <c r="KA153"/>
      <c r="KB153"/>
      <c r="KC153"/>
      <c r="KD153"/>
      <c r="KE153"/>
      <c r="KF153"/>
      <c r="KG153"/>
      <c r="KH153"/>
      <c r="KI153"/>
    </row>
    <row r="154" spans="1:295" ht="20" customHeight="1" x14ac:dyDescent="0.15">
      <c r="A154" s="12"/>
      <c r="B154" s="13" t="s">
        <v>174</v>
      </c>
      <c r="C154" s="14" t="s">
        <v>23</v>
      </c>
      <c r="D154" s="15" t="s">
        <v>26</v>
      </c>
      <c r="E154" s="15" t="s">
        <v>214</v>
      </c>
      <c r="F154" s="16">
        <v>504</v>
      </c>
      <c r="G154" s="17">
        <v>10656.58</v>
      </c>
      <c r="H154" s="17">
        <v>9979.02</v>
      </c>
      <c r="I154" s="17">
        <v>5370916.3200000003</v>
      </c>
      <c r="J154" s="15" t="s">
        <v>17</v>
      </c>
      <c r="K154" s="15" t="s">
        <v>18</v>
      </c>
      <c r="L154" s="9">
        <f>YEAR(E154)</f>
        <v>2020</v>
      </c>
      <c r="M154" s="11">
        <f t="shared" si="4"/>
        <v>5029426.08</v>
      </c>
      <c r="U154" s="63">
        <v>2021</v>
      </c>
      <c r="V154" s="43">
        <v>7833459.6600000001</v>
      </c>
      <c r="W154" s="44">
        <v>425.75</v>
      </c>
      <c r="X154" s="44">
        <v>66772538.309999995</v>
      </c>
      <c r="Y154" s="61">
        <v>7833459.6600000001</v>
      </c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  <c r="AY154"/>
      <c r="AZ154"/>
      <c r="BA154"/>
      <c r="BB154"/>
      <c r="BC154"/>
      <c r="BD154"/>
      <c r="BE154"/>
      <c r="BF154"/>
      <c r="BG154"/>
      <c r="BH154"/>
      <c r="BI154"/>
      <c r="BJ154"/>
      <c r="BK154"/>
      <c r="BL154"/>
      <c r="BM154"/>
      <c r="BN154"/>
      <c r="BO154"/>
      <c r="BP154"/>
      <c r="BQ154"/>
      <c r="BR154"/>
      <c r="BS154"/>
      <c r="BT154"/>
      <c r="BU154"/>
      <c r="BV154"/>
      <c r="BW154"/>
      <c r="BX154"/>
      <c r="BY154"/>
      <c r="BZ154"/>
      <c r="CA154"/>
      <c r="CB154"/>
      <c r="CC154"/>
      <c r="CD154"/>
      <c r="CE154"/>
      <c r="CF154"/>
      <c r="CG154"/>
      <c r="CH154"/>
      <c r="CI154"/>
      <c r="CJ154"/>
      <c r="CK154"/>
      <c r="CL154"/>
      <c r="CM154"/>
      <c r="CN154"/>
      <c r="CO154"/>
      <c r="CP154"/>
      <c r="CQ154"/>
      <c r="CR154"/>
      <c r="CS154"/>
      <c r="CT154"/>
      <c r="CU154"/>
      <c r="CV154"/>
      <c r="CW154"/>
      <c r="CX154"/>
      <c r="CY154"/>
      <c r="CZ154"/>
      <c r="DA154"/>
      <c r="DB154"/>
      <c r="DC154"/>
      <c r="DD154"/>
      <c r="DE154"/>
      <c r="DF154"/>
      <c r="DG154"/>
      <c r="DH154"/>
      <c r="DI154"/>
      <c r="DJ154"/>
      <c r="DK154"/>
      <c r="DL154"/>
      <c r="DM154"/>
      <c r="DN154"/>
      <c r="DO154"/>
      <c r="DP154"/>
      <c r="DQ154"/>
      <c r="DR154"/>
      <c r="DS154"/>
      <c r="DT154"/>
      <c r="DU154"/>
      <c r="DV154"/>
      <c r="DW154"/>
      <c r="DX154"/>
      <c r="DY154"/>
      <c r="DZ154"/>
      <c r="EA154"/>
      <c r="EB154"/>
      <c r="EC154"/>
      <c r="ED154"/>
      <c r="EE154"/>
      <c r="EF154"/>
      <c r="EG154"/>
      <c r="EH154"/>
      <c r="EI154"/>
      <c r="EJ154"/>
      <c r="EK154"/>
      <c r="EL154"/>
      <c r="EM154"/>
      <c r="EN154"/>
      <c r="EO154"/>
      <c r="EP154"/>
      <c r="EQ154"/>
      <c r="ER154"/>
      <c r="ES154"/>
      <c r="ET154"/>
      <c r="EU154"/>
      <c r="EV154"/>
      <c r="EW154"/>
      <c r="EX154"/>
      <c r="EY154"/>
      <c r="EZ154"/>
      <c r="FA154"/>
      <c r="FB154"/>
      <c r="FC154"/>
      <c r="FD154"/>
      <c r="FE154"/>
      <c r="FF154"/>
      <c r="FG154"/>
      <c r="FH154"/>
      <c r="FI154"/>
      <c r="FJ154"/>
      <c r="FK154"/>
      <c r="FL154"/>
      <c r="FM154"/>
      <c r="FN154"/>
      <c r="FO154"/>
      <c r="FP154"/>
      <c r="FQ154"/>
      <c r="FR154"/>
      <c r="FS154"/>
      <c r="FT154"/>
      <c r="FU154"/>
      <c r="FV154"/>
      <c r="FW154"/>
      <c r="FX154"/>
      <c r="FY154"/>
      <c r="FZ154"/>
      <c r="GA154"/>
      <c r="GB154"/>
      <c r="GC154"/>
      <c r="GD154"/>
      <c r="GE154"/>
      <c r="GF154"/>
      <c r="GG154"/>
      <c r="GH154"/>
      <c r="GI154"/>
      <c r="GJ154"/>
      <c r="GK154"/>
      <c r="GL154"/>
      <c r="GM154"/>
      <c r="GN154"/>
      <c r="GO154"/>
      <c r="GP154"/>
      <c r="GQ154"/>
      <c r="GR154"/>
      <c r="GS154"/>
      <c r="GT154"/>
      <c r="GU154"/>
      <c r="GV154"/>
      <c r="GW154"/>
      <c r="GX154"/>
      <c r="GY154"/>
      <c r="GZ154"/>
      <c r="HA154"/>
      <c r="HB154"/>
      <c r="HC154"/>
      <c r="HD154"/>
      <c r="HE154"/>
      <c r="HF154"/>
      <c r="HG154"/>
      <c r="HH154"/>
      <c r="HI154"/>
      <c r="HJ154"/>
      <c r="HK154"/>
      <c r="HL154"/>
      <c r="HM154"/>
      <c r="HN154"/>
      <c r="HO154"/>
      <c r="HP154"/>
      <c r="HQ154"/>
      <c r="HR154"/>
      <c r="HS154"/>
      <c r="HT154"/>
      <c r="HU154"/>
      <c r="HV154"/>
      <c r="HW154"/>
      <c r="HX154"/>
      <c r="HY154"/>
      <c r="HZ154"/>
      <c r="IA154"/>
      <c r="IB154"/>
      <c r="IC154"/>
      <c r="ID154"/>
      <c r="IE154"/>
      <c r="IF154"/>
      <c r="IG154"/>
      <c r="IH154"/>
      <c r="II154"/>
      <c r="IJ154"/>
      <c r="IK154"/>
      <c r="IL154"/>
      <c r="IM154"/>
      <c r="IN154"/>
      <c r="IO154"/>
      <c r="IP154"/>
      <c r="IQ154"/>
      <c r="IR154"/>
      <c r="IS154"/>
      <c r="IT154"/>
      <c r="IU154"/>
      <c r="IV154"/>
      <c r="IW154"/>
      <c r="IX154"/>
      <c r="IY154"/>
      <c r="IZ154"/>
      <c r="JA154"/>
      <c r="JB154"/>
      <c r="JC154"/>
      <c r="JD154"/>
      <c r="JE154"/>
      <c r="JF154"/>
      <c r="JG154"/>
      <c r="JH154"/>
      <c r="JI154"/>
      <c r="JJ154"/>
      <c r="JK154"/>
      <c r="JL154"/>
      <c r="JM154"/>
      <c r="JN154"/>
      <c r="JO154"/>
      <c r="JP154"/>
      <c r="JQ154"/>
      <c r="JR154"/>
      <c r="JS154"/>
      <c r="JT154"/>
      <c r="JU154"/>
      <c r="JV154"/>
      <c r="JW154"/>
      <c r="JX154"/>
      <c r="JY154"/>
      <c r="JZ154"/>
      <c r="KA154"/>
      <c r="KB154"/>
      <c r="KC154"/>
      <c r="KD154"/>
      <c r="KE154"/>
      <c r="KF154"/>
      <c r="KG154"/>
      <c r="KH154"/>
      <c r="KI154"/>
    </row>
    <row r="155" spans="1:295" ht="20" customHeight="1" x14ac:dyDescent="0.15">
      <c r="A155" s="12"/>
      <c r="B155" s="13" t="s">
        <v>174</v>
      </c>
      <c r="C155" s="14" t="s">
        <v>25</v>
      </c>
      <c r="D155" s="15" t="s">
        <v>26</v>
      </c>
      <c r="E155" s="15" t="s">
        <v>151</v>
      </c>
      <c r="F155" s="16">
        <v>302</v>
      </c>
      <c r="G155" s="19">
        <v>19878.5</v>
      </c>
      <c r="H155" s="17">
        <v>8056.92</v>
      </c>
      <c r="I155" s="16">
        <v>6003307</v>
      </c>
      <c r="J155" s="15" t="s">
        <v>17</v>
      </c>
      <c r="K155" s="15" t="s">
        <v>18</v>
      </c>
      <c r="L155" s="9">
        <f>YEAR(E155)</f>
        <v>2020</v>
      </c>
      <c r="M155" s="11">
        <f t="shared" si="4"/>
        <v>2433189.84</v>
      </c>
      <c r="U155" s="63">
        <v>2022</v>
      </c>
      <c r="V155" s="43">
        <v>15697403.990000002</v>
      </c>
      <c r="W155" s="44">
        <v>577.16666666666663</v>
      </c>
      <c r="X155" s="44">
        <v>105626662.84999999</v>
      </c>
      <c r="Y155" s="61">
        <v>15697403.990000002</v>
      </c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/>
      <c r="AY155"/>
      <c r="AZ155"/>
      <c r="BA155"/>
      <c r="BB155"/>
      <c r="BC155"/>
      <c r="BD155"/>
      <c r="BE155"/>
      <c r="BF155"/>
      <c r="BG155"/>
      <c r="BH155"/>
      <c r="BI155"/>
      <c r="BJ155"/>
      <c r="BK155"/>
      <c r="BL155"/>
      <c r="BM155"/>
      <c r="BN155"/>
      <c r="BO155"/>
      <c r="BP155"/>
      <c r="BQ155"/>
      <c r="BR155"/>
      <c r="BS155"/>
      <c r="BT155"/>
      <c r="BU155"/>
      <c r="BV155"/>
      <c r="BW155"/>
      <c r="BX155"/>
      <c r="BY155"/>
      <c r="BZ155"/>
      <c r="CA155"/>
      <c r="CB155"/>
      <c r="CC155"/>
      <c r="CD155"/>
      <c r="CE155"/>
      <c r="CF155"/>
      <c r="CG155"/>
      <c r="CH155"/>
      <c r="CI155"/>
      <c r="CJ155"/>
      <c r="CK155"/>
      <c r="CL155"/>
      <c r="CM155"/>
      <c r="CN155"/>
      <c r="CO155"/>
      <c r="CP155"/>
      <c r="CQ155"/>
      <c r="CR155"/>
      <c r="CS155"/>
      <c r="CT155"/>
      <c r="CU155"/>
      <c r="CV155"/>
      <c r="CW155"/>
      <c r="CX155"/>
      <c r="CY155"/>
      <c r="CZ155"/>
      <c r="DA155"/>
      <c r="DB155"/>
      <c r="DC155"/>
      <c r="DD155"/>
      <c r="DE155"/>
      <c r="DF155"/>
      <c r="DG155"/>
      <c r="DH155"/>
      <c r="DI155"/>
      <c r="DJ155"/>
      <c r="DK155"/>
      <c r="DL155"/>
      <c r="DM155"/>
      <c r="DN155"/>
      <c r="DO155"/>
      <c r="DP155"/>
      <c r="DQ155"/>
      <c r="DR155"/>
      <c r="DS155"/>
      <c r="DT155"/>
      <c r="DU155"/>
      <c r="DV155"/>
      <c r="DW155"/>
      <c r="DX155"/>
      <c r="DY155"/>
      <c r="DZ155"/>
      <c r="EA155"/>
      <c r="EB155"/>
      <c r="EC155"/>
      <c r="ED155"/>
      <c r="EE155"/>
      <c r="EF155"/>
      <c r="EG155"/>
      <c r="EH155"/>
      <c r="EI155"/>
      <c r="EJ155"/>
      <c r="EK155"/>
      <c r="EL155"/>
      <c r="EM155"/>
      <c r="EN155"/>
      <c r="EO155"/>
      <c r="EP155"/>
      <c r="EQ155"/>
      <c r="ER155"/>
      <c r="ES155"/>
      <c r="ET155"/>
      <c r="EU155"/>
      <c r="EV155"/>
      <c r="EW155"/>
      <c r="EX155"/>
      <c r="EY155"/>
      <c r="EZ155"/>
      <c r="FA155"/>
      <c r="FB155"/>
      <c r="FC155"/>
      <c r="FD155"/>
      <c r="FE155"/>
      <c r="FF155"/>
      <c r="FG155"/>
      <c r="FH155"/>
      <c r="FI155"/>
      <c r="FJ155"/>
      <c r="FK155"/>
      <c r="FL155"/>
      <c r="FM155"/>
      <c r="FN155"/>
      <c r="FO155"/>
      <c r="FP155"/>
      <c r="FQ155"/>
      <c r="FR155"/>
      <c r="FS155"/>
      <c r="FT155"/>
      <c r="FU155"/>
      <c r="FV155"/>
      <c r="FW155"/>
      <c r="FX155"/>
      <c r="FY155"/>
      <c r="FZ155"/>
      <c r="GA155"/>
      <c r="GB155"/>
      <c r="GC155"/>
      <c r="GD155"/>
      <c r="GE155"/>
      <c r="GF155"/>
      <c r="GG155"/>
      <c r="GH155"/>
      <c r="GI155"/>
      <c r="GJ155"/>
      <c r="GK155"/>
      <c r="GL155"/>
      <c r="GM155"/>
      <c r="GN155"/>
      <c r="GO155"/>
      <c r="GP155"/>
      <c r="GQ155"/>
      <c r="GR155"/>
      <c r="GS155"/>
      <c r="GT155"/>
      <c r="GU155"/>
      <c r="GV155"/>
      <c r="GW155"/>
      <c r="GX155"/>
      <c r="GY155"/>
      <c r="GZ155"/>
      <c r="HA155"/>
      <c r="HB155"/>
      <c r="HC155"/>
      <c r="HD155"/>
      <c r="HE155"/>
      <c r="HF155"/>
      <c r="HG155"/>
      <c r="HH155"/>
      <c r="HI155"/>
      <c r="HJ155"/>
      <c r="HK155"/>
      <c r="HL155"/>
      <c r="HM155"/>
      <c r="HN155"/>
      <c r="HO155"/>
      <c r="HP155"/>
      <c r="HQ155"/>
      <c r="HR155"/>
      <c r="HS155"/>
      <c r="HT155"/>
      <c r="HU155"/>
      <c r="HV155"/>
      <c r="HW155"/>
      <c r="HX155"/>
      <c r="HY155"/>
      <c r="HZ155"/>
      <c r="IA155"/>
      <c r="IB155"/>
      <c r="IC155"/>
      <c r="ID155"/>
      <c r="IE155"/>
      <c r="IF155"/>
      <c r="IG155"/>
      <c r="IH155"/>
      <c r="II155"/>
      <c r="IJ155"/>
      <c r="IK155"/>
      <c r="IL155"/>
      <c r="IM155"/>
      <c r="IN155"/>
      <c r="IO155"/>
      <c r="IP155"/>
      <c r="IQ155"/>
      <c r="IR155"/>
      <c r="IS155"/>
      <c r="IT155"/>
      <c r="IU155"/>
      <c r="IV155"/>
      <c r="IW155"/>
      <c r="IX155"/>
      <c r="IY155"/>
      <c r="IZ155"/>
      <c r="JA155"/>
      <c r="JB155"/>
      <c r="JC155"/>
      <c r="JD155"/>
      <c r="JE155"/>
      <c r="JF155"/>
      <c r="JG155"/>
      <c r="JH155"/>
      <c r="JI155"/>
      <c r="JJ155"/>
      <c r="JK155"/>
      <c r="JL155"/>
      <c r="JM155"/>
      <c r="JN155"/>
      <c r="JO155"/>
      <c r="JP155"/>
      <c r="JQ155"/>
      <c r="JR155"/>
      <c r="JS155"/>
      <c r="JT155"/>
      <c r="JU155"/>
      <c r="JV155"/>
      <c r="JW155"/>
      <c r="JX155"/>
      <c r="JY155"/>
      <c r="JZ155"/>
      <c r="KA155"/>
      <c r="KB155"/>
      <c r="KC155"/>
      <c r="KD155"/>
      <c r="KE155"/>
      <c r="KF155"/>
      <c r="KG155"/>
      <c r="KH155"/>
      <c r="KI155"/>
    </row>
    <row r="156" spans="1:295" ht="20" customHeight="1" x14ac:dyDescent="0.15">
      <c r="A156" s="12"/>
      <c r="B156" s="13" t="s">
        <v>174</v>
      </c>
      <c r="C156" s="14" t="s">
        <v>57</v>
      </c>
      <c r="D156" s="15" t="s">
        <v>15</v>
      </c>
      <c r="E156" s="15" t="s">
        <v>91</v>
      </c>
      <c r="F156" s="16">
        <v>885</v>
      </c>
      <c r="G156" s="17">
        <v>37238.519999999997</v>
      </c>
      <c r="H156" s="17">
        <v>5263.08</v>
      </c>
      <c r="I156" s="19">
        <v>32956090.199999999</v>
      </c>
      <c r="J156" s="15" t="s">
        <v>17</v>
      </c>
      <c r="K156" s="15" t="s">
        <v>18</v>
      </c>
      <c r="L156" s="9">
        <f>YEAR(E156)</f>
        <v>2020</v>
      </c>
      <c r="M156" s="11">
        <f t="shared" si="4"/>
        <v>4657825.8</v>
      </c>
      <c r="U156" s="63">
        <v>2023</v>
      </c>
      <c r="V156" s="43">
        <v>14759931.450000001</v>
      </c>
      <c r="W156" s="44">
        <v>675</v>
      </c>
      <c r="X156" s="44">
        <v>97297235.789999992</v>
      </c>
      <c r="Y156" s="61">
        <v>14759931.450000001</v>
      </c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/>
      <c r="BC156"/>
      <c r="BD156"/>
      <c r="BE156"/>
      <c r="BF156"/>
      <c r="BG156"/>
      <c r="BH156"/>
      <c r="BI156"/>
      <c r="BJ156"/>
      <c r="BK156"/>
      <c r="BL156"/>
      <c r="BM156"/>
      <c r="BN156"/>
      <c r="BO156"/>
      <c r="BP156"/>
      <c r="BQ156"/>
      <c r="BR156"/>
      <c r="BS156"/>
      <c r="BT156"/>
      <c r="BU156"/>
      <c r="BV156"/>
      <c r="BW156"/>
      <c r="BX156"/>
      <c r="BY156"/>
      <c r="BZ156"/>
      <c r="CA156"/>
      <c r="CB156"/>
      <c r="CC156"/>
      <c r="CD156"/>
      <c r="CE156"/>
      <c r="CF156"/>
      <c r="CG156"/>
      <c r="CH156"/>
      <c r="CI156"/>
      <c r="CJ156"/>
      <c r="CK156"/>
      <c r="CL156"/>
      <c r="CM156"/>
      <c r="CN156"/>
      <c r="CO156"/>
      <c r="CP156"/>
      <c r="CQ156"/>
      <c r="CR156"/>
      <c r="CS156"/>
      <c r="CT156"/>
      <c r="CU156"/>
      <c r="CV156"/>
      <c r="CW156"/>
      <c r="CX156"/>
      <c r="CY156"/>
      <c r="CZ156"/>
      <c r="DA156"/>
      <c r="DB156"/>
      <c r="DC156"/>
      <c r="DD156"/>
      <c r="DE156"/>
      <c r="DF156"/>
      <c r="DG156"/>
      <c r="DH156"/>
      <c r="DI156"/>
      <c r="DJ156"/>
      <c r="DK156"/>
      <c r="DL156"/>
      <c r="DM156"/>
      <c r="DN156"/>
      <c r="DO156"/>
      <c r="DP156"/>
      <c r="DQ156"/>
      <c r="DR156"/>
      <c r="DS156"/>
      <c r="DT156"/>
      <c r="DU156"/>
      <c r="DV156"/>
      <c r="DW156"/>
      <c r="DX156"/>
      <c r="DY156"/>
      <c r="DZ156"/>
      <c r="EA156"/>
      <c r="EB156"/>
      <c r="EC156"/>
      <c r="ED156"/>
      <c r="EE156"/>
      <c r="EF156"/>
      <c r="EG156"/>
      <c r="EH156"/>
      <c r="EI156"/>
      <c r="EJ156"/>
      <c r="EK156"/>
      <c r="EL156"/>
      <c r="EM156"/>
      <c r="EN156"/>
      <c r="EO156"/>
      <c r="EP156"/>
      <c r="EQ156"/>
      <c r="ER156"/>
      <c r="ES156"/>
      <c r="ET156"/>
      <c r="EU156"/>
      <c r="EV156"/>
      <c r="EW156"/>
      <c r="EX156"/>
      <c r="EY156"/>
      <c r="EZ156"/>
      <c r="FA156"/>
      <c r="FB156"/>
      <c r="FC156"/>
      <c r="FD156"/>
      <c r="FE156"/>
      <c r="FF156"/>
      <c r="FG156"/>
      <c r="FH156"/>
      <c r="FI156"/>
      <c r="FJ156"/>
      <c r="FK156"/>
      <c r="FL156"/>
      <c r="FM156"/>
      <c r="FN156"/>
      <c r="FO156"/>
      <c r="FP156"/>
      <c r="FQ156"/>
      <c r="FR156"/>
      <c r="FS156"/>
      <c r="FT156"/>
      <c r="FU156"/>
      <c r="FV156"/>
      <c r="FW156"/>
      <c r="FX156"/>
      <c r="FY156"/>
      <c r="FZ156"/>
      <c r="GA156"/>
      <c r="GB156"/>
      <c r="GC156"/>
      <c r="GD156"/>
      <c r="GE156"/>
      <c r="GF156"/>
      <c r="GG156"/>
      <c r="GH156"/>
      <c r="GI156"/>
      <c r="GJ156"/>
      <c r="GK156"/>
      <c r="GL156"/>
      <c r="GM156"/>
      <c r="GN156"/>
      <c r="GO156"/>
      <c r="GP156"/>
      <c r="GQ156"/>
      <c r="GR156"/>
      <c r="GS156"/>
      <c r="GT156"/>
      <c r="GU156"/>
      <c r="GV156"/>
      <c r="GW156"/>
      <c r="GX156"/>
      <c r="GY156"/>
      <c r="GZ156"/>
      <c r="HA156"/>
      <c r="HB156"/>
      <c r="HC156"/>
      <c r="HD156"/>
      <c r="HE156"/>
      <c r="HF156"/>
      <c r="HG156"/>
      <c r="HH156"/>
      <c r="HI156"/>
      <c r="HJ156"/>
      <c r="HK156"/>
      <c r="HL156"/>
      <c r="HM156"/>
      <c r="HN156"/>
      <c r="HO156"/>
      <c r="HP156"/>
      <c r="HQ156"/>
      <c r="HR156"/>
      <c r="HS156"/>
      <c r="HT156"/>
      <c r="HU156"/>
      <c r="HV156"/>
      <c r="HW156"/>
      <c r="HX156"/>
      <c r="HY156"/>
      <c r="HZ156"/>
      <c r="IA156"/>
      <c r="IB156"/>
      <c r="IC156"/>
      <c r="ID156"/>
      <c r="IE156"/>
      <c r="IF156"/>
      <c r="IG156"/>
      <c r="IH156"/>
      <c r="II156"/>
      <c r="IJ156"/>
      <c r="IK156"/>
      <c r="IL156"/>
      <c r="IM156"/>
      <c r="IN156"/>
      <c r="IO156"/>
      <c r="IP156"/>
      <c r="IQ156"/>
      <c r="IR156"/>
      <c r="IS156"/>
      <c r="IT156"/>
      <c r="IU156"/>
      <c r="IV156"/>
      <c r="IW156"/>
      <c r="IX156"/>
      <c r="IY156"/>
      <c r="IZ156"/>
      <c r="JA156"/>
      <c r="JB156"/>
      <c r="JC156"/>
      <c r="JD156"/>
      <c r="JE156"/>
      <c r="JF156"/>
      <c r="JG156"/>
      <c r="JH156"/>
      <c r="JI156"/>
      <c r="JJ156"/>
      <c r="JK156"/>
      <c r="JL156"/>
      <c r="JM156"/>
      <c r="JN156"/>
      <c r="JO156"/>
      <c r="JP156"/>
      <c r="JQ156"/>
      <c r="JR156"/>
      <c r="JS156"/>
      <c r="JT156"/>
      <c r="JU156"/>
      <c r="JV156"/>
      <c r="JW156"/>
      <c r="JX156"/>
      <c r="JY156"/>
      <c r="JZ156"/>
      <c r="KA156"/>
      <c r="KB156"/>
      <c r="KC156"/>
      <c r="KD156"/>
      <c r="KE156"/>
      <c r="KF156"/>
      <c r="KG156"/>
      <c r="KH156"/>
      <c r="KI156"/>
    </row>
    <row r="157" spans="1:295" ht="20" customHeight="1" x14ac:dyDescent="0.15">
      <c r="A157" s="12"/>
      <c r="B157" s="13" t="s">
        <v>174</v>
      </c>
      <c r="C157" s="14" t="s">
        <v>23</v>
      </c>
      <c r="D157" s="15" t="s">
        <v>15</v>
      </c>
      <c r="E157" s="15" t="s">
        <v>217</v>
      </c>
      <c r="F157" s="16">
        <v>229</v>
      </c>
      <c r="G157" s="17">
        <v>18212.59</v>
      </c>
      <c r="H157" s="17">
        <v>3226.57</v>
      </c>
      <c r="I157" s="17">
        <v>4170683.11</v>
      </c>
      <c r="J157" s="15" t="s">
        <v>28</v>
      </c>
      <c r="K157" s="15" t="s">
        <v>18</v>
      </c>
      <c r="L157" s="9">
        <f>YEAR(E157)</f>
        <v>2020</v>
      </c>
      <c r="M157" s="11">
        <f t="shared" si="4"/>
        <v>738884.53</v>
      </c>
      <c r="U157" s="42" t="s">
        <v>53</v>
      </c>
      <c r="V157" s="43">
        <v>65166669</v>
      </c>
      <c r="W157" s="44">
        <v>523.36363636363637</v>
      </c>
      <c r="X157" s="44">
        <v>363773707.42999983</v>
      </c>
      <c r="Y157" s="61">
        <v>65166669</v>
      </c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  <c r="AZ157"/>
      <c r="BA157"/>
      <c r="BB157"/>
      <c r="BC157"/>
      <c r="BD157"/>
      <c r="BE157"/>
      <c r="BF157"/>
      <c r="BG157"/>
      <c r="BH157"/>
      <c r="BI157"/>
      <c r="BJ157"/>
      <c r="BK157"/>
      <c r="BL157"/>
      <c r="BM157"/>
      <c r="BN157"/>
      <c r="BO157"/>
      <c r="BP157"/>
      <c r="BQ157"/>
      <c r="BR157"/>
      <c r="BS157"/>
      <c r="BT157"/>
      <c r="BU157"/>
      <c r="BV157"/>
      <c r="BW157"/>
      <c r="BX157"/>
      <c r="BY157"/>
      <c r="BZ157"/>
      <c r="CA157"/>
      <c r="CB157"/>
      <c r="CC157"/>
      <c r="CD157"/>
      <c r="CE157"/>
      <c r="CF157"/>
      <c r="CG157"/>
      <c r="CH157"/>
      <c r="CI157"/>
      <c r="CJ157"/>
      <c r="CK157"/>
      <c r="CL157"/>
      <c r="CM157"/>
      <c r="CN157"/>
      <c r="CO157"/>
      <c r="CP157"/>
      <c r="CQ157"/>
      <c r="CR157"/>
      <c r="CS157"/>
      <c r="CT157"/>
      <c r="CU157"/>
      <c r="CV157"/>
      <c r="CW157"/>
      <c r="CX157"/>
      <c r="CY157"/>
      <c r="CZ157"/>
      <c r="DA157"/>
      <c r="DB157"/>
      <c r="DC157"/>
      <c r="DD157"/>
      <c r="DE157"/>
      <c r="DF157"/>
      <c r="DG157"/>
      <c r="DH157"/>
      <c r="DI157"/>
      <c r="DJ157"/>
      <c r="DK157"/>
      <c r="DL157"/>
      <c r="DM157"/>
      <c r="DN157"/>
      <c r="DO157"/>
      <c r="DP157"/>
      <c r="DQ157"/>
      <c r="DR157"/>
      <c r="DS157"/>
      <c r="DT157"/>
      <c r="DU157"/>
      <c r="DV157"/>
      <c r="DW157"/>
      <c r="DX157"/>
      <c r="DY157"/>
      <c r="DZ157"/>
      <c r="EA157"/>
      <c r="EB157"/>
      <c r="EC157"/>
      <c r="ED157"/>
      <c r="EE157"/>
      <c r="EF157"/>
      <c r="EG157"/>
      <c r="EH157"/>
      <c r="EI157"/>
      <c r="EJ157"/>
      <c r="EK157"/>
      <c r="EL157"/>
      <c r="EM157"/>
      <c r="EN157"/>
      <c r="EO157"/>
      <c r="EP157"/>
      <c r="EQ157"/>
      <c r="ER157"/>
      <c r="ES157"/>
      <c r="ET157"/>
      <c r="EU157"/>
      <c r="EV157"/>
      <c r="EW157"/>
      <c r="EX157"/>
      <c r="EY157"/>
      <c r="EZ157"/>
      <c r="FA157"/>
      <c r="FB157"/>
      <c r="FC157"/>
      <c r="FD157"/>
      <c r="FE157"/>
      <c r="FF157"/>
      <c r="FG157"/>
      <c r="FH157"/>
      <c r="FI157"/>
      <c r="FJ157"/>
      <c r="FK157"/>
      <c r="FL157"/>
      <c r="FM157"/>
      <c r="FN157"/>
      <c r="FO157"/>
      <c r="FP157"/>
      <c r="FQ157"/>
      <c r="FR157"/>
      <c r="FS157"/>
      <c r="FT157"/>
      <c r="FU157"/>
      <c r="FV157"/>
      <c r="FW157"/>
      <c r="FX157"/>
      <c r="FY157"/>
      <c r="FZ157"/>
      <c r="GA157"/>
      <c r="GB157"/>
      <c r="GC157"/>
      <c r="GD157"/>
      <c r="GE157"/>
      <c r="GF157"/>
      <c r="GG157"/>
      <c r="GH157"/>
      <c r="GI157"/>
      <c r="GJ157"/>
      <c r="GK157"/>
      <c r="GL157"/>
      <c r="GM157"/>
      <c r="GN157"/>
      <c r="GO157"/>
      <c r="GP157"/>
      <c r="GQ157"/>
      <c r="GR157"/>
      <c r="GS157"/>
      <c r="GT157"/>
      <c r="GU157"/>
      <c r="GV157"/>
      <c r="GW157"/>
      <c r="GX157"/>
      <c r="GY157"/>
      <c r="GZ157"/>
      <c r="HA157"/>
      <c r="HB157"/>
      <c r="HC157"/>
      <c r="HD157"/>
      <c r="HE157"/>
      <c r="HF157"/>
      <c r="HG157"/>
      <c r="HH157"/>
      <c r="HI157"/>
      <c r="HJ157"/>
      <c r="HK157"/>
      <c r="HL157"/>
      <c r="HM157"/>
      <c r="HN157"/>
      <c r="HO157"/>
      <c r="HP157"/>
      <c r="HQ157"/>
      <c r="HR157"/>
      <c r="HS157"/>
      <c r="HT157"/>
      <c r="HU157"/>
      <c r="HV157"/>
      <c r="HW157"/>
      <c r="HX157"/>
      <c r="HY157"/>
      <c r="HZ157"/>
      <c r="IA157"/>
      <c r="IB157"/>
      <c r="IC157"/>
      <c r="ID157"/>
      <c r="IE157"/>
      <c r="IF157"/>
      <c r="IG157"/>
      <c r="IH157"/>
      <c r="II157"/>
      <c r="IJ157"/>
      <c r="IK157"/>
      <c r="IL157"/>
      <c r="IM157"/>
      <c r="IN157"/>
      <c r="IO157"/>
      <c r="IP157"/>
      <c r="IQ157"/>
      <c r="IR157"/>
      <c r="IS157"/>
      <c r="IT157"/>
      <c r="IU157"/>
      <c r="IV157"/>
      <c r="IW157"/>
      <c r="IX157"/>
      <c r="IY157"/>
      <c r="IZ157"/>
      <c r="JA157"/>
      <c r="JB157"/>
      <c r="JC157"/>
      <c r="JD157"/>
      <c r="JE157"/>
      <c r="JF157"/>
      <c r="JG157"/>
      <c r="JH157"/>
      <c r="JI157"/>
      <c r="JJ157"/>
      <c r="JK157"/>
      <c r="JL157"/>
      <c r="JM157"/>
      <c r="JN157"/>
      <c r="JO157"/>
      <c r="JP157"/>
      <c r="JQ157"/>
      <c r="JR157"/>
      <c r="JS157"/>
      <c r="JT157"/>
      <c r="JU157"/>
      <c r="JV157"/>
      <c r="JW157"/>
      <c r="JX157"/>
      <c r="JY157"/>
      <c r="JZ157"/>
      <c r="KA157"/>
      <c r="KB157"/>
      <c r="KC157"/>
      <c r="KD157"/>
      <c r="KE157"/>
      <c r="KF157"/>
      <c r="KG157"/>
      <c r="KH157"/>
      <c r="KI157"/>
    </row>
    <row r="158" spans="1:295" ht="20" customHeight="1" x14ac:dyDescent="0.15">
      <c r="A158" s="12"/>
      <c r="B158" s="13" t="s">
        <v>174</v>
      </c>
      <c r="C158" s="14" t="s">
        <v>79</v>
      </c>
      <c r="D158" s="15" t="s">
        <v>15</v>
      </c>
      <c r="E158" s="15" t="s">
        <v>218</v>
      </c>
      <c r="F158" s="16">
        <v>534</v>
      </c>
      <c r="G158" s="17">
        <v>15831.82</v>
      </c>
      <c r="H158" s="17">
        <v>3835.13</v>
      </c>
      <c r="I158" s="17">
        <v>8454191.8800000008</v>
      </c>
      <c r="J158" s="15" t="s">
        <v>22</v>
      </c>
      <c r="K158" s="15" t="s">
        <v>18</v>
      </c>
      <c r="L158" s="9">
        <f>YEAR(E158)</f>
        <v>2020</v>
      </c>
      <c r="M158" s="11">
        <f t="shared" si="4"/>
        <v>2047959.4200000002</v>
      </c>
      <c r="U158" s="63">
        <v>2020</v>
      </c>
      <c r="V158" s="43">
        <v>18326046.479999997</v>
      </c>
      <c r="W158" s="44">
        <v>600.6</v>
      </c>
      <c r="X158" s="44">
        <v>93467134.459999979</v>
      </c>
      <c r="Y158" s="61">
        <v>18326046.479999997</v>
      </c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  <c r="AY158"/>
      <c r="AZ158"/>
      <c r="BA158"/>
      <c r="BB158"/>
      <c r="BC158"/>
      <c r="BD158"/>
      <c r="BE158"/>
      <c r="BF158"/>
      <c r="BG158"/>
      <c r="BH158"/>
      <c r="BI158"/>
      <c r="BJ158"/>
      <c r="BK158"/>
      <c r="BL158"/>
      <c r="BM158"/>
      <c r="BN158"/>
      <c r="BO158"/>
      <c r="BP158"/>
      <c r="BQ158"/>
      <c r="BR158"/>
      <c r="BS158"/>
      <c r="BT158"/>
      <c r="BU158"/>
      <c r="BV158"/>
      <c r="BW158"/>
      <c r="BX158"/>
      <c r="BY158"/>
      <c r="BZ158"/>
      <c r="CA158"/>
      <c r="CB158"/>
      <c r="CC158"/>
      <c r="CD158"/>
      <c r="CE158"/>
      <c r="CF158"/>
      <c r="CG158"/>
      <c r="CH158"/>
      <c r="CI158"/>
      <c r="CJ158"/>
      <c r="CK158"/>
      <c r="CL158"/>
      <c r="CM158"/>
      <c r="CN158"/>
      <c r="CO158"/>
      <c r="CP158"/>
      <c r="CQ158"/>
      <c r="CR158"/>
      <c r="CS158"/>
      <c r="CT158"/>
      <c r="CU158"/>
      <c r="CV158"/>
      <c r="CW158"/>
      <c r="CX158"/>
      <c r="CY158"/>
      <c r="CZ158"/>
      <c r="DA158"/>
      <c r="DB158"/>
      <c r="DC158"/>
      <c r="DD158"/>
      <c r="DE158"/>
      <c r="DF158"/>
      <c r="DG158"/>
      <c r="DH158"/>
      <c r="DI158"/>
      <c r="DJ158"/>
      <c r="DK158"/>
      <c r="DL158"/>
      <c r="DM158"/>
      <c r="DN158"/>
      <c r="DO158"/>
      <c r="DP158"/>
      <c r="DQ158"/>
      <c r="DR158"/>
      <c r="DS158"/>
      <c r="DT158"/>
      <c r="DU158"/>
      <c r="DV158"/>
      <c r="DW158"/>
      <c r="DX158"/>
      <c r="DY158"/>
      <c r="DZ158"/>
      <c r="EA158"/>
      <c r="EB158"/>
      <c r="EC158"/>
      <c r="ED158"/>
      <c r="EE158"/>
      <c r="EF158"/>
      <c r="EG158"/>
      <c r="EH158"/>
      <c r="EI158"/>
      <c r="EJ158"/>
      <c r="EK158"/>
      <c r="EL158"/>
      <c r="EM158"/>
      <c r="EN158"/>
      <c r="EO158"/>
      <c r="EP158"/>
      <c r="EQ158"/>
      <c r="ER158"/>
      <c r="ES158"/>
      <c r="ET158"/>
      <c r="EU158"/>
      <c r="EV158"/>
      <c r="EW158"/>
      <c r="EX158"/>
      <c r="EY158"/>
      <c r="EZ158"/>
      <c r="FA158"/>
      <c r="FB158"/>
      <c r="FC158"/>
      <c r="FD158"/>
      <c r="FE158"/>
      <c r="FF158"/>
      <c r="FG158"/>
      <c r="FH158"/>
      <c r="FI158"/>
      <c r="FJ158"/>
      <c r="FK158"/>
      <c r="FL158"/>
      <c r="FM158"/>
      <c r="FN158"/>
      <c r="FO158"/>
      <c r="FP158"/>
      <c r="FQ158"/>
      <c r="FR158"/>
      <c r="FS158"/>
      <c r="FT158"/>
      <c r="FU158"/>
      <c r="FV158"/>
      <c r="FW158"/>
      <c r="FX158"/>
      <c r="FY158"/>
      <c r="FZ158"/>
      <c r="GA158"/>
      <c r="GB158"/>
      <c r="GC158"/>
      <c r="GD158"/>
      <c r="GE158"/>
      <c r="GF158"/>
      <c r="GG158"/>
      <c r="GH158"/>
      <c r="GI158"/>
      <c r="GJ158"/>
      <c r="GK158"/>
      <c r="GL158"/>
      <c r="GM158"/>
      <c r="GN158"/>
      <c r="GO158"/>
      <c r="GP158"/>
      <c r="GQ158"/>
      <c r="GR158"/>
      <c r="GS158"/>
      <c r="GT158"/>
      <c r="GU158"/>
      <c r="GV158"/>
      <c r="GW158"/>
      <c r="GX158"/>
      <c r="GY158"/>
      <c r="GZ158"/>
      <c r="HA158"/>
      <c r="HB158"/>
      <c r="HC158"/>
      <c r="HD158"/>
      <c r="HE158"/>
      <c r="HF158"/>
      <c r="HG158"/>
      <c r="HH158"/>
      <c r="HI158"/>
      <c r="HJ158"/>
      <c r="HK158"/>
      <c r="HL158"/>
      <c r="HM158"/>
      <c r="HN158"/>
      <c r="HO158"/>
      <c r="HP158"/>
      <c r="HQ158"/>
      <c r="HR158"/>
      <c r="HS158"/>
      <c r="HT158"/>
      <c r="HU158"/>
      <c r="HV158"/>
      <c r="HW158"/>
      <c r="HX158"/>
      <c r="HY158"/>
      <c r="HZ158"/>
      <c r="IA158"/>
      <c r="IB158"/>
      <c r="IC158"/>
      <c r="ID158"/>
      <c r="IE158"/>
      <c r="IF158"/>
      <c r="IG158"/>
      <c r="IH158"/>
      <c r="II158"/>
      <c r="IJ158"/>
      <c r="IK158"/>
      <c r="IL158"/>
      <c r="IM158"/>
      <c r="IN158"/>
      <c r="IO158"/>
      <c r="IP158"/>
      <c r="IQ158"/>
      <c r="IR158"/>
      <c r="IS158"/>
      <c r="IT158"/>
      <c r="IU158"/>
      <c r="IV158"/>
      <c r="IW158"/>
      <c r="IX158"/>
      <c r="IY158"/>
      <c r="IZ158"/>
      <c r="JA158"/>
      <c r="JB158"/>
      <c r="JC158"/>
      <c r="JD158"/>
      <c r="JE158"/>
      <c r="JF158"/>
      <c r="JG158"/>
      <c r="JH158"/>
      <c r="JI158"/>
      <c r="JJ158"/>
      <c r="JK158"/>
      <c r="JL158"/>
      <c r="JM158"/>
      <c r="JN158"/>
      <c r="JO158"/>
      <c r="JP158"/>
      <c r="JQ158"/>
      <c r="JR158"/>
      <c r="JS158"/>
      <c r="JT158"/>
      <c r="JU158"/>
      <c r="JV158"/>
      <c r="JW158"/>
      <c r="JX158"/>
      <c r="JY158"/>
      <c r="JZ158"/>
      <c r="KA158"/>
      <c r="KB158"/>
      <c r="KC158"/>
      <c r="KD158"/>
      <c r="KE158"/>
      <c r="KF158"/>
      <c r="KG158"/>
      <c r="KH158"/>
      <c r="KI158"/>
    </row>
    <row r="159" spans="1:295" ht="20" customHeight="1" x14ac:dyDescent="0.15">
      <c r="A159" s="12"/>
      <c r="B159" s="13" t="s">
        <v>174</v>
      </c>
      <c r="C159" s="14" t="s">
        <v>79</v>
      </c>
      <c r="D159" s="15" t="s">
        <v>15</v>
      </c>
      <c r="E159" s="15" t="s">
        <v>222</v>
      </c>
      <c r="F159" s="16">
        <v>158</v>
      </c>
      <c r="G159" s="17">
        <v>24848.97</v>
      </c>
      <c r="H159" s="17">
        <v>5426.09</v>
      </c>
      <c r="I159" s="17">
        <v>3926137.26</v>
      </c>
      <c r="J159" s="15" t="s">
        <v>22</v>
      </c>
      <c r="K159" s="15" t="s">
        <v>18</v>
      </c>
      <c r="L159" s="9">
        <f>YEAR(E159)</f>
        <v>2020</v>
      </c>
      <c r="M159" s="11">
        <f t="shared" si="4"/>
        <v>857322.22</v>
      </c>
      <c r="U159" s="63">
        <v>2021</v>
      </c>
      <c r="V159" s="43">
        <v>6169065.2199999997</v>
      </c>
      <c r="W159" s="44">
        <v>588</v>
      </c>
      <c r="X159" s="44">
        <v>52658963.599999994</v>
      </c>
      <c r="Y159" s="61">
        <v>6169065.2199999997</v>
      </c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/>
      <c r="BB159"/>
      <c r="BC159"/>
      <c r="BD159"/>
      <c r="BE159"/>
      <c r="BF159"/>
      <c r="BG159"/>
      <c r="BH159"/>
      <c r="BI159"/>
      <c r="BJ159"/>
      <c r="BK159"/>
      <c r="BL159"/>
      <c r="BM159"/>
      <c r="BN159"/>
      <c r="BO159"/>
      <c r="BP159"/>
      <c r="BQ159"/>
      <c r="BR159"/>
      <c r="BS159"/>
      <c r="BT159"/>
      <c r="BU159"/>
      <c r="BV159"/>
      <c r="BW159"/>
      <c r="BX159"/>
      <c r="BY159"/>
      <c r="BZ159"/>
      <c r="CA159"/>
      <c r="CB159"/>
      <c r="CC159"/>
      <c r="CD159"/>
      <c r="CE159"/>
      <c r="CF159"/>
      <c r="CG159"/>
      <c r="CH159"/>
      <c r="CI159"/>
      <c r="CJ159"/>
      <c r="CK159"/>
      <c r="CL159"/>
      <c r="CM159"/>
      <c r="CN159"/>
      <c r="CO159"/>
      <c r="CP159"/>
      <c r="CQ159"/>
      <c r="CR159"/>
      <c r="CS159"/>
      <c r="CT159"/>
      <c r="CU159"/>
      <c r="CV159"/>
      <c r="CW159"/>
      <c r="CX159"/>
      <c r="CY159"/>
      <c r="CZ159"/>
      <c r="DA159"/>
      <c r="DB159"/>
      <c r="DC159"/>
      <c r="DD159"/>
      <c r="DE159"/>
      <c r="DF159"/>
      <c r="DG159"/>
      <c r="DH159"/>
      <c r="DI159"/>
      <c r="DJ159"/>
      <c r="DK159"/>
      <c r="DL159"/>
      <c r="DM159"/>
      <c r="DN159"/>
      <c r="DO159"/>
      <c r="DP159"/>
      <c r="DQ159"/>
      <c r="DR159"/>
      <c r="DS159"/>
      <c r="DT159"/>
      <c r="DU159"/>
      <c r="DV159"/>
      <c r="DW159"/>
      <c r="DX159"/>
      <c r="DY159"/>
      <c r="DZ159"/>
      <c r="EA159"/>
      <c r="EB159"/>
      <c r="EC159"/>
      <c r="ED159"/>
      <c r="EE159"/>
      <c r="EF159"/>
      <c r="EG159"/>
      <c r="EH159"/>
      <c r="EI159"/>
      <c r="EJ159"/>
      <c r="EK159"/>
      <c r="EL159"/>
      <c r="EM159"/>
      <c r="EN159"/>
      <c r="EO159"/>
      <c r="EP159"/>
      <c r="EQ159"/>
      <c r="ER159"/>
      <c r="ES159"/>
      <c r="ET159"/>
      <c r="EU159"/>
      <c r="EV159"/>
      <c r="EW159"/>
      <c r="EX159"/>
      <c r="EY159"/>
      <c r="EZ159"/>
      <c r="FA159"/>
      <c r="FB159"/>
      <c r="FC159"/>
      <c r="FD159"/>
      <c r="FE159"/>
      <c r="FF159"/>
      <c r="FG159"/>
      <c r="FH159"/>
      <c r="FI159"/>
      <c r="FJ159"/>
      <c r="FK159"/>
      <c r="FL159"/>
      <c r="FM159"/>
      <c r="FN159"/>
      <c r="FO159"/>
      <c r="FP159"/>
      <c r="FQ159"/>
      <c r="FR159"/>
      <c r="FS159"/>
      <c r="FT159"/>
      <c r="FU159"/>
      <c r="FV159"/>
      <c r="FW159"/>
      <c r="FX159"/>
      <c r="FY159"/>
      <c r="FZ159"/>
      <c r="GA159"/>
      <c r="GB159"/>
      <c r="GC159"/>
      <c r="GD159"/>
      <c r="GE159"/>
      <c r="GF159"/>
      <c r="GG159"/>
      <c r="GH159"/>
      <c r="GI159"/>
      <c r="GJ159"/>
      <c r="GK159"/>
      <c r="GL159"/>
      <c r="GM159"/>
      <c r="GN159"/>
      <c r="GO159"/>
      <c r="GP159"/>
      <c r="GQ159"/>
      <c r="GR159"/>
      <c r="GS159"/>
      <c r="GT159"/>
      <c r="GU159"/>
      <c r="GV159"/>
      <c r="GW159"/>
      <c r="GX159"/>
      <c r="GY159"/>
      <c r="GZ159"/>
      <c r="HA159"/>
      <c r="HB159"/>
      <c r="HC159"/>
      <c r="HD159"/>
      <c r="HE159"/>
      <c r="HF159"/>
      <c r="HG159"/>
      <c r="HH159"/>
      <c r="HI159"/>
      <c r="HJ159"/>
      <c r="HK159"/>
      <c r="HL159"/>
      <c r="HM159"/>
      <c r="HN159"/>
      <c r="HO159"/>
      <c r="HP159"/>
      <c r="HQ159"/>
      <c r="HR159"/>
      <c r="HS159"/>
      <c r="HT159"/>
      <c r="HU159"/>
      <c r="HV159"/>
      <c r="HW159"/>
      <c r="HX159"/>
      <c r="HY159"/>
      <c r="HZ159"/>
      <c r="IA159"/>
      <c r="IB159"/>
      <c r="IC159"/>
      <c r="ID159"/>
      <c r="IE159"/>
      <c r="IF159"/>
      <c r="IG159"/>
      <c r="IH159"/>
      <c r="II159"/>
      <c r="IJ159"/>
      <c r="IK159"/>
      <c r="IL159"/>
      <c r="IM159"/>
      <c r="IN159"/>
      <c r="IO159"/>
      <c r="IP159"/>
      <c r="IQ159"/>
      <c r="IR159"/>
      <c r="IS159"/>
      <c r="IT159"/>
      <c r="IU159"/>
      <c r="IV159"/>
      <c r="IW159"/>
      <c r="IX159"/>
      <c r="IY159"/>
      <c r="IZ159"/>
      <c r="JA159"/>
      <c r="JB159"/>
      <c r="JC159"/>
      <c r="JD159"/>
      <c r="JE159"/>
      <c r="JF159"/>
      <c r="JG159"/>
      <c r="JH159"/>
      <c r="JI159"/>
      <c r="JJ159"/>
      <c r="JK159"/>
      <c r="JL159"/>
      <c r="JM159"/>
      <c r="JN159"/>
      <c r="JO159"/>
      <c r="JP159"/>
      <c r="JQ159"/>
      <c r="JR159"/>
      <c r="JS159"/>
      <c r="JT159"/>
      <c r="JU159"/>
      <c r="JV159"/>
      <c r="JW159"/>
      <c r="JX159"/>
      <c r="JY159"/>
      <c r="JZ159"/>
      <c r="KA159"/>
      <c r="KB159"/>
      <c r="KC159"/>
      <c r="KD159"/>
      <c r="KE159"/>
      <c r="KF159"/>
      <c r="KG159"/>
      <c r="KH159"/>
      <c r="KI159"/>
    </row>
    <row r="160" spans="1:295" ht="20" customHeight="1" x14ac:dyDescent="0.15">
      <c r="A160" s="12"/>
      <c r="B160" s="13" t="s">
        <v>174</v>
      </c>
      <c r="C160" s="14" t="s">
        <v>43</v>
      </c>
      <c r="D160" s="15" t="s">
        <v>70</v>
      </c>
      <c r="E160" s="15" t="s">
        <v>227</v>
      </c>
      <c r="F160" s="16">
        <v>312</v>
      </c>
      <c r="G160" s="17">
        <v>29465.29</v>
      </c>
      <c r="H160" s="17">
        <v>8310.14</v>
      </c>
      <c r="I160" s="17">
        <v>9193170.4800000004</v>
      </c>
      <c r="J160" s="15" t="s">
        <v>17</v>
      </c>
      <c r="K160" s="15" t="s">
        <v>18</v>
      </c>
      <c r="L160" s="9">
        <f>YEAR(E160)</f>
        <v>2020</v>
      </c>
      <c r="M160" s="11">
        <f t="shared" si="4"/>
        <v>2592763.6799999997</v>
      </c>
      <c r="U160" s="63">
        <v>2022</v>
      </c>
      <c r="V160" s="43">
        <v>26787137.399999999</v>
      </c>
      <c r="W160" s="44">
        <v>589</v>
      </c>
      <c r="X160" s="44">
        <v>127096103.00999999</v>
      </c>
      <c r="Y160" s="61">
        <v>26787137.399999999</v>
      </c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/>
      <c r="AY160"/>
      <c r="AZ160"/>
      <c r="BA160"/>
      <c r="BB160"/>
      <c r="BC160"/>
      <c r="BD160"/>
      <c r="BE160"/>
      <c r="BF160"/>
      <c r="BG160"/>
      <c r="BH160"/>
      <c r="BI160"/>
      <c r="BJ160"/>
      <c r="BK160"/>
      <c r="BL160"/>
      <c r="BM160"/>
      <c r="BN160"/>
      <c r="BO160"/>
      <c r="BP160"/>
      <c r="BQ160"/>
      <c r="BR160"/>
      <c r="BS160"/>
      <c r="BT160"/>
      <c r="BU160"/>
      <c r="BV160"/>
      <c r="BW160"/>
      <c r="BX160"/>
      <c r="BY160"/>
      <c r="BZ160"/>
      <c r="CA160"/>
      <c r="CB160"/>
      <c r="CC160"/>
      <c r="CD160"/>
      <c r="CE160"/>
      <c r="CF160"/>
      <c r="CG160"/>
      <c r="CH160"/>
      <c r="CI160"/>
      <c r="CJ160"/>
      <c r="CK160"/>
      <c r="CL160"/>
      <c r="CM160"/>
      <c r="CN160"/>
      <c r="CO160"/>
      <c r="CP160"/>
      <c r="CQ160"/>
      <c r="CR160"/>
      <c r="CS160"/>
      <c r="CT160"/>
      <c r="CU160"/>
      <c r="CV160"/>
      <c r="CW160"/>
      <c r="CX160"/>
      <c r="CY160"/>
      <c r="CZ160"/>
      <c r="DA160"/>
      <c r="DB160"/>
      <c r="DC160"/>
      <c r="DD160"/>
      <c r="DE160"/>
      <c r="DF160"/>
      <c r="DG160"/>
      <c r="DH160"/>
      <c r="DI160"/>
      <c r="DJ160"/>
      <c r="DK160"/>
      <c r="DL160"/>
      <c r="DM160"/>
      <c r="DN160"/>
      <c r="DO160"/>
      <c r="DP160"/>
      <c r="DQ160"/>
      <c r="DR160"/>
      <c r="DS160"/>
      <c r="DT160"/>
      <c r="DU160"/>
      <c r="DV160"/>
      <c r="DW160"/>
      <c r="DX160"/>
      <c r="DY160"/>
      <c r="DZ160"/>
      <c r="EA160"/>
      <c r="EB160"/>
      <c r="EC160"/>
      <c r="ED160"/>
      <c r="EE160"/>
      <c r="EF160"/>
      <c r="EG160"/>
      <c r="EH160"/>
      <c r="EI160"/>
      <c r="EJ160"/>
      <c r="EK160"/>
      <c r="EL160"/>
      <c r="EM160"/>
      <c r="EN160"/>
      <c r="EO160"/>
      <c r="EP160"/>
      <c r="EQ160"/>
      <c r="ER160"/>
      <c r="ES160"/>
      <c r="ET160"/>
      <c r="EU160"/>
      <c r="EV160"/>
      <c r="EW160"/>
      <c r="EX160"/>
      <c r="EY160"/>
      <c r="EZ160"/>
      <c r="FA160"/>
      <c r="FB160"/>
      <c r="FC160"/>
      <c r="FD160"/>
      <c r="FE160"/>
      <c r="FF160"/>
      <c r="FG160"/>
      <c r="FH160"/>
      <c r="FI160"/>
      <c r="FJ160"/>
      <c r="FK160"/>
      <c r="FL160"/>
      <c r="FM160"/>
      <c r="FN160"/>
      <c r="FO160"/>
      <c r="FP160"/>
      <c r="FQ160"/>
      <c r="FR160"/>
      <c r="FS160"/>
      <c r="FT160"/>
      <c r="FU160"/>
      <c r="FV160"/>
      <c r="FW160"/>
      <c r="FX160"/>
      <c r="FY160"/>
      <c r="FZ160"/>
      <c r="GA160"/>
      <c r="GB160"/>
      <c r="GC160"/>
      <c r="GD160"/>
      <c r="GE160"/>
      <c r="GF160"/>
      <c r="GG160"/>
      <c r="GH160"/>
      <c r="GI160"/>
      <c r="GJ160"/>
      <c r="GK160"/>
      <c r="GL160"/>
      <c r="GM160"/>
      <c r="GN160"/>
      <c r="GO160"/>
      <c r="GP160"/>
      <c r="GQ160"/>
      <c r="GR160"/>
      <c r="GS160"/>
      <c r="GT160"/>
      <c r="GU160"/>
      <c r="GV160"/>
      <c r="GW160"/>
      <c r="GX160"/>
      <c r="GY160"/>
      <c r="GZ160"/>
      <c r="HA160"/>
      <c r="HB160"/>
      <c r="HC160"/>
      <c r="HD160"/>
      <c r="HE160"/>
      <c r="HF160"/>
      <c r="HG160"/>
      <c r="HH160"/>
      <c r="HI160"/>
      <c r="HJ160"/>
      <c r="HK160"/>
      <c r="HL160"/>
      <c r="HM160"/>
      <c r="HN160"/>
      <c r="HO160"/>
      <c r="HP160"/>
      <c r="HQ160"/>
      <c r="HR160"/>
      <c r="HS160"/>
      <c r="HT160"/>
      <c r="HU160"/>
      <c r="HV160"/>
      <c r="HW160"/>
      <c r="HX160"/>
      <c r="HY160"/>
      <c r="HZ160"/>
      <c r="IA160"/>
      <c r="IB160"/>
      <c r="IC160"/>
      <c r="ID160"/>
      <c r="IE160"/>
      <c r="IF160"/>
      <c r="IG160"/>
      <c r="IH160"/>
      <c r="II160"/>
      <c r="IJ160"/>
      <c r="IK160"/>
      <c r="IL160"/>
      <c r="IM160"/>
      <c r="IN160"/>
      <c r="IO160"/>
      <c r="IP160"/>
      <c r="IQ160"/>
      <c r="IR160"/>
      <c r="IS160"/>
      <c r="IT160"/>
      <c r="IU160"/>
      <c r="IV160"/>
      <c r="IW160"/>
      <c r="IX160"/>
      <c r="IY160"/>
      <c r="IZ160"/>
      <c r="JA160"/>
      <c r="JB160"/>
      <c r="JC160"/>
      <c r="JD160"/>
      <c r="JE160"/>
      <c r="JF160"/>
      <c r="JG160"/>
      <c r="JH160"/>
      <c r="JI160"/>
      <c r="JJ160"/>
      <c r="JK160"/>
      <c r="JL160"/>
      <c r="JM160"/>
      <c r="JN160"/>
      <c r="JO160"/>
      <c r="JP160"/>
      <c r="JQ160"/>
      <c r="JR160"/>
      <c r="JS160"/>
      <c r="JT160"/>
      <c r="JU160"/>
      <c r="JV160"/>
      <c r="JW160"/>
      <c r="JX160"/>
      <c r="JY160"/>
      <c r="JZ160"/>
      <c r="KA160"/>
      <c r="KB160"/>
      <c r="KC160"/>
      <c r="KD160"/>
      <c r="KE160"/>
      <c r="KF160"/>
      <c r="KG160"/>
      <c r="KH160"/>
      <c r="KI160"/>
    </row>
    <row r="161" spans="1:295" ht="20" customHeight="1" x14ac:dyDescent="0.15">
      <c r="A161" s="12"/>
      <c r="B161" s="13" t="s">
        <v>174</v>
      </c>
      <c r="C161" s="14" t="s">
        <v>35</v>
      </c>
      <c r="D161" s="15" t="s">
        <v>70</v>
      </c>
      <c r="E161" s="15" t="s">
        <v>229</v>
      </c>
      <c r="F161" s="16">
        <v>442</v>
      </c>
      <c r="G161" s="17">
        <v>18782.89</v>
      </c>
      <c r="H161" s="17">
        <v>5559.47</v>
      </c>
      <c r="I161" s="17">
        <v>8302037.3799999999</v>
      </c>
      <c r="J161" s="15" t="s">
        <v>22</v>
      </c>
      <c r="K161" s="15" t="s">
        <v>18</v>
      </c>
      <c r="L161" s="9">
        <f>YEAR(E161)</f>
        <v>2020</v>
      </c>
      <c r="M161" s="11">
        <f t="shared" si="4"/>
        <v>2457285.7400000002</v>
      </c>
      <c r="U161" s="63">
        <v>2023</v>
      </c>
      <c r="V161" s="43">
        <v>13884419.9</v>
      </c>
      <c r="W161" s="44">
        <v>374.85714285714283</v>
      </c>
      <c r="X161" s="44">
        <v>90551506.359999999</v>
      </c>
      <c r="Y161" s="61">
        <v>13884419.9</v>
      </c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/>
      <c r="AZ161"/>
      <c r="BA161"/>
      <c r="BB161"/>
      <c r="BC161"/>
      <c r="BD161"/>
      <c r="BE161"/>
      <c r="BF161"/>
      <c r="BG161"/>
      <c r="BH161"/>
      <c r="BI161"/>
      <c r="BJ161"/>
      <c r="BK161"/>
      <c r="BL161"/>
      <c r="BM161"/>
      <c r="BN161"/>
      <c r="BO161"/>
      <c r="BP161"/>
      <c r="BQ161"/>
      <c r="BR161"/>
      <c r="BS161"/>
      <c r="BT161"/>
      <c r="BU161"/>
      <c r="BV161"/>
      <c r="BW161"/>
      <c r="BX161"/>
      <c r="BY161"/>
      <c r="BZ161"/>
      <c r="CA161"/>
      <c r="CB161"/>
      <c r="CC161"/>
      <c r="CD161"/>
      <c r="CE161"/>
      <c r="CF161"/>
      <c r="CG161"/>
      <c r="CH161"/>
      <c r="CI161"/>
      <c r="CJ161"/>
      <c r="CK161"/>
      <c r="CL161"/>
      <c r="CM161"/>
      <c r="CN161"/>
      <c r="CO161"/>
      <c r="CP161"/>
      <c r="CQ161"/>
      <c r="CR161"/>
      <c r="CS161"/>
      <c r="CT161"/>
      <c r="CU161"/>
      <c r="CV161"/>
      <c r="CW161"/>
      <c r="CX161"/>
      <c r="CY161"/>
      <c r="CZ161"/>
      <c r="DA161"/>
      <c r="DB161"/>
      <c r="DC161"/>
      <c r="DD161"/>
      <c r="DE161"/>
      <c r="DF161"/>
      <c r="DG161"/>
      <c r="DH161"/>
      <c r="DI161"/>
      <c r="DJ161"/>
      <c r="DK161"/>
      <c r="DL161"/>
      <c r="DM161"/>
      <c r="DN161"/>
      <c r="DO161"/>
      <c r="DP161"/>
      <c r="DQ161"/>
      <c r="DR161"/>
      <c r="DS161"/>
      <c r="DT161"/>
      <c r="DU161"/>
      <c r="DV161"/>
      <c r="DW161"/>
      <c r="DX161"/>
      <c r="DY161"/>
      <c r="DZ161"/>
      <c r="EA161"/>
      <c r="EB161"/>
      <c r="EC161"/>
      <c r="ED161"/>
      <c r="EE161"/>
      <c r="EF161"/>
      <c r="EG161"/>
      <c r="EH161"/>
      <c r="EI161"/>
      <c r="EJ161"/>
      <c r="EK161"/>
      <c r="EL161"/>
      <c r="EM161"/>
      <c r="EN161"/>
      <c r="EO161"/>
      <c r="EP161"/>
      <c r="EQ161"/>
      <c r="ER161"/>
      <c r="ES161"/>
      <c r="ET161"/>
      <c r="EU161"/>
      <c r="EV161"/>
      <c r="EW161"/>
      <c r="EX161"/>
      <c r="EY161"/>
      <c r="EZ161"/>
      <c r="FA161"/>
      <c r="FB161"/>
      <c r="FC161"/>
      <c r="FD161"/>
      <c r="FE161"/>
      <c r="FF161"/>
      <c r="FG161"/>
      <c r="FH161"/>
      <c r="FI161"/>
      <c r="FJ161"/>
      <c r="FK161"/>
      <c r="FL161"/>
      <c r="FM161"/>
      <c r="FN161"/>
      <c r="FO161"/>
      <c r="FP161"/>
      <c r="FQ161"/>
      <c r="FR161"/>
      <c r="FS161"/>
      <c r="FT161"/>
      <c r="FU161"/>
      <c r="FV161"/>
      <c r="FW161"/>
      <c r="FX161"/>
      <c r="FY161"/>
      <c r="FZ161"/>
      <c r="GA161"/>
      <c r="GB161"/>
      <c r="GC161"/>
      <c r="GD161"/>
      <c r="GE161"/>
      <c r="GF161"/>
      <c r="GG161"/>
      <c r="GH161"/>
      <c r="GI161"/>
      <c r="GJ161"/>
      <c r="GK161"/>
      <c r="GL161"/>
      <c r="GM161"/>
      <c r="GN161"/>
      <c r="GO161"/>
      <c r="GP161"/>
      <c r="GQ161"/>
      <c r="GR161"/>
      <c r="GS161"/>
      <c r="GT161"/>
      <c r="GU161"/>
      <c r="GV161"/>
      <c r="GW161"/>
      <c r="GX161"/>
      <c r="GY161"/>
      <c r="GZ161"/>
      <c r="HA161"/>
      <c r="HB161"/>
      <c r="HC161"/>
      <c r="HD161"/>
      <c r="HE161"/>
      <c r="HF161"/>
      <c r="HG161"/>
      <c r="HH161"/>
      <c r="HI161"/>
      <c r="HJ161"/>
      <c r="HK161"/>
      <c r="HL161"/>
      <c r="HM161"/>
      <c r="HN161"/>
      <c r="HO161"/>
      <c r="HP161"/>
      <c r="HQ161"/>
      <c r="HR161"/>
      <c r="HS161"/>
      <c r="HT161"/>
      <c r="HU161"/>
      <c r="HV161"/>
      <c r="HW161"/>
      <c r="HX161"/>
      <c r="HY161"/>
      <c r="HZ161"/>
      <c r="IA161"/>
      <c r="IB161"/>
      <c r="IC161"/>
      <c r="ID161"/>
      <c r="IE161"/>
      <c r="IF161"/>
      <c r="IG161"/>
      <c r="IH161"/>
      <c r="II161"/>
      <c r="IJ161"/>
      <c r="IK161"/>
      <c r="IL161"/>
      <c r="IM161"/>
      <c r="IN161"/>
      <c r="IO161"/>
      <c r="IP161"/>
      <c r="IQ161"/>
      <c r="IR161"/>
      <c r="IS161"/>
      <c r="IT161"/>
      <c r="IU161"/>
      <c r="IV161"/>
      <c r="IW161"/>
      <c r="IX161"/>
      <c r="IY161"/>
      <c r="IZ161"/>
      <c r="JA161"/>
      <c r="JB161"/>
      <c r="JC161"/>
      <c r="JD161"/>
      <c r="JE161"/>
      <c r="JF161"/>
      <c r="JG161"/>
      <c r="JH161"/>
      <c r="JI161"/>
      <c r="JJ161"/>
      <c r="JK161"/>
      <c r="JL161"/>
      <c r="JM161"/>
      <c r="JN161"/>
      <c r="JO161"/>
      <c r="JP161"/>
      <c r="JQ161"/>
      <c r="JR161"/>
      <c r="JS161"/>
      <c r="JT161"/>
      <c r="JU161"/>
      <c r="JV161"/>
      <c r="JW161"/>
      <c r="JX161"/>
      <c r="JY161"/>
      <c r="JZ161"/>
      <c r="KA161"/>
      <c r="KB161"/>
      <c r="KC161"/>
      <c r="KD161"/>
      <c r="KE161"/>
      <c r="KF161"/>
      <c r="KG161"/>
      <c r="KH161"/>
      <c r="KI161"/>
    </row>
    <row r="162" spans="1:295" ht="20" customHeight="1" x14ac:dyDescent="0.15">
      <c r="A162" s="12"/>
      <c r="B162" s="13" t="s">
        <v>174</v>
      </c>
      <c r="C162" s="14" t="s">
        <v>31</v>
      </c>
      <c r="D162" s="15" t="s">
        <v>107</v>
      </c>
      <c r="E162" s="15" t="s">
        <v>236</v>
      </c>
      <c r="F162" s="16">
        <v>895</v>
      </c>
      <c r="G162" s="17">
        <v>44627.31</v>
      </c>
      <c r="H162" s="17">
        <v>6484.53</v>
      </c>
      <c r="I162" s="17">
        <v>39941442.450000003</v>
      </c>
      <c r="J162" s="15" t="s">
        <v>30</v>
      </c>
      <c r="K162" s="15" t="s">
        <v>18</v>
      </c>
      <c r="L162" s="9">
        <f>YEAR(E162)</f>
        <v>2020</v>
      </c>
      <c r="M162" s="11">
        <f t="shared" si="4"/>
        <v>5803654.3499999996</v>
      </c>
      <c r="U162" s="42" t="s">
        <v>153</v>
      </c>
      <c r="V162" s="43">
        <v>17587007.370000001</v>
      </c>
      <c r="W162" s="44">
        <v>571.79999999999995</v>
      </c>
      <c r="X162" s="44">
        <v>73432157.25</v>
      </c>
      <c r="Y162" s="61">
        <v>17587007.370000001</v>
      </c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/>
      <c r="AZ162"/>
      <c r="BA162"/>
      <c r="BB162"/>
      <c r="BC162"/>
      <c r="BD162"/>
      <c r="BE162"/>
      <c r="BF162"/>
      <c r="BG162"/>
      <c r="BH162"/>
      <c r="BI162"/>
      <c r="BJ162"/>
      <c r="BK162"/>
      <c r="BL162"/>
      <c r="BM162"/>
      <c r="BN162"/>
      <c r="BO162"/>
      <c r="BP162"/>
      <c r="BQ162"/>
      <c r="BR162"/>
      <c r="BS162"/>
      <c r="BT162"/>
      <c r="BU162"/>
      <c r="BV162"/>
      <c r="BW162"/>
      <c r="BX162"/>
      <c r="BY162"/>
      <c r="BZ162"/>
      <c r="CA162"/>
      <c r="CB162"/>
      <c r="CC162"/>
      <c r="CD162"/>
      <c r="CE162"/>
      <c r="CF162"/>
      <c r="CG162"/>
      <c r="CH162"/>
      <c r="CI162"/>
      <c r="CJ162"/>
      <c r="CK162"/>
      <c r="CL162"/>
      <c r="CM162"/>
      <c r="CN162"/>
      <c r="CO162"/>
      <c r="CP162"/>
      <c r="CQ162"/>
      <c r="CR162"/>
      <c r="CS162"/>
      <c r="CT162"/>
      <c r="CU162"/>
      <c r="CV162"/>
      <c r="CW162"/>
      <c r="CX162"/>
      <c r="CY162"/>
      <c r="CZ162"/>
      <c r="DA162"/>
      <c r="DB162"/>
      <c r="DC162"/>
      <c r="DD162"/>
      <c r="DE162"/>
      <c r="DF162"/>
      <c r="DG162"/>
      <c r="DH162"/>
      <c r="DI162"/>
      <c r="DJ162"/>
      <c r="DK162"/>
      <c r="DL162"/>
      <c r="DM162"/>
      <c r="DN162"/>
      <c r="DO162"/>
      <c r="DP162"/>
      <c r="DQ162"/>
      <c r="DR162"/>
      <c r="DS162"/>
      <c r="DT162"/>
      <c r="DU162"/>
      <c r="DV162"/>
      <c r="DW162"/>
      <c r="DX162"/>
      <c r="DY162"/>
      <c r="DZ162"/>
      <c r="EA162"/>
      <c r="EB162"/>
      <c r="EC162"/>
      <c r="ED162"/>
      <c r="EE162"/>
      <c r="EF162"/>
      <c r="EG162"/>
      <c r="EH162"/>
      <c r="EI162"/>
      <c r="EJ162"/>
      <c r="EK162"/>
      <c r="EL162"/>
      <c r="EM162"/>
      <c r="EN162"/>
      <c r="EO162"/>
      <c r="EP162"/>
      <c r="EQ162"/>
      <c r="ER162"/>
      <c r="ES162"/>
      <c r="ET162"/>
      <c r="EU162"/>
      <c r="EV162"/>
      <c r="EW162"/>
      <c r="EX162"/>
      <c r="EY162"/>
      <c r="EZ162"/>
      <c r="FA162"/>
      <c r="FB162"/>
      <c r="FC162"/>
      <c r="FD162"/>
      <c r="FE162"/>
      <c r="FF162"/>
      <c r="FG162"/>
      <c r="FH162"/>
      <c r="FI162"/>
      <c r="FJ162"/>
      <c r="FK162"/>
      <c r="FL162"/>
      <c r="FM162"/>
      <c r="FN162"/>
      <c r="FO162"/>
      <c r="FP162"/>
      <c r="FQ162"/>
      <c r="FR162"/>
      <c r="FS162"/>
      <c r="FT162"/>
      <c r="FU162"/>
      <c r="FV162"/>
      <c r="FW162"/>
      <c r="FX162"/>
      <c r="FY162"/>
      <c r="FZ162"/>
      <c r="GA162"/>
      <c r="GB162"/>
      <c r="GC162"/>
      <c r="GD162"/>
      <c r="GE162"/>
      <c r="GF162"/>
      <c r="GG162"/>
      <c r="GH162"/>
      <c r="GI162"/>
      <c r="GJ162"/>
      <c r="GK162"/>
      <c r="GL162"/>
      <c r="GM162"/>
      <c r="GN162"/>
      <c r="GO162"/>
      <c r="GP162"/>
      <c r="GQ162"/>
      <c r="GR162"/>
      <c r="GS162"/>
      <c r="GT162"/>
      <c r="GU162"/>
      <c r="GV162"/>
      <c r="GW162"/>
      <c r="GX162"/>
      <c r="GY162"/>
      <c r="GZ162"/>
      <c r="HA162"/>
      <c r="HB162"/>
      <c r="HC162"/>
      <c r="HD162"/>
      <c r="HE162"/>
      <c r="HF162"/>
      <c r="HG162"/>
      <c r="HH162"/>
      <c r="HI162"/>
      <c r="HJ162"/>
      <c r="HK162"/>
      <c r="HL162"/>
      <c r="HM162"/>
      <c r="HN162"/>
      <c r="HO162"/>
      <c r="HP162"/>
      <c r="HQ162"/>
      <c r="HR162"/>
      <c r="HS162"/>
      <c r="HT162"/>
      <c r="HU162"/>
      <c r="HV162"/>
      <c r="HW162"/>
      <c r="HX162"/>
      <c r="HY162"/>
      <c r="HZ162"/>
      <c r="IA162"/>
      <c r="IB162"/>
      <c r="IC162"/>
      <c r="ID162"/>
      <c r="IE162"/>
      <c r="IF162"/>
      <c r="IG162"/>
      <c r="IH162"/>
      <c r="II162"/>
      <c r="IJ162"/>
      <c r="IK162"/>
      <c r="IL162"/>
      <c r="IM162"/>
      <c r="IN162"/>
      <c r="IO162"/>
      <c r="IP162"/>
      <c r="IQ162"/>
      <c r="IR162"/>
      <c r="IS162"/>
      <c r="IT162"/>
      <c r="IU162"/>
      <c r="IV162"/>
      <c r="IW162"/>
      <c r="IX162"/>
      <c r="IY162"/>
      <c r="IZ162"/>
      <c r="JA162"/>
      <c r="JB162"/>
      <c r="JC162"/>
      <c r="JD162"/>
      <c r="JE162"/>
      <c r="JF162"/>
      <c r="JG162"/>
      <c r="JH162"/>
      <c r="JI162"/>
      <c r="JJ162"/>
      <c r="JK162"/>
      <c r="JL162"/>
      <c r="JM162"/>
      <c r="JN162"/>
      <c r="JO162"/>
      <c r="JP162"/>
      <c r="JQ162"/>
      <c r="JR162"/>
      <c r="JS162"/>
      <c r="JT162"/>
      <c r="JU162"/>
      <c r="JV162"/>
      <c r="JW162"/>
      <c r="JX162"/>
      <c r="JY162"/>
      <c r="JZ162"/>
      <c r="KA162"/>
      <c r="KB162"/>
      <c r="KC162"/>
      <c r="KD162"/>
      <c r="KE162"/>
      <c r="KF162"/>
      <c r="KG162"/>
      <c r="KH162"/>
      <c r="KI162"/>
    </row>
    <row r="163" spans="1:295" ht="20" customHeight="1" x14ac:dyDescent="0.15">
      <c r="A163" s="12"/>
      <c r="B163" s="13" t="s">
        <v>174</v>
      </c>
      <c r="C163" s="14" t="s">
        <v>79</v>
      </c>
      <c r="D163" s="15" t="s">
        <v>153</v>
      </c>
      <c r="E163" s="15" t="s">
        <v>48</v>
      </c>
      <c r="F163" s="16">
        <v>871</v>
      </c>
      <c r="G163" s="16">
        <v>41177</v>
      </c>
      <c r="H163" s="17">
        <v>9144.43</v>
      </c>
      <c r="I163" s="16">
        <v>35865167</v>
      </c>
      <c r="J163" s="15" t="s">
        <v>17</v>
      </c>
      <c r="K163" s="15" t="s">
        <v>18</v>
      </c>
      <c r="L163" s="9">
        <f>YEAR(E163)</f>
        <v>2020</v>
      </c>
      <c r="M163" s="11">
        <f t="shared" si="4"/>
        <v>7964798.5300000003</v>
      </c>
      <c r="U163" s="63">
        <v>2020</v>
      </c>
      <c r="V163" s="43">
        <v>922691.15</v>
      </c>
      <c r="W163" s="44">
        <v>355</v>
      </c>
      <c r="X163" s="44">
        <v>6832546.5499999998</v>
      </c>
      <c r="Y163" s="61">
        <v>922691.15</v>
      </c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/>
      <c r="AY163"/>
      <c r="AZ163"/>
      <c r="BA163"/>
      <c r="BB163"/>
      <c r="BC163"/>
      <c r="BD163"/>
      <c r="BE163"/>
      <c r="BF163"/>
      <c r="BG163"/>
      <c r="BH163"/>
      <c r="BI163"/>
      <c r="BJ163"/>
      <c r="BK163"/>
      <c r="BL163"/>
      <c r="BM163"/>
      <c r="BN163"/>
      <c r="BO163"/>
      <c r="BP163"/>
      <c r="BQ163"/>
      <c r="BR163"/>
      <c r="BS163"/>
      <c r="BT163"/>
      <c r="BU163"/>
      <c r="BV163"/>
      <c r="BW163"/>
      <c r="BX163"/>
      <c r="BY163"/>
      <c r="BZ163"/>
      <c r="CA163"/>
      <c r="CB163"/>
      <c r="CC163"/>
      <c r="CD163"/>
      <c r="CE163"/>
      <c r="CF163"/>
      <c r="CG163"/>
      <c r="CH163"/>
      <c r="CI163"/>
      <c r="CJ163"/>
      <c r="CK163"/>
      <c r="CL163"/>
      <c r="CM163"/>
      <c r="CN163"/>
      <c r="CO163"/>
      <c r="CP163"/>
      <c r="CQ163"/>
      <c r="CR163"/>
      <c r="CS163"/>
      <c r="CT163"/>
      <c r="CU163"/>
      <c r="CV163"/>
      <c r="CW163"/>
      <c r="CX163"/>
      <c r="CY163"/>
      <c r="CZ163"/>
      <c r="DA163"/>
      <c r="DB163"/>
      <c r="DC163"/>
      <c r="DD163"/>
      <c r="DE163"/>
      <c r="DF163"/>
      <c r="DG163"/>
      <c r="DH163"/>
      <c r="DI163"/>
      <c r="DJ163"/>
      <c r="DK163"/>
      <c r="DL163"/>
      <c r="DM163"/>
      <c r="DN163"/>
      <c r="DO163"/>
      <c r="DP163"/>
      <c r="DQ163"/>
      <c r="DR163"/>
      <c r="DS163"/>
      <c r="DT163"/>
      <c r="DU163"/>
      <c r="DV163"/>
      <c r="DW163"/>
      <c r="DX163"/>
      <c r="DY163"/>
      <c r="DZ163"/>
      <c r="EA163"/>
      <c r="EB163"/>
      <c r="EC163"/>
      <c r="ED163"/>
      <c r="EE163"/>
      <c r="EF163"/>
      <c r="EG163"/>
      <c r="EH163"/>
      <c r="EI163"/>
      <c r="EJ163"/>
      <c r="EK163"/>
      <c r="EL163"/>
      <c r="EM163"/>
      <c r="EN163"/>
      <c r="EO163"/>
      <c r="EP163"/>
      <c r="EQ163"/>
      <c r="ER163"/>
      <c r="ES163"/>
      <c r="ET163"/>
      <c r="EU163"/>
      <c r="EV163"/>
      <c r="EW163"/>
      <c r="EX163"/>
      <c r="EY163"/>
      <c r="EZ163"/>
      <c r="FA163"/>
      <c r="FB163"/>
      <c r="FC163"/>
      <c r="FD163"/>
      <c r="FE163"/>
      <c r="FF163"/>
      <c r="FG163"/>
      <c r="FH163"/>
      <c r="FI163"/>
      <c r="FJ163"/>
      <c r="FK163"/>
      <c r="FL163"/>
      <c r="FM163"/>
      <c r="FN163"/>
      <c r="FO163"/>
      <c r="FP163"/>
      <c r="FQ163"/>
      <c r="FR163"/>
      <c r="FS163"/>
      <c r="FT163"/>
      <c r="FU163"/>
      <c r="FV163"/>
      <c r="FW163"/>
      <c r="FX163"/>
      <c r="FY163"/>
      <c r="FZ163"/>
      <c r="GA163"/>
      <c r="GB163"/>
      <c r="GC163"/>
      <c r="GD163"/>
      <c r="GE163"/>
      <c r="GF163"/>
      <c r="GG163"/>
      <c r="GH163"/>
      <c r="GI163"/>
      <c r="GJ163"/>
      <c r="GK163"/>
      <c r="GL163"/>
      <c r="GM163"/>
      <c r="GN163"/>
      <c r="GO163"/>
      <c r="GP163"/>
      <c r="GQ163"/>
      <c r="GR163"/>
      <c r="GS163"/>
      <c r="GT163"/>
      <c r="GU163"/>
      <c r="GV163"/>
      <c r="GW163"/>
      <c r="GX163"/>
      <c r="GY163"/>
      <c r="GZ163"/>
      <c r="HA163"/>
      <c r="HB163"/>
      <c r="HC163"/>
      <c r="HD163"/>
      <c r="HE163"/>
      <c r="HF163"/>
      <c r="HG163"/>
      <c r="HH163"/>
      <c r="HI163"/>
      <c r="HJ163"/>
      <c r="HK163"/>
      <c r="HL163"/>
      <c r="HM163"/>
      <c r="HN163"/>
      <c r="HO163"/>
      <c r="HP163"/>
      <c r="HQ163"/>
      <c r="HR163"/>
      <c r="HS163"/>
      <c r="HT163"/>
      <c r="HU163"/>
      <c r="HV163"/>
      <c r="HW163"/>
      <c r="HX163"/>
      <c r="HY163"/>
      <c r="HZ163"/>
      <c r="IA163"/>
      <c r="IB163"/>
      <c r="IC163"/>
      <c r="ID163"/>
      <c r="IE163"/>
      <c r="IF163"/>
      <c r="IG163"/>
      <c r="IH163"/>
      <c r="II163"/>
      <c r="IJ163"/>
      <c r="IK163"/>
      <c r="IL163"/>
      <c r="IM163"/>
      <c r="IN163"/>
      <c r="IO163"/>
      <c r="IP163"/>
      <c r="IQ163"/>
      <c r="IR163"/>
      <c r="IS163"/>
      <c r="IT163"/>
      <c r="IU163"/>
      <c r="IV163"/>
      <c r="IW163"/>
      <c r="IX163"/>
      <c r="IY163"/>
      <c r="IZ163"/>
      <c r="JA163"/>
      <c r="JB163"/>
      <c r="JC163"/>
      <c r="JD163"/>
      <c r="JE163"/>
      <c r="JF163"/>
      <c r="JG163"/>
      <c r="JH163"/>
      <c r="JI163"/>
      <c r="JJ163"/>
      <c r="JK163"/>
      <c r="JL163"/>
      <c r="JM163"/>
      <c r="JN163"/>
      <c r="JO163"/>
      <c r="JP163"/>
      <c r="JQ163"/>
      <c r="JR163"/>
      <c r="JS163"/>
      <c r="JT163"/>
      <c r="JU163"/>
      <c r="JV163"/>
      <c r="JW163"/>
      <c r="JX163"/>
      <c r="JY163"/>
      <c r="JZ163"/>
      <c r="KA163"/>
      <c r="KB163"/>
      <c r="KC163"/>
      <c r="KD163"/>
      <c r="KE163"/>
      <c r="KF163"/>
      <c r="KG163"/>
      <c r="KH163"/>
      <c r="KI163"/>
    </row>
    <row r="164" spans="1:295" ht="20" customHeight="1" x14ac:dyDescent="0.15">
      <c r="A164" s="12"/>
      <c r="B164" s="13" t="s">
        <v>174</v>
      </c>
      <c r="C164" s="14" t="s">
        <v>23</v>
      </c>
      <c r="D164" s="15" t="s">
        <v>153</v>
      </c>
      <c r="E164" s="15" t="s">
        <v>172</v>
      </c>
      <c r="F164" s="16">
        <v>427</v>
      </c>
      <c r="G164" s="17">
        <v>29828.71</v>
      </c>
      <c r="H164" s="17">
        <v>2279.98</v>
      </c>
      <c r="I164" s="17">
        <v>12736859.17</v>
      </c>
      <c r="J164" s="15" t="s">
        <v>17</v>
      </c>
      <c r="K164" s="15" t="s">
        <v>18</v>
      </c>
      <c r="L164" s="9">
        <f>YEAR(E164)</f>
        <v>2020</v>
      </c>
      <c r="M164" s="11">
        <f t="shared" si="4"/>
        <v>973551.46</v>
      </c>
      <c r="U164" s="63">
        <v>2021</v>
      </c>
      <c r="V164" s="43">
        <v>7155041.2000000002</v>
      </c>
      <c r="W164" s="44">
        <v>820</v>
      </c>
      <c r="X164" s="44">
        <v>12788867.6</v>
      </c>
      <c r="Y164" s="61">
        <v>7155041.2000000002</v>
      </c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/>
      <c r="BF164"/>
      <c r="BG164"/>
      <c r="BH164"/>
      <c r="BI164"/>
      <c r="BJ164"/>
      <c r="BK164"/>
      <c r="BL164"/>
      <c r="BM164"/>
      <c r="BN164"/>
      <c r="BO164"/>
      <c r="BP164"/>
      <c r="BQ164"/>
      <c r="BR164"/>
      <c r="BS164"/>
      <c r="BT164"/>
      <c r="BU164"/>
      <c r="BV164"/>
      <c r="BW164"/>
      <c r="BX164"/>
      <c r="BY164"/>
      <c r="BZ164"/>
      <c r="CA164"/>
      <c r="CB164"/>
      <c r="CC164"/>
      <c r="CD164"/>
      <c r="CE164"/>
      <c r="CF164"/>
      <c r="CG164"/>
      <c r="CH164"/>
      <c r="CI164"/>
      <c r="CJ164"/>
      <c r="CK164"/>
      <c r="CL164"/>
      <c r="CM164"/>
      <c r="CN164"/>
      <c r="CO164"/>
      <c r="CP164"/>
      <c r="CQ164"/>
      <c r="CR164"/>
      <c r="CS164"/>
      <c r="CT164"/>
      <c r="CU164"/>
      <c r="CV164"/>
      <c r="CW164"/>
      <c r="CX164"/>
      <c r="CY164"/>
      <c r="CZ164"/>
      <c r="DA164"/>
      <c r="DB164"/>
      <c r="DC164"/>
      <c r="DD164"/>
      <c r="DE164"/>
      <c r="DF164"/>
      <c r="DG164"/>
      <c r="DH164"/>
      <c r="DI164"/>
      <c r="DJ164"/>
      <c r="DK164"/>
      <c r="DL164"/>
      <c r="DM164"/>
      <c r="DN164"/>
      <c r="DO164"/>
      <c r="DP164"/>
      <c r="DQ164"/>
      <c r="DR164"/>
      <c r="DS164"/>
      <c r="DT164"/>
      <c r="DU164"/>
      <c r="DV164"/>
      <c r="DW164"/>
      <c r="DX164"/>
      <c r="DY164"/>
      <c r="DZ164"/>
      <c r="EA164"/>
      <c r="EB164"/>
      <c r="EC164"/>
      <c r="ED164"/>
      <c r="EE164"/>
      <c r="EF164"/>
      <c r="EG164"/>
      <c r="EH164"/>
      <c r="EI164"/>
      <c r="EJ164"/>
      <c r="EK164"/>
      <c r="EL164"/>
      <c r="EM164"/>
      <c r="EN164"/>
      <c r="EO164"/>
      <c r="EP164"/>
      <c r="EQ164"/>
      <c r="ER164"/>
      <c r="ES164"/>
      <c r="ET164"/>
      <c r="EU164"/>
      <c r="EV164"/>
      <c r="EW164"/>
      <c r="EX164"/>
      <c r="EY164"/>
      <c r="EZ164"/>
      <c r="FA164"/>
      <c r="FB164"/>
      <c r="FC164"/>
      <c r="FD164"/>
      <c r="FE164"/>
      <c r="FF164"/>
      <c r="FG164"/>
      <c r="FH164"/>
      <c r="FI164"/>
      <c r="FJ164"/>
      <c r="FK164"/>
      <c r="FL164"/>
      <c r="FM164"/>
      <c r="FN164"/>
      <c r="FO164"/>
      <c r="FP164"/>
      <c r="FQ164"/>
      <c r="FR164"/>
      <c r="FS164"/>
      <c r="FT164"/>
      <c r="FU164"/>
      <c r="FV164"/>
      <c r="FW164"/>
      <c r="FX164"/>
      <c r="FY164"/>
      <c r="FZ164"/>
      <c r="GA164"/>
      <c r="GB164"/>
      <c r="GC164"/>
      <c r="GD164"/>
      <c r="GE164"/>
      <c r="GF164"/>
      <c r="GG164"/>
      <c r="GH164"/>
      <c r="GI164"/>
      <c r="GJ164"/>
      <c r="GK164"/>
      <c r="GL164"/>
      <c r="GM164"/>
      <c r="GN164"/>
      <c r="GO164"/>
      <c r="GP164"/>
      <c r="GQ164"/>
      <c r="GR164"/>
      <c r="GS164"/>
      <c r="GT164"/>
      <c r="GU164"/>
      <c r="GV164"/>
      <c r="GW164"/>
      <c r="GX164"/>
      <c r="GY164"/>
      <c r="GZ164"/>
      <c r="HA164"/>
      <c r="HB164"/>
      <c r="HC164"/>
      <c r="HD164"/>
      <c r="HE164"/>
      <c r="HF164"/>
      <c r="HG164"/>
      <c r="HH164"/>
      <c r="HI164"/>
      <c r="HJ164"/>
      <c r="HK164"/>
      <c r="HL164"/>
      <c r="HM164"/>
      <c r="HN164"/>
      <c r="HO164"/>
      <c r="HP164"/>
      <c r="HQ164"/>
      <c r="HR164"/>
      <c r="HS164"/>
      <c r="HT164"/>
      <c r="HU164"/>
      <c r="HV164"/>
      <c r="HW164"/>
      <c r="HX164"/>
      <c r="HY164"/>
      <c r="HZ164"/>
      <c r="IA164"/>
      <c r="IB164"/>
      <c r="IC164"/>
      <c r="ID164"/>
      <c r="IE164"/>
      <c r="IF164"/>
      <c r="IG164"/>
      <c r="IH164"/>
      <c r="II164"/>
      <c r="IJ164"/>
      <c r="IK164"/>
      <c r="IL164"/>
      <c r="IM164"/>
      <c r="IN164"/>
      <c r="IO164"/>
      <c r="IP164"/>
      <c r="IQ164"/>
      <c r="IR164"/>
      <c r="IS164"/>
      <c r="IT164"/>
      <c r="IU164"/>
      <c r="IV164"/>
      <c r="IW164"/>
      <c r="IX164"/>
      <c r="IY164"/>
      <c r="IZ164"/>
      <c r="JA164"/>
      <c r="JB164"/>
      <c r="JC164"/>
      <c r="JD164"/>
      <c r="JE164"/>
      <c r="JF164"/>
      <c r="JG164"/>
      <c r="JH164"/>
      <c r="JI164"/>
      <c r="JJ164"/>
      <c r="JK164"/>
      <c r="JL164"/>
      <c r="JM164"/>
      <c r="JN164"/>
      <c r="JO164"/>
      <c r="JP164"/>
      <c r="JQ164"/>
      <c r="JR164"/>
      <c r="JS164"/>
      <c r="JT164"/>
      <c r="JU164"/>
      <c r="JV164"/>
      <c r="JW164"/>
      <c r="JX164"/>
      <c r="JY164"/>
      <c r="JZ164"/>
      <c r="KA164"/>
      <c r="KB164"/>
      <c r="KC164"/>
      <c r="KD164"/>
      <c r="KE164"/>
      <c r="KF164"/>
      <c r="KG164"/>
      <c r="KH164"/>
      <c r="KI164"/>
    </row>
    <row r="165" spans="1:295" ht="20" customHeight="1" x14ac:dyDescent="0.15">
      <c r="A165" s="12"/>
      <c r="B165" s="13" t="s">
        <v>174</v>
      </c>
      <c r="C165" s="14" t="s">
        <v>79</v>
      </c>
      <c r="D165" s="15" t="s">
        <v>153</v>
      </c>
      <c r="E165" s="15" t="s">
        <v>246</v>
      </c>
      <c r="F165" s="16">
        <v>711</v>
      </c>
      <c r="G165" s="17">
        <v>33178.93</v>
      </c>
      <c r="H165" s="17">
        <v>7017.84</v>
      </c>
      <c r="I165" s="17">
        <v>23590219.23</v>
      </c>
      <c r="J165" s="15" t="s">
        <v>17</v>
      </c>
      <c r="K165" s="15" t="s">
        <v>18</v>
      </c>
      <c r="L165" s="9">
        <f>YEAR(E165)</f>
        <v>2020</v>
      </c>
      <c r="M165" s="11">
        <f t="shared" si="4"/>
        <v>4989684.24</v>
      </c>
      <c r="U165" s="63">
        <v>2023</v>
      </c>
      <c r="V165" s="43">
        <v>9509275.0199999996</v>
      </c>
      <c r="W165" s="44">
        <v>561.33333333333337</v>
      </c>
      <c r="X165" s="44">
        <v>53810743.100000001</v>
      </c>
      <c r="Y165" s="61">
        <v>9509275.0199999996</v>
      </c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/>
      <c r="AW165"/>
      <c r="AX165"/>
      <c r="AY165"/>
      <c r="AZ165"/>
      <c r="BA165"/>
      <c r="BB165"/>
      <c r="BC165"/>
      <c r="BD165"/>
      <c r="BE165"/>
      <c r="BF165"/>
      <c r="BG165"/>
      <c r="BH165"/>
      <c r="BI165"/>
      <c r="BJ165"/>
      <c r="BK165"/>
      <c r="BL165"/>
      <c r="BM165"/>
      <c r="BN165"/>
      <c r="BO165"/>
      <c r="BP165"/>
      <c r="BQ165"/>
      <c r="BR165"/>
      <c r="BS165"/>
      <c r="BT165"/>
      <c r="BU165"/>
      <c r="BV165"/>
      <c r="BW165"/>
      <c r="BX165"/>
      <c r="BY165"/>
      <c r="BZ165"/>
      <c r="CA165"/>
      <c r="CB165"/>
      <c r="CC165"/>
      <c r="CD165"/>
      <c r="CE165"/>
      <c r="CF165"/>
      <c r="CG165"/>
      <c r="CH165"/>
      <c r="CI165"/>
      <c r="CJ165"/>
      <c r="CK165"/>
      <c r="CL165"/>
      <c r="CM165"/>
      <c r="CN165"/>
      <c r="CO165"/>
      <c r="CP165"/>
      <c r="CQ165"/>
      <c r="CR165"/>
      <c r="CS165"/>
      <c r="CT165"/>
      <c r="CU165"/>
      <c r="CV165"/>
      <c r="CW165"/>
      <c r="CX165"/>
      <c r="CY165"/>
      <c r="CZ165"/>
      <c r="DA165"/>
      <c r="DB165"/>
      <c r="DC165"/>
      <c r="DD165"/>
      <c r="DE165"/>
      <c r="DF165"/>
      <c r="DG165"/>
      <c r="DH165"/>
      <c r="DI165"/>
      <c r="DJ165"/>
      <c r="DK165"/>
      <c r="DL165"/>
      <c r="DM165"/>
      <c r="DN165"/>
      <c r="DO165"/>
      <c r="DP165"/>
      <c r="DQ165"/>
      <c r="DR165"/>
      <c r="DS165"/>
      <c r="DT165"/>
      <c r="DU165"/>
      <c r="DV165"/>
      <c r="DW165"/>
      <c r="DX165"/>
      <c r="DY165"/>
      <c r="DZ165"/>
      <c r="EA165"/>
      <c r="EB165"/>
      <c r="EC165"/>
      <c r="ED165"/>
      <c r="EE165"/>
      <c r="EF165"/>
      <c r="EG165"/>
      <c r="EH165"/>
      <c r="EI165"/>
      <c r="EJ165"/>
      <c r="EK165"/>
      <c r="EL165"/>
      <c r="EM165"/>
      <c r="EN165"/>
      <c r="EO165"/>
      <c r="EP165"/>
      <c r="EQ165"/>
      <c r="ER165"/>
      <c r="ES165"/>
      <c r="ET165"/>
      <c r="EU165"/>
      <c r="EV165"/>
      <c r="EW165"/>
      <c r="EX165"/>
      <c r="EY165"/>
      <c r="EZ165"/>
      <c r="FA165"/>
      <c r="FB165"/>
      <c r="FC165"/>
      <c r="FD165"/>
      <c r="FE165"/>
      <c r="FF165"/>
      <c r="FG165"/>
      <c r="FH165"/>
      <c r="FI165"/>
      <c r="FJ165"/>
      <c r="FK165"/>
      <c r="FL165"/>
      <c r="FM165"/>
      <c r="FN165"/>
      <c r="FO165"/>
      <c r="FP165"/>
      <c r="FQ165"/>
      <c r="FR165"/>
      <c r="FS165"/>
      <c r="FT165"/>
      <c r="FU165"/>
      <c r="FV165"/>
      <c r="FW165"/>
      <c r="FX165"/>
      <c r="FY165"/>
      <c r="FZ165"/>
      <c r="GA165"/>
      <c r="GB165"/>
      <c r="GC165"/>
      <c r="GD165"/>
      <c r="GE165"/>
      <c r="GF165"/>
      <c r="GG165"/>
      <c r="GH165"/>
      <c r="GI165"/>
      <c r="GJ165"/>
      <c r="GK165"/>
      <c r="GL165"/>
      <c r="GM165"/>
      <c r="GN165"/>
      <c r="GO165"/>
      <c r="GP165"/>
      <c r="GQ165"/>
      <c r="GR165"/>
      <c r="GS165"/>
      <c r="GT165"/>
      <c r="GU165"/>
      <c r="GV165"/>
      <c r="GW165"/>
      <c r="GX165"/>
      <c r="GY165"/>
      <c r="GZ165"/>
      <c r="HA165"/>
      <c r="HB165"/>
      <c r="HC165"/>
      <c r="HD165"/>
      <c r="HE165"/>
      <c r="HF165"/>
      <c r="HG165"/>
      <c r="HH165"/>
      <c r="HI165"/>
      <c r="HJ165"/>
      <c r="HK165"/>
      <c r="HL165"/>
      <c r="HM165"/>
      <c r="HN165"/>
      <c r="HO165"/>
      <c r="HP165"/>
      <c r="HQ165"/>
      <c r="HR165"/>
      <c r="HS165"/>
      <c r="HT165"/>
      <c r="HU165"/>
      <c r="HV165"/>
      <c r="HW165"/>
      <c r="HX165"/>
      <c r="HY165"/>
      <c r="HZ165"/>
      <c r="IA165"/>
      <c r="IB165"/>
      <c r="IC165"/>
      <c r="ID165"/>
      <c r="IE165"/>
      <c r="IF165"/>
      <c r="IG165"/>
      <c r="IH165"/>
      <c r="II165"/>
      <c r="IJ165"/>
      <c r="IK165"/>
      <c r="IL165"/>
      <c r="IM165"/>
      <c r="IN165"/>
      <c r="IO165"/>
      <c r="IP165"/>
      <c r="IQ165"/>
      <c r="IR165"/>
      <c r="IS165"/>
      <c r="IT165"/>
      <c r="IU165"/>
      <c r="IV165"/>
      <c r="IW165"/>
      <c r="IX165"/>
      <c r="IY165"/>
      <c r="IZ165"/>
      <c r="JA165"/>
      <c r="JB165"/>
      <c r="JC165"/>
      <c r="JD165"/>
      <c r="JE165"/>
      <c r="JF165"/>
      <c r="JG165"/>
      <c r="JH165"/>
      <c r="JI165"/>
      <c r="JJ165"/>
      <c r="JK165"/>
      <c r="JL165"/>
      <c r="JM165"/>
      <c r="JN165"/>
      <c r="JO165"/>
      <c r="JP165"/>
      <c r="JQ165"/>
      <c r="JR165"/>
      <c r="JS165"/>
      <c r="JT165"/>
      <c r="JU165"/>
      <c r="JV165"/>
      <c r="JW165"/>
      <c r="JX165"/>
      <c r="JY165"/>
      <c r="JZ165"/>
      <c r="KA165"/>
      <c r="KB165"/>
      <c r="KC165"/>
      <c r="KD165"/>
      <c r="KE165"/>
      <c r="KF165"/>
      <c r="KG165"/>
      <c r="KH165"/>
      <c r="KI165"/>
    </row>
    <row r="166" spans="1:295" ht="20" customHeight="1" x14ac:dyDescent="0.15">
      <c r="A166" s="12"/>
      <c r="B166" s="13" t="s">
        <v>174</v>
      </c>
      <c r="C166" s="14" t="s">
        <v>23</v>
      </c>
      <c r="D166" s="15" t="s">
        <v>153</v>
      </c>
      <c r="E166" s="15" t="s">
        <v>119</v>
      </c>
      <c r="F166" s="16">
        <v>242</v>
      </c>
      <c r="G166" s="17">
        <v>31257.41</v>
      </c>
      <c r="H166" s="17">
        <v>4475.9799999999996</v>
      </c>
      <c r="I166" s="17">
        <v>7564293.2199999997</v>
      </c>
      <c r="J166" s="15" t="s">
        <v>17</v>
      </c>
      <c r="K166" s="15" t="s">
        <v>18</v>
      </c>
      <c r="L166" s="9">
        <f>YEAR(E166)</f>
        <v>2020</v>
      </c>
      <c r="M166" s="11">
        <f t="shared" si="4"/>
        <v>1083187.1599999999</v>
      </c>
      <c r="U166" s="46" t="s">
        <v>789</v>
      </c>
      <c r="V166" s="47">
        <v>450351412.32000011</v>
      </c>
      <c r="W166" s="48">
        <v>559.77205882352939</v>
      </c>
      <c r="X166" s="48">
        <v>2384888721.150001</v>
      </c>
      <c r="Y166" s="62">
        <v>450351412.32000011</v>
      </c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/>
      <c r="BC166"/>
      <c r="BD166"/>
      <c r="BE166"/>
      <c r="BF166"/>
      <c r="BG166"/>
      <c r="BH166"/>
      <c r="BI166"/>
      <c r="BJ166"/>
      <c r="BK166"/>
      <c r="BL166"/>
      <c r="BM166"/>
      <c r="BN166"/>
      <c r="BO166"/>
      <c r="BP166"/>
      <c r="BQ166"/>
      <c r="BR166"/>
      <c r="BS166"/>
      <c r="BT166"/>
      <c r="BU166"/>
      <c r="BV166"/>
      <c r="BW166"/>
      <c r="BX166"/>
      <c r="BY166"/>
      <c r="BZ166"/>
      <c r="CA166"/>
      <c r="CB166"/>
      <c r="CC166"/>
      <c r="CD166"/>
      <c r="CE166"/>
      <c r="CF166"/>
      <c r="CG166"/>
      <c r="CH166"/>
      <c r="CI166"/>
      <c r="CJ166"/>
      <c r="CK166"/>
      <c r="CL166"/>
      <c r="CM166"/>
      <c r="CN166"/>
      <c r="CO166"/>
      <c r="CP166"/>
      <c r="CQ166"/>
      <c r="CR166"/>
      <c r="CS166"/>
      <c r="CT166"/>
      <c r="CU166"/>
      <c r="CV166"/>
      <c r="CW166"/>
      <c r="CX166"/>
      <c r="CY166"/>
      <c r="CZ166"/>
      <c r="DA166"/>
      <c r="DB166"/>
      <c r="DC166"/>
      <c r="DD166"/>
      <c r="DE166"/>
      <c r="DF166"/>
      <c r="DG166"/>
      <c r="DH166"/>
      <c r="DI166"/>
      <c r="DJ166"/>
      <c r="DK166"/>
      <c r="DL166"/>
      <c r="DM166"/>
      <c r="DN166"/>
      <c r="DO166"/>
      <c r="DP166"/>
      <c r="DQ166"/>
      <c r="DR166"/>
      <c r="DS166"/>
      <c r="DT166"/>
      <c r="DU166"/>
      <c r="DV166"/>
      <c r="DW166"/>
      <c r="DX166"/>
      <c r="DY166"/>
      <c r="DZ166"/>
      <c r="EA166"/>
      <c r="EB166"/>
      <c r="EC166"/>
      <c r="ED166"/>
      <c r="EE166"/>
      <c r="EF166"/>
      <c r="EG166"/>
      <c r="EH166"/>
      <c r="EI166"/>
      <c r="EJ166"/>
      <c r="EK166"/>
      <c r="EL166"/>
      <c r="EM166"/>
      <c r="EN166"/>
      <c r="EO166"/>
      <c r="EP166"/>
      <c r="EQ166"/>
      <c r="ER166"/>
      <c r="ES166"/>
      <c r="ET166"/>
      <c r="EU166"/>
      <c r="EV166"/>
      <c r="EW166"/>
      <c r="EX166"/>
      <c r="EY166"/>
      <c r="EZ166"/>
      <c r="FA166"/>
      <c r="FB166"/>
      <c r="FC166"/>
      <c r="FD166"/>
      <c r="FE166"/>
      <c r="FF166"/>
      <c r="FG166"/>
      <c r="FH166"/>
      <c r="FI166"/>
      <c r="FJ166"/>
      <c r="FK166"/>
      <c r="FL166"/>
      <c r="FM166"/>
      <c r="FN166"/>
      <c r="FO166"/>
      <c r="FP166"/>
      <c r="FQ166"/>
      <c r="FR166"/>
      <c r="FS166"/>
      <c r="FT166"/>
      <c r="FU166"/>
      <c r="FV166"/>
      <c r="FW166"/>
      <c r="FX166"/>
      <c r="FY166"/>
      <c r="FZ166"/>
      <c r="GA166"/>
      <c r="GB166"/>
      <c r="GC166"/>
      <c r="GD166"/>
      <c r="GE166"/>
      <c r="GF166"/>
      <c r="GG166"/>
      <c r="GH166"/>
      <c r="GI166"/>
      <c r="GJ166"/>
      <c r="GK166"/>
      <c r="GL166"/>
      <c r="GM166"/>
      <c r="GN166"/>
      <c r="GO166"/>
      <c r="GP166"/>
      <c r="GQ166"/>
      <c r="GR166"/>
      <c r="GS166"/>
      <c r="GT166"/>
      <c r="GU166"/>
      <c r="GV166"/>
      <c r="GW166"/>
      <c r="GX166"/>
      <c r="GY166"/>
      <c r="GZ166"/>
      <c r="HA166"/>
      <c r="HB166"/>
      <c r="HC166"/>
      <c r="HD166"/>
      <c r="HE166"/>
      <c r="HF166"/>
      <c r="HG166"/>
      <c r="HH166"/>
      <c r="HI166"/>
      <c r="HJ166"/>
      <c r="HK166"/>
      <c r="HL166"/>
      <c r="HM166"/>
      <c r="HN166"/>
      <c r="HO166"/>
      <c r="HP166"/>
      <c r="HQ166"/>
      <c r="HR166"/>
      <c r="HS166"/>
      <c r="HT166"/>
      <c r="HU166"/>
      <c r="HV166"/>
      <c r="HW166"/>
      <c r="HX166"/>
      <c r="HY166"/>
      <c r="HZ166"/>
      <c r="IA166"/>
      <c r="IB166"/>
      <c r="IC166"/>
      <c r="ID166"/>
      <c r="IE166"/>
      <c r="IF166"/>
      <c r="IG166"/>
      <c r="IH166"/>
      <c r="II166"/>
      <c r="IJ166"/>
      <c r="IK166"/>
      <c r="IL166"/>
      <c r="IM166"/>
      <c r="IN166"/>
      <c r="IO166"/>
      <c r="IP166"/>
      <c r="IQ166"/>
      <c r="IR166"/>
      <c r="IS166"/>
      <c r="IT166"/>
      <c r="IU166"/>
      <c r="IV166"/>
      <c r="IW166"/>
      <c r="IX166"/>
      <c r="IY166"/>
      <c r="IZ166"/>
      <c r="JA166"/>
      <c r="JB166"/>
      <c r="JC166"/>
      <c r="JD166"/>
      <c r="JE166"/>
      <c r="JF166"/>
      <c r="JG166"/>
      <c r="JH166"/>
      <c r="JI166"/>
      <c r="JJ166"/>
      <c r="JK166"/>
      <c r="JL166"/>
      <c r="JM166"/>
      <c r="JN166"/>
      <c r="JO166"/>
      <c r="JP166"/>
      <c r="JQ166"/>
      <c r="JR166"/>
      <c r="JS166"/>
      <c r="JT166"/>
      <c r="JU166"/>
      <c r="JV166"/>
      <c r="JW166"/>
      <c r="JX166"/>
      <c r="JY166"/>
      <c r="JZ166"/>
      <c r="KA166"/>
      <c r="KB166"/>
      <c r="KC166"/>
      <c r="KD166"/>
      <c r="KE166"/>
      <c r="KF166"/>
      <c r="KG166"/>
      <c r="KH166"/>
      <c r="KI166"/>
    </row>
    <row r="167" spans="1:295" ht="20" customHeight="1" x14ac:dyDescent="0.15">
      <c r="A167" s="12"/>
      <c r="B167" s="13" t="s">
        <v>174</v>
      </c>
      <c r="C167" s="14" t="s">
        <v>38</v>
      </c>
      <c r="D167" s="15" t="s">
        <v>68</v>
      </c>
      <c r="E167" s="15" t="s">
        <v>250</v>
      </c>
      <c r="F167" s="16">
        <v>144</v>
      </c>
      <c r="G167" s="17">
        <v>19564.37</v>
      </c>
      <c r="H167" s="17">
        <v>9750.77</v>
      </c>
      <c r="I167" s="17">
        <v>2817269.28</v>
      </c>
      <c r="J167" s="15" t="s">
        <v>17</v>
      </c>
      <c r="K167" s="15" t="s">
        <v>18</v>
      </c>
      <c r="L167" s="9">
        <f>YEAR(E167)</f>
        <v>2020</v>
      </c>
      <c r="M167" s="11">
        <f t="shared" si="4"/>
        <v>1404110.8800000001</v>
      </c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  <c r="AY167"/>
      <c r="AZ167"/>
      <c r="BA167"/>
      <c r="BB167"/>
      <c r="BC167"/>
      <c r="BD167"/>
      <c r="BE167"/>
      <c r="BF167"/>
      <c r="BG167"/>
      <c r="BH167"/>
      <c r="BI167"/>
      <c r="BJ167"/>
      <c r="BK167"/>
      <c r="BL167"/>
      <c r="BM167"/>
      <c r="BN167"/>
      <c r="BO167"/>
      <c r="BP167"/>
      <c r="BQ167"/>
      <c r="BR167"/>
      <c r="BS167"/>
      <c r="BT167"/>
      <c r="BU167"/>
      <c r="BV167"/>
      <c r="BW167"/>
      <c r="BX167"/>
      <c r="BY167"/>
      <c r="BZ167"/>
      <c r="CA167"/>
      <c r="CB167"/>
      <c r="CC167"/>
      <c r="CD167"/>
      <c r="CE167"/>
      <c r="CF167"/>
      <c r="CG167"/>
      <c r="CH167"/>
      <c r="CI167"/>
      <c r="CJ167"/>
      <c r="CK167"/>
      <c r="CL167"/>
      <c r="CM167"/>
      <c r="CN167"/>
      <c r="CO167"/>
      <c r="CP167"/>
      <c r="CQ167"/>
      <c r="CR167"/>
      <c r="CS167"/>
      <c r="CT167"/>
      <c r="CU167"/>
      <c r="CV167"/>
      <c r="CW167"/>
      <c r="CX167"/>
      <c r="CY167"/>
      <c r="CZ167"/>
      <c r="DA167"/>
      <c r="DB167"/>
      <c r="DC167"/>
      <c r="DD167"/>
      <c r="DE167"/>
      <c r="DF167"/>
      <c r="DG167"/>
      <c r="DH167"/>
      <c r="DI167"/>
      <c r="DJ167"/>
      <c r="DK167"/>
      <c r="DL167"/>
      <c r="DM167"/>
      <c r="DN167"/>
      <c r="DO167"/>
      <c r="DP167"/>
      <c r="DQ167"/>
      <c r="DR167"/>
      <c r="DS167"/>
      <c r="DT167"/>
      <c r="DU167"/>
      <c r="DV167"/>
      <c r="DW167"/>
      <c r="DX167"/>
      <c r="DY167"/>
      <c r="DZ167"/>
      <c r="EA167"/>
      <c r="EB167"/>
      <c r="EC167"/>
      <c r="ED167"/>
      <c r="EE167"/>
      <c r="EF167"/>
      <c r="EG167"/>
      <c r="EH167"/>
      <c r="EI167"/>
      <c r="EJ167"/>
      <c r="EK167"/>
      <c r="EL167"/>
      <c r="EM167"/>
      <c r="EN167"/>
      <c r="EO167"/>
      <c r="EP167"/>
      <c r="EQ167"/>
      <c r="ER167"/>
      <c r="ES167"/>
      <c r="ET167"/>
      <c r="EU167"/>
      <c r="EV167"/>
      <c r="EW167"/>
      <c r="EX167"/>
      <c r="EY167"/>
      <c r="EZ167"/>
      <c r="FA167"/>
      <c r="FB167"/>
      <c r="FC167"/>
      <c r="FD167"/>
      <c r="FE167"/>
      <c r="FF167"/>
      <c r="FG167"/>
      <c r="FH167"/>
      <c r="FI167"/>
      <c r="FJ167"/>
      <c r="FK167"/>
      <c r="FL167"/>
      <c r="FM167"/>
      <c r="FN167"/>
      <c r="FO167"/>
      <c r="FP167"/>
      <c r="FQ167"/>
      <c r="FR167"/>
      <c r="FS167"/>
      <c r="FT167"/>
      <c r="FU167"/>
      <c r="FV167"/>
      <c r="FW167"/>
      <c r="FX167"/>
      <c r="FY167"/>
      <c r="FZ167"/>
      <c r="GA167"/>
      <c r="GB167"/>
      <c r="GC167"/>
      <c r="GD167"/>
      <c r="GE167"/>
      <c r="GF167"/>
      <c r="GG167"/>
      <c r="GH167"/>
      <c r="GI167"/>
      <c r="GJ167"/>
      <c r="GK167"/>
      <c r="GL167"/>
      <c r="GM167"/>
      <c r="GN167"/>
      <c r="GO167"/>
      <c r="GP167"/>
      <c r="GQ167"/>
      <c r="GR167"/>
      <c r="GS167"/>
      <c r="GT167"/>
      <c r="GU167"/>
      <c r="GV167"/>
      <c r="GW167"/>
      <c r="GX167"/>
      <c r="GY167"/>
      <c r="GZ167"/>
      <c r="HA167"/>
      <c r="HB167"/>
      <c r="HC167"/>
      <c r="HD167"/>
      <c r="HE167"/>
      <c r="HF167"/>
      <c r="HG167"/>
      <c r="HH167"/>
      <c r="HI167"/>
      <c r="HJ167"/>
      <c r="HK167"/>
      <c r="HL167"/>
      <c r="HM167"/>
      <c r="HN167"/>
      <c r="HO167"/>
      <c r="HP167"/>
      <c r="HQ167"/>
      <c r="HR167"/>
      <c r="HS167"/>
      <c r="HT167"/>
      <c r="HU167"/>
      <c r="HV167"/>
      <c r="HW167"/>
      <c r="HX167"/>
      <c r="HY167"/>
      <c r="HZ167"/>
      <c r="IA167"/>
      <c r="IB167"/>
      <c r="IC167"/>
      <c r="ID167"/>
      <c r="IE167"/>
      <c r="IF167"/>
      <c r="IG167"/>
      <c r="IH167"/>
      <c r="II167"/>
      <c r="IJ167"/>
      <c r="IK167"/>
      <c r="IL167"/>
      <c r="IM167"/>
      <c r="IN167"/>
      <c r="IO167"/>
      <c r="IP167"/>
      <c r="IQ167"/>
      <c r="IR167"/>
      <c r="IS167"/>
      <c r="IT167"/>
      <c r="IU167"/>
      <c r="IV167"/>
      <c r="IW167"/>
      <c r="IX167"/>
      <c r="IY167"/>
      <c r="IZ167"/>
      <c r="JA167"/>
      <c r="JB167"/>
      <c r="JC167"/>
      <c r="JD167"/>
      <c r="JE167"/>
      <c r="JF167"/>
      <c r="JG167"/>
      <c r="JH167"/>
      <c r="JI167"/>
      <c r="JJ167"/>
      <c r="JK167"/>
      <c r="JL167"/>
      <c r="JM167"/>
      <c r="JN167"/>
      <c r="JO167"/>
      <c r="JP167"/>
      <c r="JQ167"/>
      <c r="JR167"/>
      <c r="JS167"/>
      <c r="JT167"/>
      <c r="JU167"/>
      <c r="JV167"/>
      <c r="JW167"/>
      <c r="JX167"/>
      <c r="JY167"/>
      <c r="JZ167"/>
      <c r="KA167"/>
      <c r="KB167"/>
      <c r="KC167"/>
      <c r="KD167"/>
      <c r="KE167"/>
      <c r="KF167"/>
      <c r="KG167"/>
      <c r="KH167"/>
      <c r="KI167"/>
    </row>
    <row r="168" spans="1:295" ht="20" customHeight="1" x14ac:dyDescent="0.15">
      <c r="A168" s="12"/>
      <c r="B168" s="13" t="s">
        <v>174</v>
      </c>
      <c r="C168" s="14" t="s">
        <v>35</v>
      </c>
      <c r="D168" s="15" t="s">
        <v>68</v>
      </c>
      <c r="E168" s="15" t="s">
        <v>252</v>
      </c>
      <c r="F168" s="16">
        <v>165</v>
      </c>
      <c r="G168" s="17">
        <v>30565.62</v>
      </c>
      <c r="H168" s="17">
        <v>6590.04</v>
      </c>
      <c r="I168" s="19">
        <v>5043327.3</v>
      </c>
      <c r="J168" s="15" t="s">
        <v>17</v>
      </c>
      <c r="K168" s="15" t="s">
        <v>18</v>
      </c>
      <c r="L168" s="9">
        <f>YEAR(E168)</f>
        <v>2020</v>
      </c>
      <c r="M168" s="11">
        <f t="shared" si="4"/>
        <v>1087356.6000000001</v>
      </c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  <c r="AI168"/>
      <c r="AJ168"/>
      <c r="AK168"/>
      <c r="AL168"/>
      <c r="AM168"/>
      <c r="AN168"/>
      <c r="AO168"/>
      <c r="AP168"/>
      <c r="AQ168"/>
      <c r="AR168"/>
      <c r="AS168"/>
      <c r="AT168"/>
      <c r="AU168"/>
      <c r="AV168"/>
      <c r="AW168"/>
      <c r="AX168"/>
      <c r="AY168"/>
      <c r="AZ168"/>
      <c r="BA168"/>
      <c r="BB168"/>
      <c r="BC168"/>
      <c r="BD168"/>
      <c r="BE168"/>
      <c r="BF168"/>
      <c r="BG168"/>
      <c r="BH168"/>
      <c r="BI168"/>
      <c r="BJ168"/>
      <c r="BK168"/>
      <c r="BL168"/>
      <c r="BM168"/>
      <c r="BN168"/>
      <c r="BO168"/>
      <c r="BP168"/>
      <c r="BQ168"/>
      <c r="BR168"/>
      <c r="BS168"/>
      <c r="BT168"/>
      <c r="BU168"/>
      <c r="BV168"/>
      <c r="BW168"/>
      <c r="BX168"/>
      <c r="BY168"/>
      <c r="BZ168"/>
      <c r="CA168"/>
      <c r="CB168"/>
      <c r="CC168"/>
      <c r="CD168"/>
      <c r="CE168"/>
      <c r="CF168"/>
      <c r="CG168"/>
      <c r="CH168"/>
      <c r="CI168"/>
      <c r="CJ168"/>
      <c r="CK168"/>
      <c r="CL168"/>
      <c r="CM168"/>
      <c r="CN168"/>
      <c r="CO168"/>
      <c r="CP168"/>
      <c r="CQ168"/>
      <c r="CR168"/>
      <c r="CS168"/>
      <c r="CT168"/>
      <c r="CU168"/>
      <c r="CV168"/>
      <c r="CW168"/>
      <c r="CX168"/>
      <c r="CY168"/>
      <c r="CZ168"/>
      <c r="DA168"/>
      <c r="DB168"/>
      <c r="DC168"/>
      <c r="DD168"/>
      <c r="DE168"/>
      <c r="DF168"/>
      <c r="DG168"/>
      <c r="DH168"/>
      <c r="DI168"/>
      <c r="DJ168"/>
      <c r="DK168"/>
      <c r="DL168"/>
      <c r="DM168"/>
      <c r="DN168"/>
      <c r="DO168"/>
      <c r="DP168"/>
      <c r="DQ168"/>
      <c r="DR168"/>
      <c r="DS168"/>
      <c r="DT168"/>
      <c r="DU168"/>
      <c r="DV168"/>
      <c r="DW168"/>
      <c r="DX168"/>
      <c r="DY168"/>
      <c r="DZ168"/>
      <c r="EA168"/>
      <c r="EB168"/>
      <c r="EC168"/>
      <c r="ED168"/>
      <c r="EE168"/>
      <c r="EF168"/>
      <c r="EG168"/>
      <c r="EH168"/>
      <c r="EI168"/>
      <c r="EJ168"/>
      <c r="EK168"/>
      <c r="EL168"/>
      <c r="EM168"/>
      <c r="EN168"/>
      <c r="EO168"/>
      <c r="EP168"/>
      <c r="EQ168"/>
      <c r="ER168"/>
      <c r="ES168"/>
      <c r="ET168"/>
      <c r="EU168"/>
      <c r="EV168"/>
      <c r="EW168"/>
      <c r="EX168"/>
      <c r="EY168"/>
      <c r="EZ168"/>
      <c r="FA168"/>
      <c r="FB168"/>
      <c r="FC168"/>
      <c r="FD168"/>
      <c r="FE168"/>
      <c r="FF168"/>
      <c r="FG168"/>
      <c r="FH168"/>
      <c r="FI168"/>
      <c r="FJ168"/>
      <c r="FK168"/>
      <c r="FL168"/>
      <c r="FM168"/>
      <c r="FN168"/>
      <c r="FO168"/>
      <c r="FP168"/>
      <c r="FQ168"/>
      <c r="FR168"/>
      <c r="FS168"/>
      <c r="FT168"/>
      <c r="FU168"/>
      <c r="FV168"/>
      <c r="FW168"/>
      <c r="FX168"/>
      <c r="FY168"/>
      <c r="FZ168"/>
      <c r="GA168"/>
      <c r="GB168"/>
      <c r="GC168"/>
      <c r="GD168"/>
      <c r="GE168"/>
      <c r="GF168"/>
      <c r="GG168"/>
      <c r="GH168"/>
      <c r="GI168"/>
      <c r="GJ168"/>
      <c r="GK168"/>
      <c r="GL168"/>
      <c r="GM168"/>
      <c r="GN168"/>
      <c r="GO168"/>
      <c r="GP168"/>
      <c r="GQ168"/>
      <c r="GR168"/>
      <c r="GS168"/>
      <c r="GT168"/>
      <c r="GU168"/>
      <c r="GV168"/>
      <c r="GW168"/>
      <c r="GX168"/>
      <c r="GY168"/>
      <c r="GZ168"/>
      <c r="HA168"/>
      <c r="HB168"/>
      <c r="HC168"/>
      <c r="HD168"/>
      <c r="HE168"/>
      <c r="HF168"/>
      <c r="HG168"/>
      <c r="HH168"/>
      <c r="HI168"/>
      <c r="HJ168"/>
      <c r="HK168"/>
      <c r="HL168"/>
      <c r="HM168"/>
      <c r="HN168"/>
      <c r="HO168"/>
      <c r="HP168"/>
      <c r="HQ168"/>
      <c r="HR168"/>
      <c r="HS168"/>
      <c r="HT168"/>
      <c r="HU168"/>
      <c r="HV168"/>
      <c r="HW168"/>
      <c r="HX168"/>
      <c r="HY168"/>
      <c r="HZ168"/>
      <c r="IA168"/>
      <c r="IB168"/>
      <c r="IC168"/>
      <c r="ID168"/>
      <c r="IE168"/>
      <c r="IF168"/>
      <c r="IG168"/>
      <c r="IH168"/>
      <c r="II168"/>
      <c r="IJ168"/>
      <c r="IK168"/>
      <c r="IL168"/>
      <c r="IM168"/>
      <c r="IN168"/>
      <c r="IO168"/>
      <c r="IP168"/>
      <c r="IQ168"/>
      <c r="IR168"/>
      <c r="IS168"/>
      <c r="IT168"/>
      <c r="IU168"/>
      <c r="IV168"/>
      <c r="IW168"/>
      <c r="IX168"/>
      <c r="IY168"/>
      <c r="IZ168"/>
      <c r="JA168"/>
      <c r="JB168"/>
      <c r="JC168"/>
      <c r="JD168"/>
      <c r="JE168"/>
      <c r="JF168"/>
      <c r="JG168"/>
      <c r="JH168"/>
      <c r="JI168"/>
      <c r="JJ168"/>
      <c r="JK168"/>
      <c r="JL168"/>
      <c r="JM168"/>
      <c r="JN168"/>
      <c r="JO168"/>
      <c r="JP168"/>
      <c r="JQ168"/>
      <c r="JR168"/>
      <c r="JS168"/>
      <c r="JT168"/>
      <c r="JU168"/>
      <c r="JV168"/>
      <c r="JW168"/>
      <c r="JX168"/>
      <c r="JY168"/>
      <c r="JZ168"/>
      <c r="KA168"/>
      <c r="KB168"/>
      <c r="KC168"/>
      <c r="KD168"/>
      <c r="KE168"/>
      <c r="KF168"/>
      <c r="KG168"/>
      <c r="KH168"/>
      <c r="KI168"/>
    </row>
    <row r="169" spans="1:295" ht="20" customHeight="1" x14ac:dyDescent="0.15">
      <c r="A169" s="12"/>
      <c r="B169" s="13" t="s">
        <v>174</v>
      </c>
      <c r="C169" s="14" t="s">
        <v>23</v>
      </c>
      <c r="D169" s="15" t="s">
        <v>68</v>
      </c>
      <c r="E169" s="15" t="s">
        <v>254</v>
      </c>
      <c r="F169" s="16">
        <v>385</v>
      </c>
      <c r="G169" s="17">
        <v>49366.58</v>
      </c>
      <c r="H169" s="17">
        <v>9252.64</v>
      </c>
      <c r="I169" s="19">
        <v>19006133.300000001</v>
      </c>
      <c r="J169" s="15" t="s">
        <v>30</v>
      </c>
      <c r="K169" s="15" t="s">
        <v>18</v>
      </c>
      <c r="L169" s="9">
        <f>YEAR(E169)</f>
        <v>2020</v>
      </c>
      <c r="M169" s="11">
        <f t="shared" si="4"/>
        <v>3562266.4</v>
      </c>
    </row>
    <row r="170" spans="1:295" ht="20" customHeight="1" x14ac:dyDescent="0.15">
      <c r="A170" s="12"/>
      <c r="B170" s="13" t="s">
        <v>174</v>
      </c>
      <c r="C170" s="14" t="s">
        <v>38</v>
      </c>
      <c r="D170" s="15" t="s">
        <v>68</v>
      </c>
      <c r="E170" s="15" t="s">
        <v>257</v>
      </c>
      <c r="F170" s="16">
        <v>467</v>
      </c>
      <c r="G170" s="17">
        <v>13294.58</v>
      </c>
      <c r="H170" s="17">
        <v>4013.08</v>
      </c>
      <c r="I170" s="17">
        <v>6208568.8600000003</v>
      </c>
      <c r="J170" s="15" t="s">
        <v>17</v>
      </c>
      <c r="K170" s="15" t="s">
        <v>18</v>
      </c>
      <c r="L170" s="9">
        <f>YEAR(E170)</f>
        <v>2020</v>
      </c>
      <c r="M170" s="11">
        <f t="shared" si="4"/>
        <v>1874108.3599999999</v>
      </c>
    </row>
    <row r="171" spans="1:295" ht="20" customHeight="1" x14ac:dyDescent="0.15">
      <c r="A171" s="12"/>
      <c r="B171" s="13" t="s">
        <v>174</v>
      </c>
      <c r="C171" s="14" t="s">
        <v>31</v>
      </c>
      <c r="D171" s="15" t="s">
        <v>68</v>
      </c>
      <c r="E171" s="15" t="s">
        <v>260</v>
      </c>
      <c r="F171" s="16">
        <v>736</v>
      </c>
      <c r="G171" s="19">
        <v>19997.900000000001</v>
      </c>
      <c r="H171" s="17">
        <v>8920.82</v>
      </c>
      <c r="I171" s="19">
        <v>14718454.4</v>
      </c>
      <c r="J171" s="15" t="s">
        <v>17</v>
      </c>
      <c r="K171" s="15" t="s">
        <v>18</v>
      </c>
      <c r="L171" s="9">
        <f>YEAR(E171)</f>
        <v>2020</v>
      </c>
      <c r="M171" s="11">
        <f t="shared" si="4"/>
        <v>6565723.5199999996</v>
      </c>
    </row>
    <row r="172" spans="1:295" ht="20" customHeight="1" x14ac:dyDescent="0.15">
      <c r="A172" s="12"/>
      <c r="B172" s="13" t="s">
        <v>174</v>
      </c>
      <c r="C172" s="14" t="s">
        <v>23</v>
      </c>
      <c r="D172" s="15" t="s">
        <v>53</v>
      </c>
      <c r="E172" s="15" t="s">
        <v>263</v>
      </c>
      <c r="F172" s="16">
        <v>137</v>
      </c>
      <c r="G172" s="17">
        <v>22503.47</v>
      </c>
      <c r="H172" s="17">
        <v>4193.51</v>
      </c>
      <c r="I172" s="17">
        <v>3082975.39</v>
      </c>
      <c r="J172" s="15" t="s">
        <v>17</v>
      </c>
      <c r="K172" s="15" t="s">
        <v>18</v>
      </c>
      <c r="L172" s="9">
        <f>YEAR(E172)</f>
        <v>2020</v>
      </c>
      <c r="M172" s="11">
        <f t="shared" si="4"/>
        <v>574510.87</v>
      </c>
    </row>
    <row r="173" spans="1:295" ht="20" customHeight="1" x14ac:dyDescent="0.15">
      <c r="A173" s="12"/>
      <c r="B173" s="13" t="s">
        <v>174</v>
      </c>
      <c r="C173" s="14" t="s">
        <v>79</v>
      </c>
      <c r="D173" s="15" t="s">
        <v>53</v>
      </c>
      <c r="E173" s="15" t="s">
        <v>264</v>
      </c>
      <c r="F173" s="16">
        <v>662</v>
      </c>
      <c r="G173" s="17">
        <v>31310.98</v>
      </c>
      <c r="H173" s="19">
        <v>6516.4</v>
      </c>
      <c r="I173" s="17">
        <v>20727868.760000002</v>
      </c>
      <c r="J173" s="15" t="s">
        <v>17</v>
      </c>
      <c r="K173" s="15" t="s">
        <v>18</v>
      </c>
      <c r="L173" s="9">
        <f>YEAR(E173)</f>
        <v>2020</v>
      </c>
      <c r="M173" s="11">
        <f t="shared" si="4"/>
        <v>4313856.8</v>
      </c>
    </row>
    <row r="174" spans="1:295" ht="20" customHeight="1" x14ac:dyDescent="0.15">
      <c r="A174" s="12"/>
      <c r="B174" s="13" t="s">
        <v>174</v>
      </c>
      <c r="C174" s="14" t="s">
        <v>43</v>
      </c>
      <c r="D174" s="15" t="s">
        <v>89</v>
      </c>
      <c r="E174" s="15" t="s">
        <v>272</v>
      </c>
      <c r="F174" s="16">
        <v>192</v>
      </c>
      <c r="G174" s="17">
        <v>38775.730000000003</v>
      </c>
      <c r="H174" s="17">
        <v>5076.82</v>
      </c>
      <c r="I174" s="17">
        <v>7444940.1600000001</v>
      </c>
      <c r="J174" s="15" t="s">
        <v>17</v>
      </c>
      <c r="K174" s="15" t="s">
        <v>18</v>
      </c>
      <c r="L174" s="9">
        <f>YEAR(E174)</f>
        <v>2020</v>
      </c>
      <c r="M174" s="11">
        <f t="shared" si="4"/>
        <v>974749.44</v>
      </c>
    </row>
    <row r="175" spans="1:295" ht="20" customHeight="1" x14ac:dyDescent="0.15">
      <c r="A175" s="12"/>
      <c r="B175" s="13" t="s">
        <v>174</v>
      </c>
      <c r="C175" s="14" t="s">
        <v>38</v>
      </c>
      <c r="D175" s="15" t="s">
        <v>89</v>
      </c>
      <c r="E175" s="15" t="s">
        <v>273</v>
      </c>
      <c r="F175" s="16">
        <v>825</v>
      </c>
      <c r="G175" s="17">
        <v>44058.73</v>
      </c>
      <c r="H175" s="17">
        <v>4559.3900000000003</v>
      </c>
      <c r="I175" s="17">
        <v>36348452.25</v>
      </c>
      <c r="J175" s="15" t="s">
        <v>28</v>
      </c>
      <c r="K175" s="15" t="s">
        <v>18</v>
      </c>
      <c r="L175" s="9">
        <f>YEAR(E175)</f>
        <v>2020</v>
      </c>
      <c r="M175" s="11">
        <f t="shared" si="4"/>
        <v>3761496.7500000005</v>
      </c>
    </row>
    <row r="176" spans="1:295" ht="20" customHeight="1" x14ac:dyDescent="0.15">
      <c r="A176" s="12"/>
      <c r="B176" s="13" t="s">
        <v>174</v>
      </c>
      <c r="C176" s="14" t="s">
        <v>35</v>
      </c>
      <c r="D176" s="15" t="s">
        <v>89</v>
      </c>
      <c r="E176" s="15" t="s">
        <v>274</v>
      </c>
      <c r="F176" s="16">
        <v>748</v>
      </c>
      <c r="G176" s="17">
        <v>25682.21</v>
      </c>
      <c r="H176" s="17">
        <v>9748.1200000000008</v>
      </c>
      <c r="I176" s="17">
        <v>19210293.079999998</v>
      </c>
      <c r="J176" s="15" t="s">
        <v>17</v>
      </c>
      <c r="K176" s="15" t="s">
        <v>18</v>
      </c>
      <c r="L176" s="9">
        <f>YEAR(E176)</f>
        <v>2020</v>
      </c>
      <c r="M176" s="11">
        <f t="shared" si="4"/>
        <v>7291593.7600000007</v>
      </c>
    </row>
    <row r="177" spans="1:13" ht="20" customHeight="1" x14ac:dyDescent="0.15">
      <c r="A177" s="12"/>
      <c r="B177" s="13" t="s">
        <v>174</v>
      </c>
      <c r="C177" s="14" t="s">
        <v>79</v>
      </c>
      <c r="D177" s="15" t="s">
        <v>114</v>
      </c>
      <c r="E177" s="15" t="s">
        <v>128</v>
      </c>
      <c r="F177" s="16">
        <v>584</v>
      </c>
      <c r="G177" s="17">
        <v>44793.37</v>
      </c>
      <c r="H177" s="17">
        <v>7045.51</v>
      </c>
      <c r="I177" s="17">
        <v>26159328.079999998</v>
      </c>
      <c r="J177" s="15" t="s">
        <v>17</v>
      </c>
      <c r="K177" s="15" t="s">
        <v>18</v>
      </c>
      <c r="L177" s="9">
        <f>YEAR(E177)</f>
        <v>2021</v>
      </c>
      <c r="M177" s="11">
        <f t="shared" si="4"/>
        <v>4114577.8400000003</v>
      </c>
    </row>
    <row r="178" spans="1:13" ht="20" customHeight="1" x14ac:dyDescent="0.15">
      <c r="A178" s="12"/>
      <c r="B178" s="13" t="s">
        <v>174</v>
      </c>
      <c r="C178" s="14" t="s">
        <v>38</v>
      </c>
      <c r="D178" s="15" t="s">
        <v>114</v>
      </c>
      <c r="E178" s="15" t="s">
        <v>181</v>
      </c>
      <c r="F178" s="16">
        <v>634</v>
      </c>
      <c r="G178" s="17">
        <v>20602.990000000002</v>
      </c>
      <c r="H178" s="17">
        <v>5428.66</v>
      </c>
      <c r="I178" s="17">
        <v>13062295.66</v>
      </c>
      <c r="J178" s="15" t="s">
        <v>30</v>
      </c>
      <c r="K178" s="15" t="s">
        <v>18</v>
      </c>
      <c r="L178" s="9">
        <f>YEAR(E178)</f>
        <v>2021</v>
      </c>
      <c r="M178" s="11">
        <f t="shared" si="4"/>
        <v>3441770.44</v>
      </c>
    </row>
    <row r="179" spans="1:13" ht="20" customHeight="1" x14ac:dyDescent="0.15">
      <c r="A179" s="12"/>
      <c r="B179" s="13" t="s">
        <v>174</v>
      </c>
      <c r="C179" s="14" t="s">
        <v>25</v>
      </c>
      <c r="D179" s="15" t="s">
        <v>26</v>
      </c>
      <c r="E179" s="15" t="s">
        <v>181</v>
      </c>
      <c r="F179" s="16">
        <v>275</v>
      </c>
      <c r="G179" s="17">
        <v>21247.69</v>
      </c>
      <c r="H179" s="17">
        <v>5273.59</v>
      </c>
      <c r="I179" s="17">
        <v>5843114.75</v>
      </c>
      <c r="J179" s="15" t="s">
        <v>17</v>
      </c>
      <c r="K179" s="15" t="s">
        <v>18</v>
      </c>
      <c r="L179" s="9">
        <f>YEAR(E179)</f>
        <v>2021</v>
      </c>
      <c r="M179" s="11">
        <f t="shared" si="4"/>
        <v>1450237.25</v>
      </c>
    </row>
    <row r="180" spans="1:13" ht="20" customHeight="1" x14ac:dyDescent="0.15">
      <c r="A180" s="12"/>
      <c r="B180" s="13" t="s">
        <v>174</v>
      </c>
      <c r="C180" s="14" t="s">
        <v>31</v>
      </c>
      <c r="D180" s="15" t="s">
        <v>114</v>
      </c>
      <c r="E180" s="15" t="s">
        <v>187</v>
      </c>
      <c r="F180" s="16">
        <v>601</v>
      </c>
      <c r="G180" s="17">
        <v>45644.07</v>
      </c>
      <c r="H180" s="17">
        <v>4474.6400000000003</v>
      </c>
      <c r="I180" s="17">
        <v>27432086.07</v>
      </c>
      <c r="J180" s="15" t="s">
        <v>28</v>
      </c>
      <c r="K180" s="15" t="s">
        <v>18</v>
      </c>
      <c r="L180" s="9">
        <f>YEAR(E180)</f>
        <v>2021</v>
      </c>
      <c r="M180" s="11">
        <f t="shared" si="4"/>
        <v>2689258.64</v>
      </c>
    </row>
    <row r="181" spans="1:13" ht="20" customHeight="1" x14ac:dyDescent="0.15">
      <c r="A181" s="12"/>
      <c r="B181" s="13" t="s">
        <v>174</v>
      </c>
      <c r="C181" s="14" t="s">
        <v>19</v>
      </c>
      <c r="D181" s="15" t="s">
        <v>114</v>
      </c>
      <c r="E181" s="15" t="s">
        <v>188</v>
      </c>
      <c r="F181" s="16">
        <v>862</v>
      </c>
      <c r="G181" s="17">
        <v>10713.54</v>
      </c>
      <c r="H181" s="17">
        <v>4852.22</v>
      </c>
      <c r="I181" s="17">
        <v>9235071.4800000004</v>
      </c>
      <c r="J181" s="15" t="s">
        <v>17</v>
      </c>
      <c r="K181" s="15" t="s">
        <v>18</v>
      </c>
      <c r="L181" s="9">
        <f>YEAR(E181)</f>
        <v>2021</v>
      </c>
      <c r="M181" s="11">
        <f t="shared" si="4"/>
        <v>4182613.64</v>
      </c>
    </row>
    <row r="182" spans="1:13" ht="20" customHeight="1" x14ac:dyDescent="0.15">
      <c r="A182" s="12"/>
      <c r="B182" s="13" t="s">
        <v>174</v>
      </c>
      <c r="C182" s="14" t="s">
        <v>19</v>
      </c>
      <c r="D182" s="15" t="s">
        <v>139</v>
      </c>
      <c r="E182" s="15" t="s">
        <v>194</v>
      </c>
      <c r="F182" s="16">
        <v>881</v>
      </c>
      <c r="G182" s="17">
        <v>47757.87</v>
      </c>
      <c r="H182" s="17">
        <v>6806.86</v>
      </c>
      <c r="I182" s="17">
        <v>42074683.469999999</v>
      </c>
      <c r="J182" s="15" t="s">
        <v>22</v>
      </c>
      <c r="K182" s="15" t="s">
        <v>18</v>
      </c>
      <c r="L182" s="9">
        <f>YEAR(E182)</f>
        <v>2021</v>
      </c>
      <c r="M182" s="11">
        <f t="shared" si="4"/>
        <v>5996843.6600000001</v>
      </c>
    </row>
    <row r="183" spans="1:13" ht="20" customHeight="1" x14ac:dyDescent="0.15">
      <c r="A183" s="12"/>
      <c r="B183" s="13" t="s">
        <v>174</v>
      </c>
      <c r="C183" s="14" t="s">
        <v>14</v>
      </c>
      <c r="D183" s="15" t="s">
        <v>139</v>
      </c>
      <c r="E183" s="15" t="s">
        <v>196</v>
      </c>
      <c r="F183" s="16">
        <v>364</v>
      </c>
      <c r="G183" s="17">
        <v>20676.03</v>
      </c>
      <c r="H183" s="17">
        <v>6076.57</v>
      </c>
      <c r="I183" s="17">
        <v>7526074.9199999999</v>
      </c>
      <c r="J183" s="15" t="s">
        <v>17</v>
      </c>
      <c r="K183" s="15" t="s">
        <v>18</v>
      </c>
      <c r="L183" s="9">
        <f>YEAR(E183)</f>
        <v>2021</v>
      </c>
      <c r="M183" s="11">
        <f t="shared" si="4"/>
        <v>2211871.48</v>
      </c>
    </row>
    <row r="184" spans="1:13" ht="20" customHeight="1" x14ac:dyDescent="0.15">
      <c r="A184" s="12"/>
      <c r="B184" s="13" t="s">
        <v>174</v>
      </c>
      <c r="C184" s="14" t="s">
        <v>31</v>
      </c>
      <c r="D184" s="15" t="s">
        <v>26</v>
      </c>
      <c r="E184" s="15" t="s">
        <v>205</v>
      </c>
      <c r="F184" s="16">
        <v>641</v>
      </c>
      <c r="G184" s="17">
        <v>22151.23</v>
      </c>
      <c r="H184" s="17">
        <v>9884.51</v>
      </c>
      <c r="I184" s="17">
        <v>14198938.43</v>
      </c>
      <c r="J184" s="15" t="s">
        <v>22</v>
      </c>
      <c r="K184" s="15" t="s">
        <v>18</v>
      </c>
      <c r="L184" s="9">
        <f>YEAR(E184)</f>
        <v>2021</v>
      </c>
      <c r="M184" s="11">
        <f t="shared" si="4"/>
        <v>6335970.9100000001</v>
      </c>
    </row>
    <row r="185" spans="1:13" ht="20" customHeight="1" x14ac:dyDescent="0.15">
      <c r="A185" s="12"/>
      <c r="B185" s="13" t="s">
        <v>174</v>
      </c>
      <c r="C185" s="14" t="s">
        <v>19</v>
      </c>
      <c r="D185" s="15" t="s">
        <v>26</v>
      </c>
      <c r="E185" s="15" t="s">
        <v>207</v>
      </c>
      <c r="F185" s="16">
        <v>155</v>
      </c>
      <c r="G185" s="17">
        <v>19830.810000000001</v>
      </c>
      <c r="H185" s="17">
        <v>9336.83</v>
      </c>
      <c r="I185" s="17">
        <v>3073775.55</v>
      </c>
      <c r="J185" s="15" t="s">
        <v>17</v>
      </c>
      <c r="K185" s="15" t="s">
        <v>18</v>
      </c>
      <c r="L185" s="9">
        <f>YEAR(E185)</f>
        <v>2021</v>
      </c>
      <c r="M185" s="11">
        <f t="shared" si="4"/>
        <v>1447208.65</v>
      </c>
    </row>
    <row r="186" spans="1:13" ht="20" customHeight="1" x14ac:dyDescent="0.15">
      <c r="A186" s="12"/>
      <c r="B186" s="13" t="s">
        <v>174</v>
      </c>
      <c r="C186" s="14" t="s">
        <v>14</v>
      </c>
      <c r="D186" s="15" t="s">
        <v>26</v>
      </c>
      <c r="E186" s="15" t="s">
        <v>208</v>
      </c>
      <c r="F186" s="16">
        <v>541</v>
      </c>
      <c r="G186" s="17">
        <v>49593.68</v>
      </c>
      <c r="H186" s="17">
        <v>5788.97</v>
      </c>
      <c r="I186" s="17">
        <v>26830180.879999999</v>
      </c>
      <c r="J186" s="15" t="s">
        <v>17</v>
      </c>
      <c r="K186" s="15" t="s">
        <v>18</v>
      </c>
      <c r="L186" s="9">
        <f>YEAR(E186)</f>
        <v>2021</v>
      </c>
      <c r="M186" s="11">
        <f t="shared" si="4"/>
        <v>3131832.77</v>
      </c>
    </row>
    <row r="187" spans="1:13" ht="20" customHeight="1" x14ac:dyDescent="0.15">
      <c r="A187" s="12"/>
      <c r="B187" s="13" t="s">
        <v>174</v>
      </c>
      <c r="C187" s="14" t="s">
        <v>19</v>
      </c>
      <c r="D187" s="15" t="s">
        <v>70</v>
      </c>
      <c r="E187" s="15" t="s">
        <v>208</v>
      </c>
      <c r="F187" s="16">
        <v>960</v>
      </c>
      <c r="G187" s="17">
        <v>42119.76</v>
      </c>
      <c r="H187" s="17">
        <v>7291.26</v>
      </c>
      <c r="I187" s="19">
        <v>40434969.600000001</v>
      </c>
      <c r="J187" s="15" t="s">
        <v>17</v>
      </c>
      <c r="K187" s="15" t="s">
        <v>18</v>
      </c>
      <c r="L187" s="9">
        <f>YEAR(E187)</f>
        <v>2021</v>
      </c>
      <c r="M187" s="11">
        <f t="shared" si="4"/>
        <v>6999609.6000000006</v>
      </c>
    </row>
    <row r="188" spans="1:13" ht="20" customHeight="1" x14ac:dyDescent="0.15">
      <c r="A188" s="12"/>
      <c r="B188" s="13" t="s">
        <v>174</v>
      </c>
      <c r="C188" s="14" t="s">
        <v>35</v>
      </c>
      <c r="D188" s="15" t="s">
        <v>26</v>
      </c>
      <c r="E188" s="15" t="s">
        <v>210</v>
      </c>
      <c r="F188" s="16">
        <v>501</v>
      </c>
      <c r="G188" s="17">
        <v>39715.39</v>
      </c>
      <c r="H188" s="17">
        <v>6170.93</v>
      </c>
      <c r="I188" s="17">
        <v>19897410.390000001</v>
      </c>
      <c r="J188" s="15" t="s">
        <v>30</v>
      </c>
      <c r="K188" s="15" t="s">
        <v>18</v>
      </c>
      <c r="L188" s="9">
        <f>YEAR(E188)</f>
        <v>2021</v>
      </c>
      <c r="M188" s="11">
        <f t="shared" si="4"/>
        <v>3091635.93</v>
      </c>
    </row>
    <row r="189" spans="1:13" ht="20" customHeight="1" x14ac:dyDescent="0.15">
      <c r="A189" s="12"/>
      <c r="B189" s="13" t="s">
        <v>174</v>
      </c>
      <c r="C189" s="14" t="s">
        <v>19</v>
      </c>
      <c r="D189" s="15" t="s">
        <v>15</v>
      </c>
      <c r="E189" s="15" t="s">
        <v>67</v>
      </c>
      <c r="F189" s="16">
        <v>184</v>
      </c>
      <c r="G189" s="17">
        <v>11548.45</v>
      </c>
      <c r="H189" s="17">
        <v>4562.51</v>
      </c>
      <c r="I189" s="19">
        <v>2124914.7999999998</v>
      </c>
      <c r="J189" s="15" t="s">
        <v>22</v>
      </c>
      <c r="K189" s="15" t="s">
        <v>18</v>
      </c>
      <c r="L189" s="9">
        <f>YEAR(E189)</f>
        <v>2021</v>
      </c>
      <c r="M189" s="11">
        <f t="shared" si="4"/>
        <v>839501.84000000008</v>
      </c>
    </row>
    <row r="190" spans="1:13" ht="20" customHeight="1" x14ac:dyDescent="0.15">
      <c r="A190" s="12"/>
      <c r="B190" s="13" t="s">
        <v>174</v>
      </c>
      <c r="C190" s="14" t="s">
        <v>19</v>
      </c>
      <c r="D190" s="15" t="s">
        <v>70</v>
      </c>
      <c r="E190" s="15" t="s">
        <v>225</v>
      </c>
      <c r="F190" s="16">
        <v>766</v>
      </c>
      <c r="G190" s="17">
        <v>13513.38</v>
      </c>
      <c r="H190" s="16">
        <v>4155</v>
      </c>
      <c r="I190" s="17">
        <v>10351249.08</v>
      </c>
      <c r="J190" s="15" t="s">
        <v>17</v>
      </c>
      <c r="K190" s="15" t="s">
        <v>18</v>
      </c>
      <c r="L190" s="9">
        <f>YEAR(E190)</f>
        <v>2021</v>
      </c>
      <c r="M190" s="11">
        <f t="shared" si="4"/>
        <v>3182730</v>
      </c>
    </row>
    <row r="191" spans="1:13" ht="20" customHeight="1" x14ac:dyDescent="0.15">
      <c r="A191" s="12"/>
      <c r="B191" s="13" t="s">
        <v>174</v>
      </c>
      <c r="C191" s="14" t="s">
        <v>79</v>
      </c>
      <c r="D191" s="15" t="s">
        <v>70</v>
      </c>
      <c r="E191" s="15" t="s">
        <v>230</v>
      </c>
      <c r="F191" s="16">
        <v>493</v>
      </c>
      <c r="G191" s="17">
        <v>26013.72</v>
      </c>
      <c r="H191" s="17">
        <v>5430.98</v>
      </c>
      <c r="I191" s="17">
        <v>12824763.960000001</v>
      </c>
      <c r="J191" s="15" t="s">
        <v>22</v>
      </c>
      <c r="K191" s="15" t="s">
        <v>18</v>
      </c>
      <c r="L191" s="9">
        <f>YEAR(E191)</f>
        <v>2021</v>
      </c>
      <c r="M191" s="11">
        <f t="shared" si="4"/>
        <v>2677473.1399999997</v>
      </c>
    </row>
    <row r="192" spans="1:13" ht="20" customHeight="1" x14ac:dyDescent="0.15">
      <c r="A192" s="12"/>
      <c r="B192" s="13" t="s">
        <v>174</v>
      </c>
      <c r="C192" s="14" t="s">
        <v>43</v>
      </c>
      <c r="D192" s="15" t="s">
        <v>107</v>
      </c>
      <c r="E192" s="15" t="s">
        <v>231</v>
      </c>
      <c r="F192" s="16">
        <v>987</v>
      </c>
      <c r="G192" s="17">
        <v>42840.93</v>
      </c>
      <c r="H192" s="17">
        <v>7044.67</v>
      </c>
      <c r="I192" s="17">
        <v>42283997.909999996</v>
      </c>
      <c r="J192" s="15" t="s">
        <v>17</v>
      </c>
      <c r="K192" s="15" t="s">
        <v>18</v>
      </c>
      <c r="L192" s="9">
        <f>YEAR(E192)</f>
        <v>2021</v>
      </c>
      <c r="M192" s="11">
        <f t="shared" si="4"/>
        <v>6953089.29</v>
      </c>
    </row>
    <row r="193" spans="1:13" ht="20" customHeight="1" x14ac:dyDescent="0.15">
      <c r="A193" s="12"/>
      <c r="B193" s="13" t="s">
        <v>174</v>
      </c>
      <c r="C193" s="14" t="s">
        <v>79</v>
      </c>
      <c r="D193" s="15" t="s">
        <v>107</v>
      </c>
      <c r="E193" s="15" t="s">
        <v>234</v>
      </c>
      <c r="F193" s="16">
        <v>243</v>
      </c>
      <c r="G193" s="17">
        <v>29602.28</v>
      </c>
      <c r="H193" s="17">
        <v>9786.18</v>
      </c>
      <c r="I193" s="17">
        <v>7193354.04</v>
      </c>
      <c r="J193" s="15" t="s">
        <v>28</v>
      </c>
      <c r="K193" s="15" t="s">
        <v>18</v>
      </c>
      <c r="L193" s="9">
        <f>YEAR(E193)</f>
        <v>2021</v>
      </c>
      <c r="M193" s="11">
        <f t="shared" si="4"/>
        <v>2378041.7400000002</v>
      </c>
    </row>
    <row r="194" spans="1:13" ht="20" customHeight="1" x14ac:dyDescent="0.15">
      <c r="A194" s="12"/>
      <c r="B194" s="13" t="s">
        <v>174</v>
      </c>
      <c r="C194" s="14" t="s">
        <v>35</v>
      </c>
      <c r="D194" s="15" t="s">
        <v>153</v>
      </c>
      <c r="E194" s="15" t="s">
        <v>241</v>
      </c>
      <c r="F194" s="16">
        <v>304</v>
      </c>
      <c r="G194" s="17">
        <v>40982.46</v>
      </c>
      <c r="H194" s="17">
        <v>9884.64</v>
      </c>
      <c r="I194" s="17">
        <v>12458667.84</v>
      </c>
      <c r="J194" s="15" t="s">
        <v>17</v>
      </c>
      <c r="K194" s="15" t="s">
        <v>18</v>
      </c>
      <c r="L194" s="9">
        <f>YEAR(E194)</f>
        <v>2021</v>
      </c>
      <c r="M194" s="11">
        <f t="shared" si="4"/>
        <v>3004930.5599999996</v>
      </c>
    </row>
    <row r="195" spans="1:13" ht="20" customHeight="1" x14ac:dyDescent="0.15">
      <c r="A195" s="12"/>
      <c r="B195" s="13" t="s">
        <v>174</v>
      </c>
      <c r="C195" s="14" t="s">
        <v>23</v>
      </c>
      <c r="D195" s="15" t="s">
        <v>153</v>
      </c>
      <c r="E195" s="15" t="s">
        <v>242</v>
      </c>
      <c r="F195" s="16">
        <v>347</v>
      </c>
      <c r="G195" s="17">
        <v>42921.85</v>
      </c>
      <c r="H195" s="17">
        <v>8708.69</v>
      </c>
      <c r="I195" s="17">
        <v>14893881.949999999</v>
      </c>
      <c r="J195" s="15" t="s">
        <v>28</v>
      </c>
      <c r="K195" s="15" t="s">
        <v>18</v>
      </c>
      <c r="L195" s="9">
        <f>YEAR(E195)</f>
        <v>2021</v>
      </c>
      <c r="M195" s="11">
        <f t="shared" si="4"/>
        <v>3021915.43</v>
      </c>
    </row>
    <row r="196" spans="1:13" ht="20" customHeight="1" x14ac:dyDescent="0.15">
      <c r="A196" s="12"/>
      <c r="B196" s="13" t="s">
        <v>174</v>
      </c>
      <c r="C196" s="14" t="s">
        <v>19</v>
      </c>
      <c r="D196" s="15" t="s">
        <v>153</v>
      </c>
      <c r="E196" s="15" t="s">
        <v>243</v>
      </c>
      <c r="F196" s="16">
        <v>506</v>
      </c>
      <c r="G196" s="19">
        <v>37983.199999999997</v>
      </c>
      <c r="H196" s="17">
        <v>5305.54</v>
      </c>
      <c r="I196" s="19">
        <v>19219499.199999999</v>
      </c>
      <c r="J196" s="15" t="s">
        <v>30</v>
      </c>
      <c r="K196" s="15" t="s">
        <v>18</v>
      </c>
      <c r="L196" s="9">
        <f>YEAR(E196)</f>
        <v>2021</v>
      </c>
      <c r="M196" s="11">
        <f t="shared" si="4"/>
        <v>2684603.2399999998</v>
      </c>
    </row>
    <row r="197" spans="1:13" ht="20" customHeight="1" x14ac:dyDescent="0.15">
      <c r="A197" s="12"/>
      <c r="B197" s="13" t="s">
        <v>174</v>
      </c>
      <c r="C197" s="14" t="s">
        <v>31</v>
      </c>
      <c r="D197" s="15" t="s">
        <v>153</v>
      </c>
      <c r="E197" s="15" t="s">
        <v>244</v>
      </c>
      <c r="F197" s="16">
        <v>182</v>
      </c>
      <c r="G197" s="17">
        <v>11360.04</v>
      </c>
      <c r="H197" s="17">
        <v>3424.28</v>
      </c>
      <c r="I197" s="17">
        <v>2067527.28</v>
      </c>
      <c r="J197" s="15" t="s">
        <v>30</v>
      </c>
      <c r="K197" s="15" t="s">
        <v>18</v>
      </c>
      <c r="L197" s="9">
        <f>YEAR(E197)</f>
        <v>2021</v>
      </c>
      <c r="M197" s="11">
        <f t="shared" ref="M197:M260" si="5">H197*F197</f>
        <v>623218.96000000008</v>
      </c>
    </row>
    <row r="198" spans="1:13" ht="20" customHeight="1" x14ac:dyDescent="0.15">
      <c r="A198" s="12"/>
      <c r="B198" s="13" t="s">
        <v>174</v>
      </c>
      <c r="C198" s="14" t="s">
        <v>79</v>
      </c>
      <c r="D198" s="15" t="s">
        <v>68</v>
      </c>
      <c r="E198" s="15" t="s">
        <v>255</v>
      </c>
      <c r="F198" s="16">
        <v>928</v>
      </c>
      <c r="G198" s="17">
        <v>38172.49</v>
      </c>
      <c r="H198" s="17">
        <v>7185.46</v>
      </c>
      <c r="I198" s="17">
        <v>35424070.719999999</v>
      </c>
      <c r="J198" s="15" t="s">
        <v>17</v>
      </c>
      <c r="K198" s="15" t="s">
        <v>18</v>
      </c>
      <c r="L198" s="9">
        <f>YEAR(E198)</f>
        <v>2021</v>
      </c>
      <c r="M198" s="11">
        <f t="shared" si="5"/>
        <v>6668106.8799999999</v>
      </c>
    </row>
    <row r="199" spans="1:13" ht="20" customHeight="1" x14ac:dyDescent="0.15">
      <c r="A199" s="12"/>
      <c r="B199" s="13" t="s">
        <v>174</v>
      </c>
      <c r="C199" s="14" t="s">
        <v>23</v>
      </c>
      <c r="D199" s="15" t="s">
        <v>68</v>
      </c>
      <c r="E199" s="15" t="s">
        <v>256</v>
      </c>
      <c r="F199" s="16">
        <v>377</v>
      </c>
      <c r="G199" s="17">
        <v>38436.410000000003</v>
      </c>
      <c r="H199" s="17">
        <v>7116.02</v>
      </c>
      <c r="I199" s="17">
        <v>14490526.57</v>
      </c>
      <c r="J199" s="15" t="s">
        <v>17</v>
      </c>
      <c r="K199" s="15" t="s">
        <v>18</v>
      </c>
      <c r="L199" s="9">
        <f>YEAR(E199)</f>
        <v>2021</v>
      </c>
      <c r="M199" s="11">
        <f t="shared" si="5"/>
        <v>2682739.54</v>
      </c>
    </row>
    <row r="200" spans="1:13" ht="20" customHeight="1" x14ac:dyDescent="0.15">
      <c r="A200" s="12"/>
      <c r="B200" s="13" t="s">
        <v>174</v>
      </c>
      <c r="C200" s="14" t="s">
        <v>35</v>
      </c>
      <c r="D200" s="15" t="s">
        <v>53</v>
      </c>
      <c r="E200" s="15" t="s">
        <v>267</v>
      </c>
      <c r="F200" s="16">
        <v>194</v>
      </c>
      <c r="G200" s="17">
        <v>13561.52</v>
      </c>
      <c r="H200" s="17">
        <v>9366.61</v>
      </c>
      <c r="I200" s="17">
        <v>2630934.88</v>
      </c>
      <c r="J200" s="15" t="s">
        <v>30</v>
      </c>
      <c r="K200" s="15" t="s">
        <v>18</v>
      </c>
      <c r="L200" s="9">
        <f>YEAR(E200)</f>
        <v>2021</v>
      </c>
      <c r="M200" s="11">
        <f t="shared" si="5"/>
        <v>1817122.34</v>
      </c>
    </row>
    <row r="201" spans="1:13" ht="20" customHeight="1" x14ac:dyDescent="0.15">
      <c r="A201" s="12"/>
      <c r="B201" s="13" t="s">
        <v>174</v>
      </c>
      <c r="C201" s="14" t="s">
        <v>35</v>
      </c>
      <c r="D201" s="15" t="s">
        <v>89</v>
      </c>
      <c r="E201" s="15" t="s">
        <v>268</v>
      </c>
      <c r="F201" s="16">
        <v>375</v>
      </c>
      <c r="G201" s="17">
        <v>14459.63</v>
      </c>
      <c r="H201" s="17">
        <v>7873.61</v>
      </c>
      <c r="I201" s="17">
        <v>5422361.25</v>
      </c>
      <c r="J201" s="15" t="s">
        <v>17</v>
      </c>
      <c r="K201" s="15" t="s">
        <v>18</v>
      </c>
      <c r="L201" s="9">
        <f>YEAR(E201)</f>
        <v>2021</v>
      </c>
      <c r="M201" s="11">
        <f t="shared" si="5"/>
        <v>2952603.75</v>
      </c>
    </row>
    <row r="202" spans="1:13" ht="20" customHeight="1" x14ac:dyDescent="0.15">
      <c r="A202" s="12"/>
      <c r="B202" s="13" t="s">
        <v>174</v>
      </c>
      <c r="C202" s="14" t="s">
        <v>19</v>
      </c>
      <c r="D202" s="15" t="s">
        <v>89</v>
      </c>
      <c r="E202" s="15" t="s">
        <v>145</v>
      </c>
      <c r="F202" s="16">
        <v>793</v>
      </c>
      <c r="G202" s="17">
        <v>45126.35</v>
      </c>
      <c r="H202" s="17">
        <v>5472.16</v>
      </c>
      <c r="I202" s="17">
        <v>35785195.549999997</v>
      </c>
      <c r="J202" s="15" t="s">
        <v>17</v>
      </c>
      <c r="K202" s="15" t="s">
        <v>18</v>
      </c>
      <c r="L202" s="9">
        <f>YEAR(E202)</f>
        <v>2021</v>
      </c>
      <c r="M202" s="11">
        <f t="shared" si="5"/>
        <v>4339422.88</v>
      </c>
    </row>
    <row r="203" spans="1:13" ht="20" customHeight="1" x14ac:dyDescent="0.15">
      <c r="A203" s="12"/>
      <c r="B203" s="13" t="s">
        <v>174</v>
      </c>
      <c r="C203" s="14" t="s">
        <v>19</v>
      </c>
      <c r="D203" s="15" t="s">
        <v>89</v>
      </c>
      <c r="E203" s="15" t="s">
        <v>270</v>
      </c>
      <c r="F203" s="16">
        <v>884</v>
      </c>
      <c r="G203" s="17">
        <v>34327.58</v>
      </c>
      <c r="H203" s="17">
        <v>7035.55</v>
      </c>
      <c r="I203" s="17">
        <v>30345580.719999999</v>
      </c>
      <c r="J203" s="15" t="s">
        <v>17</v>
      </c>
      <c r="K203" s="15" t="s">
        <v>18</v>
      </c>
      <c r="L203" s="9">
        <f>YEAR(E203)</f>
        <v>2021</v>
      </c>
      <c r="M203" s="11">
        <f t="shared" si="5"/>
        <v>6219426.2000000002</v>
      </c>
    </row>
    <row r="204" spans="1:13" ht="20" customHeight="1" x14ac:dyDescent="0.15">
      <c r="A204" s="12"/>
      <c r="B204" s="13" t="s">
        <v>174</v>
      </c>
      <c r="C204" s="14" t="s">
        <v>25</v>
      </c>
      <c r="D204" s="15" t="s">
        <v>89</v>
      </c>
      <c r="E204" s="15" t="s">
        <v>275</v>
      </c>
      <c r="F204" s="16">
        <v>394</v>
      </c>
      <c r="G204" s="17">
        <v>10137.629999999999</v>
      </c>
      <c r="H204" s="17">
        <v>9407.81</v>
      </c>
      <c r="I204" s="17">
        <v>3994226.22</v>
      </c>
      <c r="J204" s="15" t="s">
        <v>17</v>
      </c>
      <c r="K204" s="15" t="s">
        <v>18</v>
      </c>
      <c r="L204" s="9">
        <f>YEAR(E204)</f>
        <v>2021</v>
      </c>
      <c r="M204" s="11">
        <f t="shared" si="5"/>
        <v>3706677.1399999997</v>
      </c>
    </row>
    <row r="205" spans="1:13" ht="20" customHeight="1" x14ac:dyDescent="0.15">
      <c r="A205" s="12"/>
      <c r="B205" s="13" t="s">
        <v>174</v>
      </c>
      <c r="C205" s="14" t="s">
        <v>19</v>
      </c>
      <c r="D205" s="15" t="s">
        <v>89</v>
      </c>
      <c r="E205" s="15" t="s">
        <v>104</v>
      </c>
      <c r="F205" s="16">
        <v>805</v>
      </c>
      <c r="G205" s="17">
        <v>40476.83</v>
      </c>
      <c r="H205" s="17">
        <v>9454.84</v>
      </c>
      <c r="I205" s="17">
        <v>32583848.149999999</v>
      </c>
      <c r="J205" s="15" t="s">
        <v>22</v>
      </c>
      <c r="K205" s="15" t="s">
        <v>18</v>
      </c>
      <c r="L205" s="9">
        <f>YEAR(E205)</f>
        <v>2021</v>
      </c>
      <c r="M205" s="11">
        <f t="shared" si="5"/>
        <v>7611146.2000000002</v>
      </c>
    </row>
    <row r="206" spans="1:13" ht="20" customHeight="1" x14ac:dyDescent="0.15">
      <c r="A206" s="12"/>
      <c r="B206" s="13" t="s">
        <v>174</v>
      </c>
      <c r="C206" s="14" t="s">
        <v>19</v>
      </c>
      <c r="D206" s="15" t="s">
        <v>114</v>
      </c>
      <c r="E206" s="15" t="s">
        <v>177</v>
      </c>
      <c r="F206" s="16">
        <v>276</v>
      </c>
      <c r="G206" s="17">
        <v>11216.66</v>
      </c>
      <c r="H206" s="17">
        <v>4708.95</v>
      </c>
      <c r="I206" s="17">
        <v>3095798.16</v>
      </c>
      <c r="J206" s="15" t="s">
        <v>30</v>
      </c>
      <c r="K206" s="15" t="s">
        <v>18</v>
      </c>
      <c r="L206" s="9">
        <f>YEAR(E206)</f>
        <v>2022</v>
      </c>
      <c r="M206" s="11">
        <f t="shared" si="5"/>
        <v>1299670.2</v>
      </c>
    </row>
    <row r="207" spans="1:13" ht="20" customHeight="1" x14ac:dyDescent="0.15">
      <c r="A207" s="12"/>
      <c r="B207" s="13" t="s">
        <v>174</v>
      </c>
      <c r="C207" s="14" t="s">
        <v>35</v>
      </c>
      <c r="D207" s="15" t="s">
        <v>114</v>
      </c>
      <c r="E207" s="15" t="s">
        <v>178</v>
      </c>
      <c r="F207" s="16">
        <v>409</v>
      </c>
      <c r="G207" s="17">
        <v>34153.61</v>
      </c>
      <c r="H207" s="17">
        <v>9814.7199999999993</v>
      </c>
      <c r="I207" s="17">
        <v>13968826.49</v>
      </c>
      <c r="J207" s="15" t="s">
        <v>17</v>
      </c>
      <c r="K207" s="15" t="s">
        <v>18</v>
      </c>
      <c r="L207" s="9">
        <f>YEAR(E207)</f>
        <v>2022</v>
      </c>
      <c r="M207" s="11">
        <f t="shared" si="5"/>
        <v>4014220.4799999995</v>
      </c>
    </row>
    <row r="208" spans="1:13" ht="20" customHeight="1" x14ac:dyDescent="0.15">
      <c r="A208" s="12"/>
      <c r="B208" s="13" t="s">
        <v>174</v>
      </c>
      <c r="C208" s="14" t="s">
        <v>25</v>
      </c>
      <c r="D208" s="15" t="s">
        <v>114</v>
      </c>
      <c r="E208" s="15" t="s">
        <v>180</v>
      </c>
      <c r="F208" s="16">
        <v>965</v>
      </c>
      <c r="G208" s="16">
        <v>36870</v>
      </c>
      <c r="H208" s="17">
        <v>4666.84</v>
      </c>
      <c r="I208" s="16">
        <v>35579550</v>
      </c>
      <c r="J208" s="15" t="s">
        <v>28</v>
      </c>
      <c r="K208" s="15" t="s">
        <v>18</v>
      </c>
      <c r="L208" s="9">
        <f>YEAR(E208)</f>
        <v>2022</v>
      </c>
      <c r="M208" s="11">
        <f t="shared" si="5"/>
        <v>4503500.6000000006</v>
      </c>
    </row>
    <row r="209" spans="1:13" ht="20" customHeight="1" x14ac:dyDescent="0.15">
      <c r="A209" s="12"/>
      <c r="B209" s="13" t="s">
        <v>174</v>
      </c>
      <c r="C209" s="14" t="s">
        <v>14</v>
      </c>
      <c r="D209" s="15" t="s">
        <v>114</v>
      </c>
      <c r="E209" s="15" t="s">
        <v>182</v>
      </c>
      <c r="F209" s="16">
        <v>967</v>
      </c>
      <c r="G209" s="17">
        <v>17287.05</v>
      </c>
      <c r="H209" s="17">
        <v>9822.65</v>
      </c>
      <c r="I209" s="17">
        <v>16716577.35</v>
      </c>
      <c r="J209" s="15" t="s">
        <v>17</v>
      </c>
      <c r="K209" s="15" t="s">
        <v>18</v>
      </c>
      <c r="L209" s="9">
        <f>YEAR(E209)</f>
        <v>2022</v>
      </c>
      <c r="M209" s="11">
        <f t="shared" si="5"/>
        <v>9498502.5499999989</v>
      </c>
    </row>
    <row r="210" spans="1:13" ht="20" customHeight="1" x14ac:dyDescent="0.15">
      <c r="A210" s="12"/>
      <c r="B210" s="13" t="s">
        <v>174</v>
      </c>
      <c r="C210" s="14" t="s">
        <v>31</v>
      </c>
      <c r="D210" s="15" t="s">
        <v>114</v>
      </c>
      <c r="E210" s="15" t="s">
        <v>183</v>
      </c>
      <c r="F210" s="16">
        <v>337</v>
      </c>
      <c r="G210" s="17">
        <v>15499.43</v>
      </c>
      <c r="H210" s="17">
        <v>3381.24</v>
      </c>
      <c r="I210" s="17">
        <v>5223307.91</v>
      </c>
      <c r="J210" s="15" t="s">
        <v>17</v>
      </c>
      <c r="K210" s="15" t="s">
        <v>18</v>
      </c>
      <c r="L210" s="9">
        <f>YEAR(E210)</f>
        <v>2022</v>
      </c>
      <c r="M210" s="11">
        <f t="shared" si="5"/>
        <v>1139477.8799999999</v>
      </c>
    </row>
    <row r="211" spans="1:13" ht="20" customHeight="1" x14ac:dyDescent="0.15">
      <c r="A211" s="12"/>
      <c r="B211" s="13" t="s">
        <v>174</v>
      </c>
      <c r="C211" s="14" t="s">
        <v>43</v>
      </c>
      <c r="D211" s="15" t="s">
        <v>114</v>
      </c>
      <c r="E211" s="15" t="s">
        <v>184</v>
      </c>
      <c r="F211" s="16">
        <v>907</v>
      </c>
      <c r="G211" s="17">
        <v>17899.88</v>
      </c>
      <c r="H211" s="17">
        <v>6976.49</v>
      </c>
      <c r="I211" s="17">
        <v>16235191.16</v>
      </c>
      <c r="J211" s="15" t="s">
        <v>17</v>
      </c>
      <c r="K211" s="15" t="s">
        <v>18</v>
      </c>
      <c r="L211" s="9">
        <f>YEAR(E211)</f>
        <v>2022</v>
      </c>
      <c r="M211" s="11">
        <f t="shared" si="5"/>
        <v>6327676.4299999997</v>
      </c>
    </row>
    <row r="212" spans="1:13" ht="20" customHeight="1" x14ac:dyDescent="0.15">
      <c r="A212" s="12"/>
      <c r="B212" s="13" t="s">
        <v>174</v>
      </c>
      <c r="C212" s="14" t="s">
        <v>19</v>
      </c>
      <c r="D212" s="15" t="s">
        <v>114</v>
      </c>
      <c r="E212" s="15" t="s">
        <v>186</v>
      </c>
      <c r="F212" s="16">
        <v>928</v>
      </c>
      <c r="G212" s="17">
        <v>22893.46</v>
      </c>
      <c r="H212" s="17">
        <v>4425.03</v>
      </c>
      <c r="I212" s="17">
        <v>21245130.879999999</v>
      </c>
      <c r="J212" s="15" t="s">
        <v>17</v>
      </c>
      <c r="K212" s="15" t="s">
        <v>18</v>
      </c>
      <c r="L212" s="9">
        <f>YEAR(E212)</f>
        <v>2022</v>
      </c>
      <c r="M212" s="11">
        <f t="shared" si="5"/>
        <v>4106427.84</v>
      </c>
    </row>
    <row r="213" spans="1:13" ht="20" customHeight="1" x14ac:dyDescent="0.15">
      <c r="A213" s="12"/>
      <c r="B213" s="13" t="s">
        <v>174</v>
      </c>
      <c r="C213" s="14" t="s">
        <v>57</v>
      </c>
      <c r="D213" s="15" t="s">
        <v>114</v>
      </c>
      <c r="E213" s="15" t="s">
        <v>190</v>
      </c>
      <c r="F213" s="16">
        <v>142</v>
      </c>
      <c r="G213" s="17">
        <v>28251.37</v>
      </c>
      <c r="H213" s="17">
        <v>7796.85</v>
      </c>
      <c r="I213" s="17">
        <v>4011694.54</v>
      </c>
      <c r="J213" s="15" t="s">
        <v>17</v>
      </c>
      <c r="K213" s="15" t="s">
        <v>18</v>
      </c>
      <c r="L213" s="9">
        <f>YEAR(E213)</f>
        <v>2022</v>
      </c>
      <c r="M213" s="11">
        <f t="shared" si="5"/>
        <v>1107152.7</v>
      </c>
    </row>
    <row r="214" spans="1:13" ht="20" customHeight="1" x14ac:dyDescent="0.15">
      <c r="A214" s="12"/>
      <c r="B214" s="13" t="s">
        <v>174</v>
      </c>
      <c r="C214" s="14" t="s">
        <v>23</v>
      </c>
      <c r="D214" s="15" t="s">
        <v>114</v>
      </c>
      <c r="E214" s="15" t="s">
        <v>192</v>
      </c>
      <c r="F214" s="16">
        <v>204</v>
      </c>
      <c r="G214" s="17">
        <v>17510.169999999998</v>
      </c>
      <c r="H214" s="17">
        <v>9636.0400000000009</v>
      </c>
      <c r="I214" s="17">
        <v>3572074.68</v>
      </c>
      <c r="J214" s="15" t="s">
        <v>22</v>
      </c>
      <c r="K214" s="15" t="s">
        <v>18</v>
      </c>
      <c r="L214" s="9">
        <f>YEAR(E214)</f>
        <v>2022</v>
      </c>
      <c r="M214" s="11">
        <f t="shared" si="5"/>
        <v>1965752.1600000001</v>
      </c>
    </row>
    <row r="215" spans="1:13" ht="20" customHeight="1" x14ac:dyDescent="0.15">
      <c r="A215" s="12"/>
      <c r="B215" s="13" t="s">
        <v>174</v>
      </c>
      <c r="C215" s="14" t="s">
        <v>23</v>
      </c>
      <c r="D215" s="15" t="s">
        <v>139</v>
      </c>
      <c r="E215" s="15" t="s">
        <v>199</v>
      </c>
      <c r="F215" s="16">
        <v>261</v>
      </c>
      <c r="G215" s="17">
        <v>18757.63</v>
      </c>
      <c r="H215" s="17">
        <v>2017.08</v>
      </c>
      <c r="I215" s="17">
        <v>4895741.43</v>
      </c>
      <c r="J215" s="15" t="s">
        <v>17</v>
      </c>
      <c r="K215" s="15" t="s">
        <v>18</v>
      </c>
      <c r="L215" s="9">
        <f>YEAR(E215)</f>
        <v>2022</v>
      </c>
      <c r="M215" s="11">
        <f t="shared" si="5"/>
        <v>526457.88</v>
      </c>
    </row>
    <row r="216" spans="1:13" ht="20" customHeight="1" x14ac:dyDescent="0.15">
      <c r="A216" s="12"/>
      <c r="B216" s="13" t="s">
        <v>174</v>
      </c>
      <c r="C216" s="14" t="s">
        <v>23</v>
      </c>
      <c r="D216" s="15" t="s">
        <v>26</v>
      </c>
      <c r="E216" s="15" t="s">
        <v>202</v>
      </c>
      <c r="F216" s="16">
        <v>323</v>
      </c>
      <c r="G216" s="17">
        <v>41562.660000000003</v>
      </c>
      <c r="H216" s="19">
        <v>7492.8</v>
      </c>
      <c r="I216" s="17">
        <v>13424739.18</v>
      </c>
      <c r="J216" s="15" t="s">
        <v>17</v>
      </c>
      <c r="K216" s="15" t="s">
        <v>18</v>
      </c>
      <c r="L216" s="9">
        <f>YEAR(E216)</f>
        <v>2022</v>
      </c>
      <c r="M216" s="11">
        <f t="shared" si="5"/>
        <v>2420174.4</v>
      </c>
    </row>
    <row r="217" spans="1:13" ht="20" customHeight="1" x14ac:dyDescent="0.15">
      <c r="A217" s="12"/>
      <c r="B217" s="13" t="s">
        <v>174</v>
      </c>
      <c r="C217" s="14" t="s">
        <v>25</v>
      </c>
      <c r="D217" s="15" t="s">
        <v>26</v>
      </c>
      <c r="E217" s="15" t="s">
        <v>204</v>
      </c>
      <c r="F217" s="16">
        <v>516</v>
      </c>
      <c r="G217" s="17">
        <v>35244.870000000003</v>
      </c>
      <c r="H217" s="17">
        <v>6455.99</v>
      </c>
      <c r="I217" s="17">
        <v>18186352.920000002</v>
      </c>
      <c r="J217" s="15" t="s">
        <v>17</v>
      </c>
      <c r="K217" s="15" t="s">
        <v>18</v>
      </c>
      <c r="L217" s="9">
        <f>YEAR(E217)</f>
        <v>2022</v>
      </c>
      <c r="M217" s="11">
        <f t="shared" si="5"/>
        <v>3331290.84</v>
      </c>
    </row>
    <row r="218" spans="1:13" ht="20" customHeight="1" x14ac:dyDescent="0.15">
      <c r="A218" s="12"/>
      <c r="B218" s="13" t="s">
        <v>174</v>
      </c>
      <c r="C218" s="14" t="s">
        <v>19</v>
      </c>
      <c r="D218" s="15" t="s">
        <v>26</v>
      </c>
      <c r="E218" s="15" t="s">
        <v>209</v>
      </c>
      <c r="F218" s="16">
        <v>185</v>
      </c>
      <c r="G218" s="17">
        <v>14847.32</v>
      </c>
      <c r="H218" s="17">
        <v>3544.82</v>
      </c>
      <c r="I218" s="19">
        <v>2746754.2</v>
      </c>
      <c r="J218" s="15" t="s">
        <v>22</v>
      </c>
      <c r="K218" s="15" t="s">
        <v>18</v>
      </c>
      <c r="L218" s="9">
        <f>YEAR(E218)</f>
        <v>2022</v>
      </c>
      <c r="M218" s="11">
        <f t="shared" si="5"/>
        <v>655791.70000000007</v>
      </c>
    </row>
    <row r="219" spans="1:13" ht="20" customHeight="1" x14ac:dyDescent="0.15">
      <c r="A219" s="12"/>
      <c r="B219" s="13" t="s">
        <v>174</v>
      </c>
      <c r="C219" s="14" t="s">
        <v>35</v>
      </c>
      <c r="D219" s="15" t="s">
        <v>26</v>
      </c>
      <c r="E219" s="15" t="s">
        <v>213</v>
      </c>
      <c r="F219" s="16">
        <v>205</v>
      </c>
      <c r="G219" s="17">
        <v>19635.919999999998</v>
      </c>
      <c r="H219" s="17">
        <v>4458.43</v>
      </c>
      <c r="I219" s="19">
        <v>4025363.6</v>
      </c>
      <c r="J219" s="15" t="s">
        <v>22</v>
      </c>
      <c r="K219" s="15" t="s">
        <v>18</v>
      </c>
      <c r="L219" s="9">
        <f>YEAR(E219)</f>
        <v>2022</v>
      </c>
      <c r="M219" s="11">
        <f t="shared" si="5"/>
        <v>913978.15</v>
      </c>
    </row>
    <row r="220" spans="1:13" ht="20" customHeight="1" x14ac:dyDescent="0.15">
      <c r="A220" s="12"/>
      <c r="B220" s="13" t="s">
        <v>174</v>
      </c>
      <c r="C220" s="14" t="s">
        <v>43</v>
      </c>
      <c r="D220" s="15" t="s">
        <v>153</v>
      </c>
      <c r="E220" s="15" t="s">
        <v>213</v>
      </c>
      <c r="F220" s="16">
        <v>370</v>
      </c>
      <c r="G220" s="17">
        <v>11067.38</v>
      </c>
      <c r="H220" s="17">
        <v>3708.85</v>
      </c>
      <c r="I220" s="19">
        <v>4094930.6</v>
      </c>
      <c r="J220" s="15" t="s">
        <v>22</v>
      </c>
      <c r="K220" s="15" t="s">
        <v>18</v>
      </c>
      <c r="L220" s="9">
        <f>YEAR(E220)</f>
        <v>2022</v>
      </c>
      <c r="M220" s="11">
        <f t="shared" si="5"/>
        <v>1372274.5</v>
      </c>
    </row>
    <row r="221" spans="1:13" ht="20" customHeight="1" x14ac:dyDescent="0.15">
      <c r="A221" s="12"/>
      <c r="B221" s="13" t="s">
        <v>174</v>
      </c>
      <c r="C221" s="14" t="s">
        <v>79</v>
      </c>
      <c r="D221" s="15" t="s">
        <v>26</v>
      </c>
      <c r="E221" s="15" t="s">
        <v>215</v>
      </c>
      <c r="F221" s="16">
        <v>438</v>
      </c>
      <c r="G221" s="17">
        <v>22625.33</v>
      </c>
      <c r="H221" s="17">
        <v>6130.91</v>
      </c>
      <c r="I221" s="17">
        <v>9909894.5399999991</v>
      </c>
      <c r="J221" s="15" t="s">
        <v>28</v>
      </c>
      <c r="K221" s="15" t="s">
        <v>18</v>
      </c>
      <c r="L221" s="9">
        <f>YEAR(E221)</f>
        <v>2022</v>
      </c>
      <c r="M221" s="11">
        <f t="shared" si="5"/>
        <v>2685338.58</v>
      </c>
    </row>
    <row r="222" spans="1:13" ht="20" customHeight="1" x14ac:dyDescent="0.15">
      <c r="A222" s="12"/>
      <c r="B222" s="13" t="s">
        <v>174</v>
      </c>
      <c r="C222" s="14" t="s">
        <v>35</v>
      </c>
      <c r="D222" s="15" t="s">
        <v>15</v>
      </c>
      <c r="E222" s="15" t="s">
        <v>219</v>
      </c>
      <c r="F222" s="16">
        <v>500</v>
      </c>
      <c r="G222" s="17">
        <v>48937.95</v>
      </c>
      <c r="H222" s="17">
        <v>2835.78</v>
      </c>
      <c r="I222" s="16">
        <v>24468975</v>
      </c>
      <c r="J222" s="15" t="s">
        <v>17</v>
      </c>
      <c r="K222" s="15" t="s">
        <v>18</v>
      </c>
      <c r="L222" s="9">
        <f>YEAR(E222)</f>
        <v>2022</v>
      </c>
      <c r="M222" s="11">
        <f t="shared" si="5"/>
        <v>1417890</v>
      </c>
    </row>
    <row r="223" spans="1:13" ht="20" customHeight="1" x14ac:dyDescent="0.15">
      <c r="A223" s="12"/>
      <c r="B223" s="13" t="s">
        <v>174</v>
      </c>
      <c r="C223" s="14" t="s">
        <v>79</v>
      </c>
      <c r="D223" s="15" t="s">
        <v>15</v>
      </c>
      <c r="E223" s="15" t="s">
        <v>224</v>
      </c>
      <c r="F223" s="16">
        <v>326</v>
      </c>
      <c r="G223" s="17">
        <v>36801.15</v>
      </c>
      <c r="H223" s="17">
        <v>6544.27</v>
      </c>
      <c r="I223" s="19">
        <v>11997174.9</v>
      </c>
      <c r="J223" s="15" t="s">
        <v>17</v>
      </c>
      <c r="K223" s="15" t="s">
        <v>18</v>
      </c>
      <c r="L223" s="9">
        <f>YEAR(E223)</f>
        <v>2022</v>
      </c>
      <c r="M223" s="11">
        <f t="shared" si="5"/>
        <v>2133432.02</v>
      </c>
    </row>
    <row r="224" spans="1:13" ht="20" customHeight="1" x14ac:dyDescent="0.15">
      <c r="A224" s="12"/>
      <c r="B224" s="13" t="s">
        <v>174</v>
      </c>
      <c r="C224" s="14" t="s">
        <v>23</v>
      </c>
      <c r="D224" s="15" t="s">
        <v>70</v>
      </c>
      <c r="E224" s="15" t="s">
        <v>228</v>
      </c>
      <c r="F224" s="16">
        <v>163</v>
      </c>
      <c r="G224" s="17">
        <v>16244.54</v>
      </c>
      <c r="H224" s="17">
        <v>9874.64</v>
      </c>
      <c r="I224" s="17">
        <v>2647860.02</v>
      </c>
      <c r="J224" s="15" t="s">
        <v>17</v>
      </c>
      <c r="K224" s="15" t="s">
        <v>18</v>
      </c>
      <c r="L224" s="9">
        <f>YEAR(E224)</f>
        <v>2022</v>
      </c>
      <c r="M224" s="11">
        <f t="shared" si="5"/>
        <v>1609566.3199999998</v>
      </c>
    </row>
    <row r="225" spans="1:13" ht="20" customHeight="1" x14ac:dyDescent="0.15">
      <c r="A225" s="12"/>
      <c r="B225" s="13" t="s">
        <v>174</v>
      </c>
      <c r="C225" s="14" t="s">
        <v>31</v>
      </c>
      <c r="D225" s="15" t="s">
        <v>107</v>
      </c>
      <c r="E225" s="15" t="s">
        <v>237</v>
      </c>
      <c r="F225" s="16">
        <v>778</v>
      </c>
      <c r="G225" s="17">
        <v>49985.86</v>
      </c>
      <c r="H225" s="17">
        <v>8415.43</v>
      </c>
      <c r="I225" s="17">
        <v>38888999.079999998</v>
      </c>
      <c r="J225" s="15" t="s">
        <v>28</v>
      </c>
      <c r="K225" s="15" t="s">
        <v>18</v>
      </c>
      <c r="L225" s="9">
        <f>YEAR(E225)</f>
        <v>2022</v>
      </c>
      <c r="M225" s="11">
        <f t="shared" si="5"/>
        <v>6547204.54</v>
      </c>
    </row>
    <row r="226" spans="1:13" ht="20" customHeight="1" x14ac:dyDescent="0.15">
      <c r="A226" s="12"/>
      <c r="B226" s="13" t="s">
        <v>174</v>
      </c>
      <c r="C226" s="14" t="s">
        <v>43</v>
      </c>
      <c r="D226" s="15" t="s">
        <v>153</v>
      </c>
      <c r="E226" s="15" t="s">
        <v>238</v>
      </c>
      <c r="F226" s="16">
        <v>150</v>
      </c>
      <c r="G226" s="17">
        <v>23193.26</v>
      </c>
      <c r="H226" s="17">
        <v>4943.25</v>
      </c>
      <c r="I226" s="16">
        <v>3478989</v>
      </c>
      <c r="J226" s="15" t="s">
        <v>28</v>
      </c>
      <c r="K226" s="15" t="s">
        <v>18</v>
      </c>
      <c r="L226" s="9">
        <f>YEAR(E226)</f>
        <v>2022</v>
      </c>
      <c r="M226" s="11">
        <f t="shared" si="5"/>
        <v>741487.5</v>
      </c>
    </row>
    <row r="227" spans="1:13" ht="20" customHeight="1" x14ac:dyDescent="0.15">
      <c r="A227" s="12"/>
      <c r="B227" s="13" t="s">
        <v>174</v>
      </c>
      <c r="C227" s="14" t="s">
        <v>38</v>
      </c>
      <c r="D227" s="15" t="s">
        <v>153</v>
      </c>
      <c r="E227" s="15" t="s">
        <v>240</v>
      </c>
      <c r="F227" s="16">
        <v>795</v>
      </c>
      <c r="G227" s="17">
        <v>11706.54</v>
      </c>
      <c r="H227" s="17">
        <v>3838.45</v>
      </c>
      <c r="I227" s="19">
        <v>9306699.3000000007</v>
      </c>
      <c r="J227" s="15" t="s">
        <v>17</v>
      </c>
      <c r="K227" s="15" t="s">
        <v>18</v>
      </c>
      <c r="L227" s="9">
        <f>YEAR(E227)</f>
        <v>2022</v>
      </c>
      <c r="M227" s="11">
        <f t="shared" si="5"/>
        <v>3051567.75</v>
      </c>
    </row>
    <row r="228" spans="1:13" ht="20" customHeight="1" x14ac:dyDescent="0.15">
      <c r="A228" s="12"/>
      <c r="B228" s="13" t="s">
        <v>174</v>
      </c>
      <c r="C228" s="14" t="s">
        <v>79</v>
      </c>
      <c r="D228" s="15" t="s">
        <v>68</v>
      </c>
      <c r="E228" s="15" t="s">
        <v>248</v>
      </c>
      <c r="F228" s="16">
        <v>259</v>
      </c>
      <c r="G228" s="17">
        <v>12895.17</v>
      </c>
      <c r="H228" s="17">
        <v>8669.42</v>
      </c>
      <c r="I228" s="17">
        <v>3339849.03</v>
      </c>
      <c r="J228" s="15" t="s">
        <v>22</v>
      </c>
      <c r="K228" s="15" t="s">
        <v>18</v>
      </c>
      <c r="L228" s="9">
        <f>YEAR(E228)</f>
        <v>2022</v>
      </c>
      <c r="M228" s="11">
        <f t="shared" si="5"/>
        <v>2245379.7799999998</v>
      </c>
    </row>
    <row r="229" spans="1:13" ht="20" customHeight="1" x14ac:dyDescent="0.15">
      <c r="A229" s="12"/>
      <c r="B229" s="13" t="s">
        <v>174</v>
      </c>
      <c r="C229" s="14" t="s">
        <v>35</v>
      </c>
      <c r="D229" s="15" t="s">
        <v>68</v>
      </c>
      <c r="E229" s="15" t="s">
        <v>249</v>
      </c>
      <c r="F229" s="16">
        <v>269</v>
      </c>
      <c r="G229" s="17">
        <v>28501.42</v>
      </c>
      <c r="H229" s="17">
        <v>4486.79</v>
      </c>
      <c r="I229" s="17">
        <v>7666881.9800000004</v>
      </c>
      <c r="J229" s="15" t="s">
        <v>17</v>
      </c>
      <c r="K229" s="15" t="s">
        <v>18</v>
      </c>
      <c r="L229" s="9">
        <f>YEAR(E229)</f>
        <v>2022</v>
      </c>
      <c r="M229" s="11">
        <f t="shared" si="5"/>
        <v>1206946.51</v>
      </c>
    </row>
    <row r="230" spans="1:13" ht="20" customHeight="1" x14ac:dyDescent="0.15">
      <c r="A230" s="12"/>
      <c r="B230" s="13" t="s">
        <v>174</v>
      </c>
      <c r="C230" s="14" t="s">
        <v>57</v>
      </c>
      <c r="D230" s="15" t="s">
        <v>68</v>
      </c>
      <c r="E230" s="15" t="s">
        <v>251</v>
      </c>
      <c r="F230" s="16">
        <v>738</v>
      </c>
      <c r="G230" s="17">
        <v>39223.54</v>
      </c>
      <c r="H230" s="17">
        <v>9221.4500000000007</v>
      </c>
      <c r="I230" s="17">
        <v>28946972.52</v>
      </c>
      <c r="J230" s="15" t="s">
        <v>28</v>
      </c>
      <c r="K230" s="15" t="s">
        <v>18</v>
      </c>
      <c r="L230" s="9">
        <f>YEAR(E230)</f>
        <v>2022</v>
      </c>
      <c r="M230" s="11">
        <f t="shared" si="5"/>
        <v>6805430.1000000006</v>
      </c>
    </row>
    <row r="231" spans="1:13" ht="20" customHeight="1" x14ac:dyDescent="0.15">
      <c r="A231" s="12"/>
      <c r="B231" s="13" t="s">
        <v>174</v>
      </c>
      <c r="C231" s="14" t="s">
        <v>38</v>
      </c>
      <c r="D231" s="15" t="s">
        <v>68</v>
      </c>
      <c r="E231" s="15" t="s">
        <v>253</v>
      </c>
      <c r="F231" s="16">
        <v>786</v>
      </c>
      <c r="G231" s="17">
        <v>16810.37</v>
      </c>
      <c r="H231" s="17">
        <v>2778.06</v>
      </c>
      <c r="I231" s="17">
        <v>13212950.82</v>
      </c>
      <c r="J231" s="15" t="s">
        <v>30</v>
      </c>
      <c r="K231" s="15" t="s">
        <v>18</v>
      </c>
      <c r="L231" s="9">
        <f>YEAR(E231)</f>
        <v>2022</v>
      </c>
      <c r="M231" s="11">
        <f t="shared" si="5"/>
        <v>2183555.16</v>
      </c>
    </row>
    <row r="232" spans="1:13" ht="20" customHeight="1" x14ac:dyDescent="0.15">
      <c r="A232" s="12"/>
      <c r="B232" s="13" t="s">
        <v>174</v>
      </c>
      <c r="C232" s="14" t="s">
        <v>19</v>
      </c>
      <c r="D232" s="15" t="s">
        <v>53</v>
      </c>
      <c r="E232" s="15" t="s">
        <v>265</v>
      </c>
      <c r="F232" s="16">
        <v>301</v>
      </c>
      <c r="G232" s="19">
        <v>49306.9</v>
      </c>
      <c r="H232" s="17">
        <v>7022.61</v>
      </c>
      <c r="I232" s="19">
        <v>14841376.9</v>
      </c>
      <c r="J232" s="15" t="s">
        <v>17</v>
      </c>
      <c r="K232" s="15" t="s">
        <v>18</v>
      </c>
      <c r="L232" s="9">
        <f>YEAR(E232)</f>
        <v>2022</v>
      </c>
      <c r="M232" s="11">
        <f t="shared" si="5"/>
        <v>2113805.61</v>
      </c>
    </row>
    <row r="233" spans="1:13" ht="20" customHeight="1" x14ac:dyDescent="0.15">
      <c r="A233" s="12"/>
      <c r="B233" s="13" t="s">
        <v>174</v>
      </c>
      <c r="C233" s="14" t="s">
        <v>57</v>
      </c>
      <c r="D233" s="15" t="s">
        <v>53</v>
      </c>
      <c r="E233" s="15" t="s">
        <v>266</v>
      </c>
      <c r="F233" s="16">
        <v>926</v>
      </c>
      <c r="G233" s="17">
        <v>41066.230000000003</v>
      </c>
      <c r="H233" s="17">
        <v>7386.88</v>
      </c>
      <c r="I233" s="17">
        <v>38027328.979999997</v>
      </c>
      <c r="J233" s="15" t="s">
        <v>30</v>
      </c>
      <c r="K233" s="15" t="s">
        <v>18</v>
      </c>
      <c r="L233" s="9">
        <f>YEAR(E233)</f>
        <v>2022</v>
      </c>
      <c r="M233" s="11">
        <f t="shared" si="5"/>
        <v>6840250.8799999999</v>
      </c>
    </row>
    <row r="234" spans="1:13" ht="20" customHeight="1" x14ac:dyDescent="0.15">
      <c r="A234" s="12"/>
      <c r="B234" s="13" t="s">
        <v>174</v>
      </c>
      <c r="C234" s="14" t="s">
        <v>23</v>
      </c>
      <c r="D234" s="15" t="s">
        <v>89</v>
      </c>
      <c r="E234" s="15" t="s">
        <v>271</v>
      </c>
      <c r="F234" s="16">
        <v>554</v>
      </c>
      <c r="G234" s="17">
        <v>12910.73</v>
      </c>
      <c r="H234" s="17">
        <v>6115.26</v>
      </c>
      <c r="I234" s="17">
        <v>7152544.4199999999</v>
      </c>
      <c r="J234" s="15" t="s">
        <v>17</v>
      </c>
      <c r="K234" s="15" t="s">
        <v>18</v>
      </c>
      <c r="L234" s="9">
        <f>YEAR(E234)</f>
        <v>2022</v>
      </c>
      <c r="M234" s="11">
        <f t="shared" si="5"/>
        <v>3387854.04</v>
      </c>
    </row>
    <row r="235" spans="1:13" ht="20" customHeight="1" x14ac:dyDescent="0.15">
      <c r="A235" s="12"/>
      <c r="B235" s="13" t="s">
        <v>174</v>
      </c>
      <c r="C235" s="14" t="s">
        <v>25</v>
      </c>
      <c r="D235" s="15" t="s">
        <v>89</v>
      </c>
      <c r="E235" s="15" t="s">
        <v>100</v>
      </c>
      <c r="F235" s="16">
        <v>780</v>
      </c>
      <c r="G235" s="17">
        <v>22739.59</v>
      </c>
      <c r="H235" s="17">
        <v>2869.67</v>
      </c>
      <c r="I235" s="19">
        <v>17736880.199999999</v>
      </c>
      <c r="J235" s="15" t="s">
        <v>17</v>
      </c>
      <c r="K235" s="15" t="s">
        <v>18</v>
      </c>
      <c r="L235" s="9">
        <f>YEAR(E235)</f>
        <v>2022</v>
      </c>
      <c r="M235" s="11">
        <f t="shared" si="5"/>
        <v>2238342.6</v>
      </c>
    </row>
    <row r="236" spans="1:13" ht="20" customHeight="1" x14ac:dyDescent="0.15">
      <c r="A236" s="12"/>
      <c r="B236" s="13" t="s">
        <v>174</v>
      </c>
      <c r="C236" s="14" t="s">
        <v>23</v>
      </c>
      <c r="D236" s="15" t="s">
        <v>89</v>
      </c>
      <c r="E236" s="15" t="s">
        <v>276</v>
      </c>
      <c r="F236" s="16">
        <v>512</v>
      </c>
      <c r="G236" s="17">
        <v>27999.61</v>
      </c>
      <c r="H236" s="19">
        <v>8423.7999999999993</v>
      </c>
      <c r="I236" s="17">
        <v>14335800.32</v>
      </c>
      <c r="J236" s="15" t="s">
        <v>17</v>
      </c>
      <c r="K236" s="15" t="s">
        <v>18</v>
      </c>
      <c r="L236" s="9">
        <v>2022</v>
      </c>
      <c r="M236" s="11">
        <f t="shared" si="5"/>
        <v>4312985.5999999996</v>
      </c>
    </row>
    <row r="237" spans="1:13" ht="20" customHeight="1" x14ac:dyDescent="0.15">
      <c r="A237" s="12"/>
      <c r="B237" s="13" t="s">
        <v>174</v>
      </c>
      <c r="C237" s="14" t="s">
        <v>14</v>
      </c>
      <c r="D237" s="15" t="s">
        <v>114</v>
      </c>
      <c r="E237" s="15" t="s">
        <v>59</v>
      </c>
      <c r="F237" s="16">
        <v>769</v>
      </c>
      <c r="G237" s="17">
        <v>32821.57</v>
      </c>
      <c r="H237" s="17">
        <v>8150.57</v>
      </c>
      <c r="I237" s="17">
        <v>25239787.329999998</v>
      </c>
      <c r="J237" s="15" t="s">
        <v>17</v>
      </c>
      <c r="K237" s="15" t="s">
        <v>18</v>
      </c>
      <c r="L237" s="9">
        <f>YEAR(E237)</f>
        <v>2023</v>
      </c>
      <c r="M237" s="11">
        <f t="shared" si="5"/>
        <v>6267788.3300000001</v>
      </c>
    </row>
    <row r="238" spans="1:13" ht="20" customHeight="1" x14ac:dyDescent="0.15">
      <c r="A238" s="12"/>
      <c r="B238" s="13" t="s">
        <v>174</v>
      </c>
      <c r="C238" s="14" t="s">
        <v>31</v>
      </c>
      <c r="D238" s="15" t="s">
        <v>114</v>
      </c>
      <c r="E238" s="15" t="s">
        <v>185</v>
      </c>
      <c r="F238" s="16">
        <v>553</v>
      </c>
      <c r="G238" s="17">
        <v>25956.06</v>
      </c>
      <c r="H238" s="17">
        <v>4281.7700000000004</v>
      </c>
      <c r="I238" s="17">
        <v>14353701.18</v>
      </c>
      <c r="J238" s="15" t="s">
        <v>17</v>
      </c>
      <c r="K238" s="15" t="s">
        <v>18</v>
      </c>
      <c r="L238" s="9">
        <f>YEAR(E238)</f>
        <v>2023</v>
      </c>
      <c r="M238" s="11">
        <f t="shared" si="5"/>
        <v>2367818.81</v>
      </c>
    </row>
    <row r="239" spans="1:13" ht="20" customHeight="1" x14ac:dyDescent="0.15">
      <c r="A239" s="12"/>
      <c r="B239" s="13" t="s">
        <v>174</v>
      </c>
      <c r="C239" s="14" t="s">
        <v>43</v>
      </c>
      <c r="D239" s="15" t="s">
        <v>107</v>
      </c>
      <c r="E239" s="15" t="s">
        <v>185</v>
      </c>
      <c r="F239" s="16">
        <v>115</v>
      </c>
      <c r="G239" s="19">
        <v>45869.9</v>
      </c>
      <c r="H239" s="17">
        <v>7995.95</v>
      </c>
      <c r="I239" s="19">
        <v>5275038.5</v>
      </c>
      <c r="J239" s="15" t="s">
        <v>17</v>
      </c>
      <c r="K239" s="15" t="s">
        <v>18</v>
      </c>
      <c r="L239" s="9">
        <f>YEAR(E239)</f>
        <v>2023</v>
      </c>
      <c r="M239" s="11">
        <f t="shared" si="5"/>
        <v>919534.25</v>
      </c>
    </row>
    <row r="240" spans="1:13" ht="20" customHeight="1" x14ac:dyDescent="0.15">
      <c r="A240" s="12"/>
      <c r="B240" s="13" t="s">
        <v>174</v>
      </c>
      <c r="C240" s="14" t="s">
        <v>35</v>
      </c>
      <c r="D240" s="15" t="s">
        <v>114</v>
      </c>
      <c r="E240" s="15" t="s">
        <v>191</v>
      </c>
      <c r="F240" s="16">
        <v>672</v>
      </c>
      <c r="G240" s="17">
        <v>10006.540000000001</v>
      </c>
      <c r="H240" s="17">
        <v>8641.69</v>
      </c>
      <c r="I240" s="17">
        <v>6724394.8799999999</v>
      </c>
      <c r="J240" s="15" t="s">
        <v>22</v>
      </c>
      <c r="K240" s="15" t="s">
        <v>18</v>
      </c>
      <c r="L240" s="9">
        <f>YEAR(E240)</f>
        <v>2023</v>
      </c>
      <c r="M240" s="11">
        <f t="shared" si="5"/>
        <v>5807215.6800000006</v>
      </c>
    </row>
    <row r="241" spans="1:13" ht="20" customHeight="1" x14ac:dyDescent="0.15">
      <c r="A241" s="12"/>
      <c r="B241" s="13" t="s">
        <v>174</v>
      </c>
      <c r="C241" s="14" t="s">
        <v>38</v>
      </c>
      <c r="D241" s="15" t="s">
        <v>139</v>
      </c>
      <c r="E241" s="15" t="s">
        <v>193</v>
      </c>
      <c r="F241" s="16">
        <v>991</v>
      </c>
      <c r="G241" s="17">
        <v>31527.16</v>
      </c>
      <c r="H241" s="17">
        <v>3766.01</v>
      </c>
      <c r="I241" s="17">
        <v>31243415.559999999</v>
      </c>
      <c r="J241" s="15" t="s">
        <v>30</v>
      </c>
      <c r="K241" s="15" t="s">
        <v>18</v>
      </c>
      <c r="L241" s="9">
        <f>YEAR(E241)</f>
        <v>2023</v>
      </c>
      <c r="M241" s="11">
        <f t="shared" si="5"/>
        <v>3732115.91</v>
      </c>
    </row>
    <row r="242" spans="1:13" ht="20" customHeight="1" x14ac:dyDescent="0.15">
      <c r="A242" s="12"/>
      <c r="B242" s="13" t="s">
        <v>174</v>
      </c>
      <c r="C242" s="14" t="s">
        <v>43</v>
      </c>
      <c r="D242" s="15" t="s">
        <v>139</v>
      </c>
      <c r="E242" s="15" t="s">
        <v>193</v>
      </c>
      <c r="F242" s="16">
        <v>949</v>
      </c>
      <c r="G242" s="17">
        <v>20213.71</v>
      </c>
      <c r="H242" s="17">
        <v>6290.74</v>
      </c>
      <c r="I242" s="17">
        <v>19182810.789999999</v>
      </c>
      <c r="J242" s="15" t="s">
        <v>17</v>
      </c>
      <c r="K242" s="15" t="s">
        <v>18</v>
      </c>
      <c r="L242" s="9">
        <f>YEAR(E242)</f>
        <v>2023</v>
      </c>
      <c r="M242" s="11">
        <f t="shared" si="5"/>
        <v>5969912.2599999998</v>
      </c>
    </row>
    <row r="243" spans="1:13" ht="20" customHeight="1" x14ac:dyDescent="0.15">
      <c r="A243" s="12"/>
      <c r="B243" s="13" t="s">
        <v>174</v>
      </c>
      <c r="C243" s="14" t="s">
        <v>19</v>
      </c>
      <c r="D243" s="15" t="s">
        <v>139</v>
      </c>
      <c r="E243" s="15" t="s">
        <v>195</v>
      </c>
      <c r="F243" s="16">
        <v>634</v>
      </c>
      <c r="G243" s="17">
        <v>24679.19</v>
      </c>
      <c r="H243" s="17">
        <v>3215.36</v>
      </c>
      <c r="I243" s="17">
        <v>15646606.460000001</v>
      </c>
      <c r="J243" s="15" t="s">
        <v>17</v>
      </c>
      <c r="K243" s="15" t="s">
        <v>18</v>
      </c>
      <c r="L243" s="9">
        <f>YEAR(E243)</f>
        <v>2023</v>
      </c>
      <c r="M243" s="11">
        <f t="shared" si="5"/>
        <v>2038538.24</v>
      </c>
    </row>
    <row r="244" spans="1:13" ht="20" customHeight="1" x14ac:dyDescent="0.15">
      <c r="A244" s="12"/>
      <c r="B244" s="13" t="s">
        <v>174</v>
      </c>
      <c r="C244" s="14" t="s">
        <v>79</v>
      </c>
      <c r="D244" s="15" t="s">
        <v>139</v>
      </c>
      <c r="E244" s="15" t="s">
        <v>197</v>
      </c>
      <c r="F244" s="16">
        <v>627</v>
      </c>
      <c r="G244" s="17">
        <v>49380.09</v>
      </c>
      <c r="H244" s="17">
        <v>3564.84</v>
      </c>
      <c r="I244" s="17">
        <v>30961316.43</v>
      </c>
      <c r="J244" s="15" t="s">
        <v>17</v>
      </c>
      <c r="K244" s="15" t="s">
        <v>18</v>
      </c>
      <c r="L244" s="9">
        <f>YEAR(E244)</f>
        <v>2023</v>
      </c>
      <c r="M244" s="11">
        <f t="shared" si="5"/>
        <v>2235154.6800000002</v>
      </c>
    </row>
    <row r="245" spans="1:13" ht="20" customHeight="1" x14ac:dyDescent="0.15">
      <c r="A245" s="12"/>
      <c r="B245" s="13" t="s">
        <v>174</v>
      </c>
      <c r="C245" s="14" t="s">
        <v>25</v>
      </c>
      <c r="D245" s="15" t="s">
        <v>26</v>
      </c>
      <c r="E245" s="15" t="s">
        <v>200</v>
      </c>
      <c r="F245" s="16">
        <v>823</v>
      </c>
      <c r="G245" s="17">
        <v>14356.92</v>
      </c>
      <c r="H245" s="19">
        <v>7452.1</v>
      </c>
      <c r="I245" s="17">
        <v>11815745.16</v>
      </c>
      <c r="J245" s="15" t="s">
        <v>17</v>
      </c>
      <c r="K245" s="15" t="s">
        <v>18</v>
      </c>
      <c r="L245" s="9">
        <f>YEAR(E245)</f>
        <v>2023</v>
      </c>
      <c r="M245" s="11">
        <f t="shared" si="5"/>
        <v>6133078.3000000007</v>
      </c>
    </row>
    <row r="246" spans="1:13" ht="20" customHeight="1" x14ac:dyDescent="0.15">
      <c r="A246" s="12"/>
      <c r="B246" s="13" t="s">
        <v>174</v>
      </c>
      <c r="C246" s="14" t="s">
        <v>57</v>
      </c>
      <c r="D246" s="15" t="s">
        <v>26</v>
      </c>
      <c r="E246" s="15" t="s">
        <v>201</v>
      </c>
      <c r="F246" s="16">
        <v>920</v>
      </c>
      <c r="G246" s="17">
        <v>44165.77</v>
      </c>
      <c r="H246" s="17">
        <v>4422.3500000000004</v>
      </c>
      <c r="I246" s="19">
        <v>40632508.399999999</v>
      </c>
      <c r="J246" s="15" t="s">
        <v>17</v>
      </c>
      <c r="K246" s="15" t="s">
        <v>18</v>
      </c>
      <c r="L246" s="9">
        <f>YEAR(E246)</f>
        <v>2023</v>
      </c>
      <c r="M246" s="11">
        <f t="shared" si="5"/>
        <v>4068562.0000000005</v>
      </c>
    </row>
    <row r="247" spans="1:13" ht="20" customHeight="1" x14ac:dyDescent="0.15">
      <c r="A247" s="12"/>
      <c r="B247" s="13" t="s">
        <v>174</v>
      </c>
      <c r="C247" s="14" t="s">
        <v>25</v>
      </c>
      <c r="D247" s="15" t="s">
        <v>26</v>
      </c>
      <c r="E247" s="15" t="s">
        <v>206</v>
      </c>
      <c r="F247" s="16">
        <v>398</v>
      </c>
      <c r="G247" s="17">
        <v>14862.53</v>
      </c>
      <c r="H247" s="17">
        <v>2323.59</v>
      </c>
      <c r="I247" s="17">
        <v>5915286.9400000004</v>
      </c>
      <c r="J247" s="15" t="s">
        <v>17</v>
      </c>
      <c r="K247" s="15" t="s">
        <v>18</v>
      </c>
      <c r="L247" s="9">
        <f>YEAR(E247)</f>
        <v>2023</v>
      </c>
      <c r="M247" s="11">
        <f t="shared" si="5"/>
        <v>924788.82000000007</v>
      </c>
    </row>
    <row r="248" spans="1:13" ht="20" customHeight="1" x14ac:dyDescent="0.15">
      <c r="A248" s="12"/>
      <c r="B248" s="13" t="s">
        <v>174</v>
      </c>
      <c r="C248" s="14" t="s">
        <v>14</v>
      </c>
      <c r="D248" s="15" t="s">
        <v>26</v>
      </c>
      <c r="E248" s="15" t="s">
        <v>211</v>
      </c>
      <c r="F248" s="16">
        <v>841</v>
      </c>
      <c r="G248" s="17">
        <v>43215.55</v>
      </c>
      <c r="H248" s="17">
        <v>9448.5499999999993</v>
      </c>
      <c r="I248" s="17">
        <v>36344277.549999997</v>
      </c>
      <c r="J248" s="15" t="s">
        <v>17</v>
      </c>
      <c r="K248" s="15" t="s">
        <v>18</v>
      </c>
      <c r="L248" s="9">
        <f>YEAR(E248)</f>
        <v>2023</v>
      </c>
      <c r="M248" s="11">
        <f t="shared" si="5"/>
        <v>7946230.5499999998</v>
      </c>
    </row>
    <row r="249" spans="1:13" ht="20" customHeight="1" x14ac:dyDescent="0.15">
      <c r="A249" s="12"/>
      <c r="B249" s="13" t="s">
        <v>174</v>
      </c>
      <c r="C249" s="14" t="s">
        <v>79</v>
      </c>
      <c r="D249" s="15" t="s">
        <v>26</v>
      </c>
      <c r="E249" s="15" t="s">
        <v>216</v>
      </c>
      <c r="F249" s="16">
        <v>205</v>
      </c>
      <c r="G249" s="17">
        <v>26036.36</v>
      </c>
      <c r="H249" s="17">
        <v>8100.15</v>
      </c>
      <c r="I249" s="19">
        <v>5337453.8</v>
      </c>
      <c r="J249" s="15" t="s">
        <v>30</v>
      </c>
      <c r="K249" s="15" t="s">
        <v>18</v>
      </c>
      <c r="L249" s="9">
        <f>YEAR(E249)</f>
        <v>2023</v>
      </c>
      <c r="M249" s="11">
        <f t="shared" si="5"/>
        <v>1660530.75</v>
      </c>
    </row>
    <row r="250" spans="1:13" ht="20" customHeight="1" x14ac:dyDescent="0.15">
      <c r="A250" s="12"/>
      <c r="B250" s="13" t="s">
        <v>174</v>
      </c>
      <c r="C250" s="14" t="s">
        <v>31</v>
      </c>
      <c r="D250" s="15" t="s">
        <v>15</v>
      </c>
      <c r="E250" s="15" t="s">
        <v>220</v>
      </c>
      <c r="F250" s="16">
        <v>684</v>
      </c>
      <c r="G250" s="17">
        <v>19040.759999999998</v>
      </c>
      <c r="H250" s="17">
        <v>4601.97</v>
      </c>
      <c r="I250" s="17">
        <v>13023879.84</v>
      </c>
      <c r="J250" s="15" t="s">
        <v>28</v>
      </c>
      <c r="K250" s="15" t="s">
        <v>18</v>
      </c>
      <c r="L250" s="9">
        <f>YEAR(E250)</f>
        <v>2023</v>
      </c>
      <c r="M250" s="11">
        <f t="shared" si="5"/>
        <v>3147747.48</v>
      </c>
    </row>
    <row r="251" spans="1:13" ht="20" customHeight="1" x14ac:dyDescent="0.15">
      <c r="A251" s="12"/>
      <c r="B251" s="13" t="s">
        <v>174</v>
      </c>
      <c r="C251" s="14" t="s">
        <v>23</v>
      </c>
      <c r="D251" s="15" t="s">
        <v>15</v>
      </c>
      <c r="E251" s="15" t="s">
        <v>221</v>
      </c>
      <c r="F251" s="16">
        <v>314</v>
      </c>
      <c r="G251" s="17">
        <v>33005.79</v>
      </c>
      <c r="H251" s="17">
        <v>7392.48</v>
      </c>
      <c r="I251" s="17">
        <v>10363818.060000001</v>
      </c>
      <c r="J251" s="15" t="s">
        <v>28</v>
      </c>
      <c r="K251" s="15" t="s">
        <v>18</v>
      </c>
      <c r="L251" s="9">
        <f>YEAR(E251)</f>
        <v>2023</v>
      </c>
      <c r="M251" s="11">
        <f t="shared" si="5"/>
        <v>2321238.7199999997</v>
      </c>
    </row>
    <row r="252" spans="1:13" ht="20" customHeight="1" x14ac:dyDescent="0.15">
      <c r="A252" s="12"/>
      <c r="B252" s="13" t="s">
        <v>174</v>
      </c>
      <c r="C252" s="14" t="s">
        <v>14</v>
      </c>
      <c r="D252" s="15" t="s">
        <v>15</v>
      </c>
      <c r="E252" s="15" t="s">
        <v>223</v>
      </c>
      <c r="F252" s="16">
        <v>415</v>
      </c>
      <c r="G252" s="17">
        <v>43916.15</v>
      </c>
      <c r="H252" s="17">
        <v>2860.69</v>
      </c>
      <c r="I252" s="17">
        <v>18225202.25</v>
      </c>
      <c r="J252" s="15" t="s">
        <v>17</v>
      </c>
      <c r="K252" s="15" t="s">
        <v>18</v>
      </c>
      <c r="L252" s="9">
        <f>YEAR(E252)</f>
        <v>2023</v>
      </c>
      <c r="M252" s="11">
        <f t="shared" si="5"/>
        <v>1187186.3500000001</v>
      </c>
    </row>
    <row r="253" spans="1:13" ht="20" customHeight="1" x14ac:dyDescent="0.15">
      <c r="A253" s="12"/>
      <c r="B253" s="13" t="s">
        <v>174</v>
      </c>
      <c r="C253" s="14" t="s">
        <v>43</v>
      </c>
      <c r="D253" s="15" t="s">
        <v>70</v>
      </c>
      <c r="E253" s="15" t="s">
        <v>226</v>
      </c>
      <c r="F253" s="16">
        <v>540</v>
      </c>
      <c r="G253" s="17">
        <v>40199.839999999997</v>
      </c>
      <c r="H253" s="19">
        <v>9026.4</v>
      </c>
      <c r="I253" s="19">
        <v>21707913.600000001</v>
      </c>
      <c r="J253" s="15" t="s">
        <v>17</v>
      </c>
      <c r="K253" s="15" t="s">
        <v>18</v>
      </c>
      <c r="L253" s="9">
        <f>YEAR(E253)</f>
        <v>2023</v>
      </c>
      <c r="M253" s="11">
        <f t="shared" si="5"/>
        <v>4874256</v>
      </c>
    </row>
    <row r="254" spans="1:13" ht="20" customHeight="1" x14ac:dyDescent="0.15">
      <c r="A254" s="12"/>
      <c r="B254" s="13" t="s">
        <v>174</v>
      </c>
      <c r="C254" s="14" t="s">
        <v>35</v>
      </c>
      <c r="D254" s="15" t="s">
        <v>107</v>
      </c>
      <c r="E254" s="15" t="s">
        <v>232</v>
      </c>
      <c r="F254" s="16">
        <v>118</v>
      </c>
      <c r="G254" s="17">
        <v>48123.38</v>
      </c>
      <c r="H254" s="17">
        <v>4260.18</v>
      </c>
      <c r="I254" s="17">
        <v>5678558.8399999999</v>
      </c>
      <c r="J254" s="15" t="s">
        <v>17</v>
      </c>
      <c r="K254" s="15" t="s">
        <v>18</v>
      </c>
      <c r="L254" s="9">
        <f>YEAR(E254)</f>
        <v>2023</v>
      </c>
      <c r="M254" s="11">
        <f t="shared" si="5"/>
        <v>502701.24000000005</v>
      </c>
    </row>
    <row r="255" spans="1:13" ht="20" customHeight="1" x14ac:dyDescent="0.15">
      <c r="A255" s="12"/>
      <c r="B255" s="13" t="s">
        <v>174</v>
      </c>
      <c r="C255" s="14" t="s">
        <v>23</v>
      </c>
      <c r="D255" s="15" t="s">
        <v>107</v>
      </c>
      <c r="E255" s="15" t="s">
        <v>233</v>
      </c>
      <c r="F255" s="16">
        <v>635</v>
      </c>
      <c r="G255" s="17">
        <v>46224.92</v>
      </c>
      <c r="H255" s="17">
        <v>4473.09</v>
      </c>
      <c r="I255" s="19">
        <v>29352824.199999999</v>
      </c>
      <c r="J255" s="15" t="s">
        <v>17</v>
      </c>
      <c r="K255" s="15" t="s">
        <v>18</v>
      </c>
      <c r="L255" s="9">
        <f>YEAR(E255)</f>
        <v>2023</v>
      </c>
      <c r="M255" s="11">
        <f t="shared" si="5"/>
        <v>2840412.15</v>
      </c>
    </row>
    <row r="256" spans="1:13" ht="20" customHeight="1" x14ac:dyDescent="0.15">
      <c r="A256" s="12"/>
      <c r="B256" s="13" t="s">
        <v>174</v>
      </c>
      <c r="C256" s="14" t="s">
        <v>57</v>
      </c>
      <c r="D256" s="15" t="s">
        <v>107</v>
      </c>
      <c r="E256" s="15" t="s">
        <v>235</v>
      </c>
      <c r="F256" s="16">
        <v>401</v>
      </c>
      <c r="G256" s="17">
        <v>29722.65</v>
      </c>
      <c r="H256" s="17">
        <v>9701.73</v>
      </c>
      <c r="I256" s="17">
        <v>11918782.65</v>
      </c>
      <c r="J256" s="15" t="s">
        <v>17</v>
      </c>
      <c r="K256" s="15" t="s">
        <v>18</v>
      </c>
      <c r="L256" s="9">
        <f>YEAR(E256)</f>
        <v>2023</v>
      </c>
      <c r="M256" s="11">
        <f t="shared" si="5"/>
        <v>3890393.73</v>
      </c>
    </row>
    <row r="257" spans="1:13" ht="20" customHeight="1" x14ac:dyDescent="0.15">
      <c r="A257" s="12"/>
      <c r="B257" s="13" t="s">
        <v>174</v>
      </c>
      <c r="C257" s="14" t="s">
        <v>35</v>
      </c>
      <c r="D257" s="15" t="s">
        <v>153</v>
      </c>
      <c r="E257" s="15" t="s">
        <v>239</v>
      </c>
      <c r="F257" s="16">
        <v>939</v>
      </c>
      <c r="G257" s="17">
        <v>47201.02</v>
      </c>
      <c r="H257" s="17">
        <v>6623.62</v>
      </c>
      <c r="I257" s="17">
        <v>44321757.780000001</v>
      </c>
      <c r="J257" s="15" t="s">
        <v>17</v>
      </c>
      <c r="K257" s="15" t="s">
        <v>18</v>
      </c>
      <c r="L257" s="9">
        <f>YEAR(E257)</f>
        <v>2023</v>
      </c>
      <c r="M257" s="11">
        <f t="shared" si="5"/>
        <v>6219579.1799999997</v>
      </c>
    </row>
    <row r="258" spans="1:13" ht="20" customHeight="1" x14ac:dyDescent="0.15">
      <c r="A258" s="12"/>
      <c r="B258" s="13" t="s">
        <v>174</v>
      </c>
      <c r="C258" s="14" t="s">
        <v>35</v>
      </c>
      <c r="D258" s="15" t="s">
        <v>153</v>
      </c>
      <c r="E258" s="15" t="s">
        <v>245</v>
      </c>
      <c r="F258" s="16">
        <v>341</v>
      </c>
      <c r="G258" s="17">
        <v>49196.09</v>
      </c>
      <c r="H258" s="17">
        <v>2640.45</v>
      </c>
      <c r="I258" s="17">
        <v>16775866.689999999</v>
      </c>
      <c r="J258" s="15" t="s">
        <v>17</v>
      </c>
      <c r="K258" s="15" t="s">
        <v>18</v>
      </c>
      <c r="L258" s="9">
        <f>YEAR(E258)</f>
        <v>2023</v>
      </c>
      <c r="M258" s="11">
        <f t="shared" si="5"/>
        <v>900393.45</v>
      </c>
    </row>
    <row r="259" spans="1:13" ht="20" customHeight="1" x14ac:dyDescent="0.15">
      <c r="A259" s="12"/>
      <c r="B259" s="13" t="s">
        <v>174</v>
      </c>
      <c r="C259" s="14" t="s">
        <v>14</v>
      </c>
      <c r="D259" s="15" t="s">
        <v>153</v>
      </c>
      <c r="E259" s="15" t="s">
        <v>247</v>
      </c>
      <c r="F259" s="16">
        <v>681</v>
      </c>
      <c r="G259" s="17">
        <v>26580.76</v>
      </c>
      <c r="H259" s="17">
        <v>8722.94</v>
      </c>
      <c r="I259" s="17">
        <v>18101497.559999999</v>
      </c>
      <c r="J259" s="15" t="s">
        <v>28</v>
      </c>
      <c r="K259" s="15" t="s">
        <v>18</v>
      </c>
      <c r="L259" s="9">
        <f>YEAR(E259)</f>
        <v>2023</v>
      </c>
      <c r="M259" s="11">
        <f t="shared" si="5"/>
        <v>5940322.1400000006</v>
      </c>
    </row>
    <row r="260" spans="1:13" ht="20" customHeight="1" x14ac:dyDescent="0.15">
      <c r="A260" s="12"/>
      <c r="B260" s="13" t="s">
        <v>174</v>
      </c>
      <c r="C260" s="14" t="s">
        <v>25</v>
      </c>
      <c r="D260" s="15" t="s">
        <v>68</v>
      </c>
      <c r="E260" s="15" t="s">
        <v>258</v>
      </c>
      <c r="F260" s="16">
        <v>778</v>
      </c>
      <c r="G260" s="17">
        <v>15017.53</v>
      </c>
      <c r="H260" s="17">
        <v>9283.59</v>
      </c>
      <c r="I260" s="17">
        <v>11683638.34</v>
      </c>
      <c r="J260" s="15" t="s">
        <v>22</v>
      </c>
      <c r="K260" s="15" t="s">
        <v>18</v>
      </c>
      <c r="L260" s="9">
        <f>YEAR(E260)</f>
        <v>2023</v>
      </c>
      <c r="M260" s="11">
        <f t="shared" si="5"/>
        <v>7222633.0200000005</v>
      </c>
    </row>
    <row r="261" spans="1:13" ht="20" customHeight="1" x14ac:dyDescent="0.15">
      <c r="A261" s="12"/>
      <c r="B261" s="13" t="s">
        <v>174</v>
      </c>
      <c r="C261" s="14" t="s">
        <v>79</v>
      </c>
      <c r="D261" s="15" t="s">
        <v>68</v>
      </c>
      <c r="E261" s="15" t="s">
        <v>259</v>
      </c>
      <c r="F261" s="16">
        <v>206</v>
      </c>
      <c r="G261" s="17">
        <v>23127.65</v>
      </c>
      <c r="H261" s="17">
        <v>6971.83</v>
      </c>
      <c r="I261" s="19">
        <v>4764295.9000000004</v>
      </c>
      <c r="J261" s="15" t="s">
        <v>30</v>
      </c>
      <c r="K261" s="15" t="s">
        <v>18</v>
      </c>
      <c r="L261" s="9">
        <f>YEAR(E261)</f>
        <v>2023</v>
      </c>
      <c r="M261" s="11">
        <f t="shared" ref="M261:M324" si="6">H261*F261</f>
        <v>1436196.98</v>
      </c>
    </row>
    <row r="262" spans="1:13" ht="20" customHeight="1" x14ac:dyDescent="0.15">
      <c r="A262" s="12"/>
      <c r="B262" s="13" t="s">
        <v>174</v>
      </c>
      <c r="C262" s="14" t="s">
        <v>23</v>
      </c>
      <c r="D262" s="15" t="s">
        <v>53</v>
      </c>
      <c r="E262" s="15" t="s">
        <v>261</v>
      </c>
      <c r="F262" s="16">
        <v>787</v>
      </c>
      <c r="G262" s="17">
        <v>28262.15</v>
      </c>
      <c r="H262" s="19">
        <v>4658.3</v>
      </c>
      <c r="I262" s="17">
        <v>22242312.050000001</v>
      </c>
      <c r="J262" s="15" t="s">
        <v>17</v>
      </c>
      <c r="K262" s="15" t="s">
        <v>18</v>
      </c>
      <c r="L262" s="9">
        <f>YEAR(E262)</f>
        <v>2023</v>
      </c>
      <c r="M262" s="11">
        <f t="shared" si="6"/>
        <v>3666082.1</v>
      </c>
    </row>
    <row r="263" spans="1:13" ht="20.75" customHeight="1" x14ac:dyDescent="0.15">
      <c r="A263" s="12"/>
      <c r="B263" s="13" t="s">
        <v>174</v>
      </c>
      <c r="C263" s="14" t="s">
        <v>31</v>
      </c>
      <c r="D263" s="15" t="s">
        <v>53</v>
      </c>
      <c r="E263" s="15" t="s">
        <v>262</v>
      </c>
      <c r="F263" s="16">
        <v>748</v>
      </c>
      <c r="G263" s="17">
        <v>25065.32</v>
      </c>
      <c r="H263" s="17">
        <v>7742.48</v>
      </c>
      <c r="I263" s="17">
        <v>18748859.359999999</v>
      </c>
      <c r="J263" s="15" t="s">
        <v>17</v>
      </c>
      <c r="K263" s="15" t="s">
        <v>18</v>
      </c>
      <c r="L263" s="9">
        <f>YEAR(E263)</f>
        <v>2023</v>
      </c>
      <c r="M263" s="11">
        <f t="shared" si="6"/>
        <v>5791375.04</v>
      </c>
    </row>
    <row r="264" spans="1:13" ht="20.75" customHeight="1" thickBot="1" x14ac:dyDescent="0.2">
      <c r="A264" s="20"/>
      <c r="B264" s="21" t="s">
        <v>174</v>
      </c>
      <c r="C264" s="22" t="s">
        <v>79</v>
      </c>
      <c r="D264" s="23" t="s">
        <v>89</v>
      </c>
      <c r="E264" s="23" t="s">
        <v>269</v>
      </c>
      <c r="F264" s="24">
        <v>611</v>
      </c>
      <c r="G264" s="25">
        <v>21839.94</v>
      </c>
      <c r="H264" s="25">
        <v>7020.58</v>
      </c>
      <c r="I264" s="25">
        <v>13344203.34</v>
      </c>
      <c r="J264" s="23" t="s">
        <v>30</v>
      </c>
      <c r="K264" s="23" t="s">
        <v>18</v>
      </c>
      <c r="L264" s="9">
        <f>YEAR(E264)</f>
        <v>2023</v>
      </c>
      <c r="M264" s="11">
        <f t="shared" si="6"/>
        <v>4289574.38</v>
      </c>
    </row>
    <row r="265" spans="1:13" ht="21" customHeight="1" thickBot="1" x14ac:dyDescent="0.2">
      <c r="A265" s="51"/>
      <c r="B265" s="52"/>
      <c r="C265" s="53"/>
      <c r="D265" s="54"/>
      <c r="E265" s="54"/>
      <c r="F265" s="55"/>
      <c r="G265" s="56"/>
      <c r="H265" s="57"/>
      <c r="I265" s="56"/>
      <c r="J265" s="54"/>
      <c r="K265" s="54"/>
      <c r="L265" s="9"/>
      <c r="M265" s="11"/>
    </row>
    <row r="266" spans="1:13" ht="20.25" customHeight="1" thickBot="1" x14ac:dyDescent="0.2">
      <c r="A266" s="3" t="s">
        <v>277</v>
      </c>
      <c r="B266" s="2" t="s">
        <v>2</v>
      </c>
      <c r="C266" s="2" t="s">
        <v>3</v>
      </c>
      <c r="D266" s="2" t="s">
        <v>4</v>
      </c>
      <c r="E266" s="2" t="s">
        <v>5</v>
      </c>
      <c r="F266" s="2" t="s">
        <v>6</v>
      </c>
      <c r="G266" s="2" t="s">
        <v>7</v>
      </c>
      <c r="H266" s="2" t="s">
        <v>8</v>
      </c>
      <c r="I266" s="2" t="s">
        <v>9</v>
      </c>
      <c r="J266" s="2" t="s">
        <v>10</v>
      </c>
      <c r="K266" s="2" t="s">
        <v>11</v>
      </c>
      <c r="L266" s="31" t="s">
        <v>12</v>
      </c>
      <c r="M266" s="64" t="s">
        <v>793</v>
      </c>
    </row>
    <row r="267" spans="1:13" ht="20" customHeight="1" x14ac:dyDescent="0.15">
      <c r="A267" s="5"/>
      <c r="B267" s="6" t="s">
        <v>277</v>
      </c>
      <c r="C267" s="7" t="s">
        <v>23</v>
      </c>
      <c r="D267" s="8" t="s">
        <v>53</v>
      </c>
      <c r="E267" s="8" t="s">
        <v>159</v>
      </c>
      <c r="F267" s="9">
        <v>464</v>
      </c>
      <c r="G267" s="10">
        <v>17947.18</v>
      </c>
      <c r="H267" s="10">
        <v>4171.95</v>
      </c>
      <c r="I267" s="10">
        <v>8327491.5199999996</v>
      </c>
      <c r="J267" s="8" t="s">
        <v>17</v>
      </c>
      <c r="K267" s="8" t="s">
        <v>18</v>
      </c>
      <c r="L267" s="9">
        <f>YEAR(E267)</f>
        <v>2020</v>
      </c>
      <c r="M267" s="11">
        <f t="shared" si="6"/>
        <v>1935784.7999999998</v>
      </c>
    </row>
    <row r="268" spans="1:13" ht="20" customHeight="1" x14ac:dyDescent="0.15">
      <c r="A268" s="12"/>
      <c r="B268" s="13" t="s">
        <v>277</v>
      </c>
      <c r="C268" s="14" t="s">
        <v>31</v>
      </c>
      <c r="D268" s="15" t="s">
        <v>53</v>
      </c>
      <c r="E268" s="15" t="s">
        <v>282</v>
      </c>
      <c r="F268" s="16">
        <v>990</v>
      </c>
      <c r="G268" s="17">
        <v>36777.32</v>
      </c>
      <c r="H268" s="17">
        <v>8027.19</v>
      </c>
      <c r="I268" s="19">
        <v>36409546.799999997</v>
      </c>
      <c r="J268" s="15" t="s">
        <v>17</v>
      </c>
      <c r="K268" s="15" t="s">
        <v>18</v>
      </c>
      <c r="L268" s="9">
        <f>YEAR(E268)</f>
        <v>2020</v>
      </c>
      <c r="M268" s="11">
        <f t="shared" si="6"/>
        <v>7946918.0999999996</v>
      </c>
    </row>
    <row r="269" spans="1:13" ht="20" customHeight="1" x14ac:dyDescent="0.15">
      <c r="A269" s="12"/>
      <c r="B269" s="13" t="s">
        <v>277</v>
      </c>
      <c r="C269" s="14" t="s">
        <v>38</v>
      </c>
      <c r="D269" s="15" t="s">
        <v>53</v>
      </c>
      <c r="E269" s="15" t="s">
        <v>284</v>
      </c>
      <c r="F269" s="16">
        <v>941</v>
      </c>
      <c r="G269" s="17">
        <v>27078.720000000001</v>
      </c>
      <c r="H269" s="17">
        <v>4676.04</v>
      </c>
      <c r="I269" s="17">
        <v>25481075.52</v>
      </c>
      <c r="J269" s="15" t="s">
        <v>17</v>
      </c>
      <c r="K269" s="15" t="s">
        <v>18</v>
      </c>
      <c r="L269" s="9">
        <f>YEAR(E269)</f>
        <v>2020</v>
      </c>
      <c r="M269" s="11">
        <f t="shared" si="6"/>
        <v>4400153.6399999997</v>
      </c>
    </row>
    <row r="270" spans="1:13" ht="20" customHeight="1" x14ac:dyDescent="0.15">
      <c r="A270" s="12"/>
      <c r="B270" s="13" t="s">
        <v>277</v>
      </c>
      <c r="C270" s="14" t="s">
        <v>57</v>
      </c>
      <c r="D270" s="15" t="s">
        <v>53</v>
      </c>
      <c r="E270" s="15" t="s">
        <v>286</v>
      </c>
      <c r="F270" s="16">
        <v>166</v>
      </c>
      <c r="G270" s="17">
        <v>33789.42</v>
      </c>
      <c r="H270" s="17">
        <v>7069.44</v>
      </c>
      <c r="I270" s="17">
        <v>5609043.7199999997</v>
      </c>
      <c r="J270" s="15" t="s">
        <v>17</v>
      </c>
      <c r="K270" s="15" t="s">
        <v>18</v>
      </c>
      <c r="L270" s="9">
        <f>YEAR(E270)</f>
        <v>2020</v>
      </c>
      <c r="M270" s="11">
        <f t="shared" si="6"/>
        <v>1173527.04</v>
      </c>
    </row>
    <row r="271" spans="1:13" ht="20" customHeight="1" x14ac:dyDescent="0.15">
      <c r="A271" s="12"/>
      <c r="B271" s="13" t="s">
        <v>277</v>
      </c>
      <c r="C271" s="14" t="s">
        <v>23</v>
      </c>
      <c r="D271" s="15" t="s">
        <v>53</v>
      </c>
      <c r="E271" s="15" t="s">
        <v>293</v>
      </c>
      <c r="F271" s="16">
        <v>442</v>
      </c>
      <c r="G271" s="17">
        <v>39909.449999999997</v>
      </c>
      <c r="H271" s="17">
        <v>6492.45</v>
      </c>
      <c r="I271" s="19">
        <v>17639976.899999999</v>
      </c>
      <c r="J271" s="15" t="s">
        <v>17</v>
      </c>
      <c r="K271" s="15" t="s">
        <v>18</v>
      </c>
      <c r="L271" s="9">
        <f>YEAR(E271)</f>
        <v>2020</v>
      </c>
      <c r="M271" s="11">
        <f t="shared" si="6"/>
        <v>2869662.9</v>
      </c>
    </row>
    <row r="272" spans="1:13" ht="20" customHeight="1" x14ac:dyDescent="0.15">
      <c r="A272" s="12"/>
      <c r="B272" s="13" t="s">
        <v>277</v>
      </c>
      <c r="C272" s="14" t="s">
        <v>38</v>
      </c>
      <c r="D272" s="15" t="s">
        <v>139</v>
      </c>
      <c r="E272" s="15" t="s">
        <v>300</v>
      </c>
      <c r="F272" s="16">
        <v>989</v>
      </c>
      <c r="G272" s="17">
        <v>24274.45</v>
      </c>
      <c r="H272" s="17">
        <v>7019.72</v>
      </c>
      <c r="I272" s="17">
        <v>24007431.050000001</v>
      </c>
      <c r="J272" s="15" t="s">
        <v>17</v>
      </c>
      <c r="K272" s="15" t="s">
        <v>18</v>
      </c>
      <c r="L272" s="9">
        <f>YEAR(E272)</f>
        <v>2020</v>
      </c>
      <c r="M272" s="11">
        <f t="shared" si="6"/>
        <v>6942503.0800000001</v>
      </c>
    </row>
    <row r="273" spans="1:13" ht="20" customHeight="1" x14ac:dyDescent="0.15">
      <c r="A273" s="12"/>
      <c r="B273" s="13" t="s">
        <v>277</v>
      </c>
      <c r="C273" s="14" t="s">
        <v>79</v>
      </c>
      <c r="D273" s="15" t="s">
        <v>139</v>
      </c>
      <c r="E273" s="15" t="s">
        <v>305</v>
      </c>
      <c r="F273" s="16">
        <v>258</v>
      </c>
      <c r="G273" s="17">
        <v>43253.51</v>
      </c>
      <c r="H273" s="17">
        <v>3922.14</v>
      </c>
      <c r="I273" s="17">
        <v>11159405.58</v>
      </c>
      <c r="J273" s="15" t="s">
        <v>28</v>
      </c>
      <c r="K273" s="15" t="s">
        <v>18</v>
      </c>
      <c r="L273" s="9">
        <f>YEAR(E273)</f>
        <v>2020</v>
      </c>
      <c r="M273" s="11">
        <f t="shared" si="6"/>
        <v>1011912.12</v>
      </c>
    </row>
    <row r="274" spans="1:13" ht="20" customHeight="1" x14ac:dyDescent="0.15">
      <c r="A274" s="12"/>
      <c r="B274" s="13" t="s">
        <v>277</v>
      </c>
      <c r="C274" s="14" t="s">
        <v>35</v>
      </c>
      <c r="D274" s="15" t="s">
        <v>114</v>
      </c>
      <c r="E274" s="15" t="s">
        <v>250</v>
      </c>
      <c r="F274" s="16">
        <v>449</v>
      </c>
      <c r="G274" s="17">
        <v>22573.52</v>
      </c>
      <c r="H274" s="17">
        <v>5849.58</v>
      </c>
      <c r="I274" s="17">
        <v>10135510.48</v>
      </c>
      <c r="J274" s="15" t="s">
        <v>17</v>
      </c>
      <c r="K274" s="15" t="s">
        <v>18</v>
      </c>
      <c r="L274" s="9">
        <f>YEAR(E274)</f>
        <v>2020</v>
      </c>
      <c r="M274" s="11">
        <f t="shared" si="6"/>
        <v>2626461.42</v>
      </c>
    </row>
    <row r="275" spans="1:13" ht="20" customHeight="1" x14ac:dyDescent="0.15">
      <c r="A275" s="12"/>
      <c r="B275" s="13" t="s">
        <v>277</v>
      </c>
      <c r="C275" s="14" t="s">
        <v>25</v>
      </c>
      <c r="D275" s="15" t="s">
        <v>114</v>
      </c>
      <c r="E275" s="15" t="s">
        <v>109</v>
      </c>
      <c r="F275" s="16">
        <v>644</v>
      </c>
      <c r="G275" s="17">
        <v>11922.17</v>
      </c>
      <c r="H275" s="17">
        <v>2972.84</v>
      </c>
      <c r="I275" s="17">
        <v>7677877.4800000004</v>
      </c>
      <c r="J275" s="15" t="s">
        <v>17</v>
      </c>
      <c r="K275" s="15" t="s">
        <v>18</v>
      </c>
      <c r="L275" s="9">
        <f>YEAR(E275)</f>
        <v>2020</v>
      </c>
      <c r="M275" s="11">
        <f t="shared" si="6"/>
        <v>1914508.9600000002</v>
      </c>
    </row>
    <row r="276" spans="1:13" ht="20" customHeight="1" x14ac:dyDescent="0.15">
      <c r="A276" s="12"/>
      <c r="B276" s="13" t="s">
        <v>277</v>
      </c>
      <c r="C276" s="14" t="s">
        <v>25</v>
      </c>
      <c r="D276" s="15" t="s">
        <v>15</v>
      </c>
      <c r="E276" s="15" t="s">
        <v>325</v>
      </c>
      <c r="F276" s="16">
        <v>121</v>
      </c>
      <c r="G276" s="17">
        <v>39676.69</v>
      </c>
      <c r="H276" s="17">
        <v>4143.1899999999996</v>
      </c>
      <c r="I276" s="17">
        <v>4800879.49</v>
      </c>
      <c r="J276" s="15" t="s">
        <v>17</v>
      </c>
      <c r="K276" s="15" t="s">
        <v>18</v>
      </c>
      <c r="L276" s="9">
        <f>YEAR(E276)</f>
        <v>2020</v>
      </c>
      <c r="M276" s="11">
        <f t="shared" si="6"/>
        <v>501325.98999999993</v>
      </c>
    </row>
    <row r="277" spans="1:13" ht="20" customHeight="1" x14ac:dyDescent="0.15">
      <c r="A277" s="12"/>
      <c r="B277" s="13" t="s">
        <v>277</v>
      </c>
      <c r="C277" s="14" t="s">
        <v>57</v>
      </c>
      <c r="D277" s="15" t="s">
        <v>26</v>
      </c>
      <c r="E277" s="15" t="s">
        <v>333</v>
      </c>
      <c r="F277" s="16">
        <v>482</v>
      </c>
      <c r="G277" s="17">
        <v>34497.660000000003</v>
      </c>
      <c r="H277" s="17">
        <v>2071.13</v>
      </c>
      <c r="I277" s="17">
        <v>16627872.119999999</v>
      </c>
      <c r="J277" s="15" t="s">
        <v>22</v>
      </c>
      <c r="K277" s="15" t="s">
        <v>18</v>
      </c>
      <c r="L277" s="9">
        <f>YEAR(E277)</f>
        <v>2020</v>
      </c>
      <c r="M277" s="11">
        <f t="shared" si="6"/>
        <v>998284.66</v>
      </c>
    </row>
    <row r="278" spans="1:13" ht="20" customHeight="1" x14ac:dyDescent="0.15">
      <c r="A278" s="12"/>
      <c r="B278" s="13" t="s">
        <v>277</v>
      </c>
      <c r="C278" s="14" t="s">
        <v>31</v>
      </c>
      <c r="D278" s="15" t="s">
        <v>26</v>
      </c>
      <c r="E278" s="15" t="s">
        <v>334</v>
      </c>
      <c r="F278" s="16">
        <v>798</v>
      </c>
      <c r="G278" s="17">
        <v>43030.42</v>
      </c>
      <c r="H278" s="17">
        <v>5718.02</v>
      </c>
      <c r="I278" s="17">
        <v>34338275.159999996</v>
      </c>
      <c r="J278" s="15" t="s">
        <v>22</v>
      </c>
      <c r="K278" s="15" t="s">
        <v>18</v>
      </c>
      <c r="L278" s="9">
        <f>YEAR(E278)</f>
        <v>2020</v>
      </c>
      <c r="M278" s="11">
        <f t="shared" si="6"/>
        <v>4562979.96</v>
      </c>
    </row>
    <row r="279" spans="1:13" ht="20" customHeight="1" x14ac:dyDescent="0.15">
      <c r="A279" s="12"/>
      <c r="B279" s="13" t="s">
        <v>277</v>
      </c>
      <c r="C279" s="14" t="s">
        <v>57</v>
      </c>
      <c r="D279" s="15" t="s">
        <v>26</v>
      </c>
      <c r="E279" s="15" t="s">
        <v>335</v>
      </c>
      <c r="F279" s="16">
        <v>216</v>
      </c>
      <c r="G279" s="17">
        <v>25895.71</v>
      </c>
      <c r="H279" s="17">
        <v>5588.44</v>
      </c>
      <c r="I279" s="17">
        <v>5593473.3600000003</v>
      </c>
      <c r="J279" s="15" t="s">
        <v>17</v>
      </c>
      <c r="K279" s="15" t="s">
        <v>18</v>
      </c>
      <c r="L279" s="9">
        <f>YEAR(E279)</f>
        <v>2020</v>
      </c>
      <c r="M279" s="11">
        <f t="shared" si="6"/>
        <v>1207103.0399999998</v>
      </c>
    </row>
    <row r="280" spans="1:13" ht="20" customHeight="1" x14ac:dyDescent="0.15">
      <c r="A280" s="12"/>
      <c r="B280" s="13" t="s">
        <v>277</v>
      </c>
      <c r="C280" s="14" t="s">
        <v>14</v>
      </c>
      <c r="D280" s="15" t="s">
        <v>26</v>
      </c>
      <c r="E280" s="15" t="s">
        <v>336</v>
      </c>
      <c r="F280" s="16">
        <v>689</v>
      </c>
      <c r="G280" s="17">
        <v>29393.13</v>
      </c>
      <c r="H280" s="17">
        <v>3650.64</v>
      </c>
      <c r="I280" s="17">
        <v>20251866.57</v>
      </c>
      <c r="J280" s="15" t="s">
        <v>17</v>
      </c>
      <c r="K280" s="15" t="s">
        <v>18</v>
      </c>
      <c r="L280" s="9">
        <f>YEAR(E280)</f>
        <v>2020</v>
      </c>
      <c r="M280" s="11">
        <f t="shared" si="6"/>
        <v>2515290.96</v>
      </c>
    </row>
    <row r="281" spans="1:13" ht="20" customHeight="1" x14ac:dyDescent="0.15">
      <c r="A281" s="12"/>
      <c r="B281" s="13" t="s">
        <v>277</v>
      </c>
      <c r="C281" s="14" t="s">
        <v>35</v>
      </c>
      <c r="D281" s="15" t="s">
        <v>26</v>
      </c>
      <c r="E281" s="15" t="s">
        <v>337</v>
      </c>
      <c r="F281" s="16">
        <v>723</v>
      </c>
      <c r="G281" s="17">
        <v>24896.53</v>
      </c>
      <c r="H281" s="19">
        <v>4266.1000000000004</v>
      </c>
      <c r="I281" s="17">
        <v>18000191.190000001</v>
      </c>
      <c r="J281" s="15" t="s">
        <v>30</v>
      </c>
      <c r="K281" s="15" t="s">
        <v>18</v>
      </c>
      <c r="L281" s="9">
        <f>YEAR(E281)</f>
        <v>2020</v>
      </c>
      <c r="M281" s="11">
        <f t="shared" si="6"/>
        <v>3084390.3000000003</v>
      </c>
    </row>
    <row r="282" spans="1:13" ht="20" customHeight="1" x14ac:dyDescent="0.15">
      <c r="A282" s="12"/>
      <c r="B282" s="13" t="s">
        <v>277</v>
      </c>
      <c r="C282" s="14" t="s">
        <v>25</v>
      </c>
      <c r="D282" s="15" t="s">
        <v>153</v>
      </c>
      <c r="E282" s="15" t="s">
        <v>337</v>
      </c>
      <c r="F282" s="16">
        <v>355</v>
      </c>
      <c r="G282" s="17">
        <v>19246.61</v>
      </c>
      <c r="H282" s="17">
        <v>2599.13</v>
      </c>
      <c r="I282" s="17">
        <v>6832546.5499999998</v>
      </c>
      <c r="J282" s="15" t="s">
        <v>17</v>
      </c>
      <c r="K282" s="15" t="s">
        <v>18</v>
      </c>
      <c r="L282" s="9">
        <f>YEAR(E282)</f>
        <v>2020</v>
      </c>
      <c r="M282" s="11">
        <f t="shared" si="6"/>
        <v>922691.15</v>
      </c>
    </row>
    <row r="283" spans="1:13" ht="20" customHeight="1" x14ac:dyDescent="0.15">
      <c r="A283" s="12"/>
      <c r="B283" s="13" t="s">
        <v>277</v>
      </c>
      <c r="C283" s="14" t="s">
        <v>19</v>
      </c>
      <c r="D283" s="15" t="s">
        <v>26</v>
      </c>
      <c r="E283" s="15" t="s">
        <v>338</v>
      </c>
      <c r="F283" s="16">
        <v>997</v>
      </c>
      <c r="G283" s="19">
        <v>23337.7</v>
      </c>
      <c r="H283" s="17">
        <v>5441.12</v>
      </c>
      <c r="I283" s="19">
        <v>23267686.899999999</v>
      </c>
      <c r="J283" s="15" t="s">
        <v>17</v>
      </c>
      <c r="K283" s="15" t="s">
        <v>18</v>
      </c>
      <c r="L283" s="9">
        <f>YEAR(E283)</f>
        <v>2020</v>
      </c>
      <c r="M283" s="11">
        <f t="shared" si="6"/>
        <v>5424796.6399999997</v>
      </c>
    </row>
    <row r="284" spans="1:13" ht="20" customHeight="1" x14ac:dyDescent="0.15">
      <c r="A284" s="12"/>
      <c r="B284" s="13" t="s">
        <v>277</v>
      </c>
      <c r="C284" s="14" t="s">
        <v>43</v>
      </c>
      <c r="D284" s="15" t="s">
        <v>68</v>
      </c>
      <c r="E284" s="15" t="s">
        <v>339</v>
      </c>
      <c r="F284" s="16">
        <v>181</v>
      </c>
      <c r="G284" s="17">
        <v>42649.85</v>
      </c>
      <c r="H284" s="17">
        <v>4580.5200000000004</v>
      </c>
      <c r="I284" s="17">
        <v>7719622.8499999996</v>
      </c>
      <c r="J284" s="15" t="s">
        <v>17</v>
      </c>
      <c r="K284" s="15" t="s">
        <v>18</v>
      </c>
      <c r="L284" s="9">
        <f>YEAR(E284)</f>
        <v>2020</v>
      </c>
      <c r="M284" s="11">
        <f t="shared" si="6"/>
        <v>829074.12000000011</v>
      </c>
    </row>
    <row r="285" spans="1:13" ht="20" customHeight="1" x14ac:dyDescent="0.15">
      <c r="A285" s="12"/>
      <c r="B285" s="13" t="s">
        <v>277</v>
      </c>
      <c r="C285" s="14" t="s">
        <v>79</v>
      </c>
      <c r="D285" s="15" t="s">
        <v>89</v>
      </c>
      <c r="E285" s="15" t="s">
        <v>339</v>
      </c>
      <c r="F285" s="16">
        <v>953</v>
      </c>
      <c r="G285" s="17">
        <v>30715.74</v>
      </c>
      <c r="H285" s="17">
        <v>7323.65</v>
      </c>
      <c r="I285" s="17">
        <v>29272100.219999999</v>
      </c>
      <c r="J285" s="15" t="s">
        <v>28</v>
      </c>
      <c r="K285" s="15" t="s">
        <v>18</v>
      </c>
      <c r="L285" s="9">
        <f>YEAR(E285)</f>
        <v>2020</v>
      </c>
      <c r="M285" s="11">
        <f t="shared" si="6"/>
        <v>6979438.4499999993</v>
      </c>
    </row>
    <row r="286" spans="1:13" ht="20" customHeight="1" x14ac:dyDescent="0.15">
      <c r="A286" s="12"/>
      <c r="B286" s="13" t="s">
        <v>277</v>
      </c>
      <c r="C286" s="14" t="s">
        <v>43</v>
      </c>
      <c r="D286" s="15" t="s">
        <v>70</v>
      </c>
      <c r="E286" s="15" t="s">
        <v>356</v>
      </c>
      <c r="F286" s="16">
        <v>839</v>
      </c>
      <c r="G286" s="17">
        <v>20194.91</v>
      </c>
      <c r="H286" s="17">
        <v>4050.93</v>
      </c>
      <c r="I286" s="17">
        <v>16943529.489999998</v>
      </c>
      <c r="J286" s="15" t="s">
        <v>22</v>
      </c>
      <c r="K286" s="15" t="s">
        <v>18</v>
      </c>
      <c r="L286" s="9">
        <f>YEAR(E286)</f>
        <v>2020</v>
      </c>
      <c r="M286" s="11">
        <f t="shared" si="6"/>
        <v>3398730.27</v>
      </c>
    </row>
    <row r="287" spans="1:13" ht="20" customHeight="1" x14ac:dyDescent="0.15">
      <c r="A287" s="12"/>
      <c r="B287" s="13" t="s">
        <v>277</v>
      </c>
      <c r="C287" s="14" t="s">
        <v>38</v>
      </c>
      <c r="D287" s="15" t="s">
        <v>70</v>
      </c>
      <c r="E287" s="15" t="s">
        <v>357</v>
      </c>
      <c r="F287" s="16">
        <v>435</v>
      </c>
      <c r="G287" s="17">
        <v>15057.51</v>
      </c>
      <c r="H287" s="19">
        <v>5455.6</v>
      </c>
      <c r="I287" s="17">
        <v>6550016.8499999996</v>
      </c>
      <c r="J287" s="15" t="s">
        <v>30</v>
      </c>
      <c r="K287" s="15" t="s">
        <v>18</v>
      </c>
      <c r="L287" s="9">
        <f>YEAR(E287)</f>
        <v>2020</v>
      </c>
      <c r="M287" s="11">
        <f t="shared" si="6"/>
        <v>2373186</v>
      </c>
    </row>
    <row r="288" spans="1:13" ht="20" customHeight="1" x14ac:dyDescent="0.15">
      <c r="A288" s="12"/>
      <c r="B288" s="13" t="s">
        <v>277</v>
      </c>
      <c r="C288" s="14" t="s">
        <v>19</v>
      </c>
      <c r="D288" s="15" t="s">
        <v>70</v>
      </c>
      <c r="E288" s="15" t="s">
        <v>362</v>
      </c>
      <c r="F288" s="16">
        <v>167</v>
      </c>
      <c r="G288" s="17">
        <v>24405.81</v>
      </c>
      <c r="H288" s="17">
        <v>5557.46</v>
      </c>
      <c r="I288" s="17">
        <v>4075770.27</v>
      </c>
      <c r="J288" s="15" t="s">
        <v>17</v>
      </c>
      <c r="K288" s="15" t="s">
        <v>18</v>
      </c>
      <c r="L288" s="9">
        <f>YEAR(E288)</f>
        <v>2020</v>
      </c>
      <c r="M288" s="11">
        <f t="shared" si="6"/>
        <v>928095.82</v>
      </c>
    </row>
    <row r="289" spans="1:13" ht="20" customHeight="1" x14ac:dyDescent="0.15">
      <c r="A289" s="12"/>
      <c r="B289" s="13" t="s">
        <v>277</v>
      </c>
      <c r="C289" s="14" t="s">
        <v>79</v>
      </c>
      <c r="D289" s="15" t="s">
        <v>70</v>
      </c>
      <c r="E289" s="15" t="s">
        <v>363</v>
      </c>
      <c r="F289" s="16">
        <v>118</v>
      </c>
      <c r="G289" s="17">
        <v>22796.67</v>
      </c>
      <c r="H289" s="17">
        <v>4784.42</v>
      </c>
      <c r="I289" s="17">
        <v>2690007.06</v>
      </c>
      <c r="J289" s="15" t="s">
        <v>17</v>
      </c>
      <c r="K289" s="15" t="s">
        <v>18</v>
      </c>
      <c r="L289" s="9">
        <f>YEAR(E289)</f>
        <v>2020</v>
      </c>
      <c r="M289" s="11">
        <f t="shared" si="6"/>
        <v>564561.56000000006</v>
      </c>
    </row>
    <row r="290" spans="1:13" ht="20" customHeight="1" x14ac:dyDescent="0.15">
      <c r="A290" s="12"/>
      <c r="B290" s="13" t="s">
        <v>277</v>
      </c>
      <c r="C290" s="14" t="s">
        <v>14</v>
      </c>
      <c r="D290" s="15" t="s">
        <v>107</v>
      </c>
      <c r="E290" s="15" t="s">
        <v>365</v>
      </c>
      <c r="F290" s="16">
        <v>207</v>
      </c>
      <c r="G290" s="17">
        <v>14501.74</v>
      </c>
      <c r="H290" s="17">
        <v>4713.01</v>
      </c>
      <c r="I290" s="17">
        <v>3001860.18</v>
      </c>
      <c r="J290" s="15" t="s">
        <v>17</v>
      </c>
      <c r="K290" s="15" t="s">
        <v>18</v>
      </c>
      <c r="L290" s="9">
        <f>YEAR(E290)</f>
        <v>2020</v>
      </c>
      <c r="M290" s="11">
        <f t="shared" si="6"/>
        <v>975593.07000000007</v>
      </c>
    </row>
    <row r="291" spans="1:13" ht="20" customHeight="1" x14ac:dyDescent="0.15">
      <c r="A291" s="12"/>
      <c r="B291" s="13" t="s">
        <v>277</v>
      </c>
      <c r="C291" s="14" t="s">
        <v>25</v>
      </c>
      <c r="D291" s="15" t="s">
        <v>107</v>
      </c>
      <c r="E291" s="15" t="s">
        <v>367</v>
      </c>
      <c r="F291" s="16">
        <v>332</v>
      </c>
      <c r="G291" s="19">
        <v>42678.9</v>
      </c>
      <c r="H291" s="17">
        <v>2935.51</v>
      </c>
      <c r="I291" s="19">
        <v>14169394.800000001</v>
      </c>
      <c r="J291" s="15" t="s">
        <v>17</v>
      </c>
      <c r="K291" s="15" t="s">
        <v>18</v>
      </c>
      <c r="L291" s="9">
        <f>YEAR(E291)</f>
        <v>2020</v>
      </c>
      <c r="M291" s="11">
        <f t="shared" si="6"/>
        <v>974589.32000000007</v>
      </c>
    </row>
    <row r="292" spans="1:13" ht="20" customHeight="1" x14ac:dyDescent="0.15">
      <c r="A292" s="12"/>
      <c r="B292" s="13" t="s">
        <v>277</v>
      </c>
      <c r="C292" s="14" t="s">
        <v>14</v>
      </c>
      <c r="D292" s="15" t="s">
        <v>107</v>
      </c>
      <c r="E292" s="15" t="s">
        <v>369</v>
      </c>
      <c r="F292" s="16">
        <v>741</v>
      </c>
      <c r="G292" s="17">
        <v>47745.33</v>
      </c>
      <c r="H292" s="17">
        <v>7767.31</v>
      </c>
      <c r="I292" s="17">
        <v>35379289.530000001</v>
      </c>
      <c r="J292" s="15" t="s">
        <v>17</v>
      </c>
      <c r="K292" s="15" t="s">
        <v>18</v>
      </c>
      <c r="L292" s="9">
        <f>YEAR(E292)</f>
        <v>2020</v>
      </c>
      <c r="M292" s="11">
        <f t="shared" si="6"/>
        <v>5755576.71</v>
      </c>
    </row>
    <row r="293" spans="1:13" ht="20" customHeight="1" x14ac:dyDescent="0.15">
      <c r="A293" s="12"/>
      <c r="B293" s="13" t="s">
        <v>277</v>
      </c>
      <c r="C293" s="14" t="s">
        <v>31</v>
      </c>
      <c r="D293" s="15" t="s">
        <v>107</v>
      </c>
      <c r="E293" s="15" t="s">
        <v>370</v>
      </c>
      <c r="F293" s="16">
        <v>276</v>
      </c>
      <c r="G293" s="17">
        <v>35183.879999999997</v>
      </c>
      <c r="H293" s="17">
        <v>7272.88</v>
      </c>
      <c r="I293" s="17">
        <v>9710750.8800000008</v>
      </c>
      <c r="J293" s="15" t="s">
        <v>22</v>
      </c>
      <c r="K293" s="15" t="s">
        <v>18</v>
      </c>
      <c r="L293" s="9">
        <f>YEAR(E293)</f>
        <v>2020</v>
      </c>
      <c r="M293" s="11">
        <f t="shared" si="6"/>
        <v>2007314.8800000001</v>
      </c>
    </row>
    <row r="294" spans="1:13" ht="20" customHeight="1" x14ac:dyDescent="0.15">
      <c r="A294" s="12"/>
      <c r="B294" s="13" t="s">
        <v>277</v>
      </c>
      <c r="C294" s="14" t="s">
        <v>19</v>
      </c>
      <c r="D294" s="15" t="s">
        <v>107</v>
      </c>
      <c r="E294" s="15" t="s">
        <v>372</v>
      </c>
      <c r="F294" s="16">
        <v>360</v>
      </c>
      <c r="G294" s="17">
        <v>26607.040000000001</v>
      </c>
      <c r="H294" s="17">
        <v>3144.34</v>
      </c>
      <c r="I294" s="19">
        <v>9578534.4000000004</v>
      </c>
      <c r="J294" s="15" t="s">
        <v>28</v>
      </c>
      <c r="K294" s="15" t="s">
        <v>18</v>
      </c>
      <c r="L294" s="9">
        <f>YEAR(E294)</f>
        <v>2020</v>
      </c>
      <c r="M294" s="11">
        <f t="shared" si="6"/>
        <v>1131962.4000000001</v>
      </c>
    </row>
    <row r="295" spans="1:13" ht="20" customHeight="1" x14ac:dyDescent="0.15">
      <c r="A295" s="12"/>
      <c r="B295" s="13" t="s">
        <v>277</v>
      </c>
      <c r="C295" s="14" t="s">
        <v>25</v>
      </c>
      <c r="D295" s="15" t="s">
        <v>107</v>
      </c>
      <c r="E295" s="15" t="s">
        <v>373</v>
      </c>
      <c r="F295" s="16">
        <v>410</v>
      </c>
      <c r="G295" s="17">
        <v>42063.46</v>
      </c>
      <c r="H295" s="19">
        <v>8620.2000000000007</v>
      </c>
      <c r="I295" s="19">
        <v>17246018.600000001</v>
      </c>
      <c r="J295" s="15" t="s">
        <v>22</v>
      </c>
      <c r="K295" s="15" t="s">
        <v>18</v>
      </c>
      <c r="L295" s="9">
        <f>YEAR(E295)</f>
        <v>2020</v>
      </c>
      <c r="M295" s="11">
        <f t="shared" si="6"/>
        <v>3534282.0000000005</v>
      </c>
    </row>
    <row r="296" spans="1:13" ht="20" customHeight="1" x14ac:dyDescent="0.15">
      <c r="A296" s="12"/>
      <c r="B296" s="13" t="s">
        <v>277</v>
      </c>
      <c r="C296" s="14" t="s">
        <v>19</v>
      </c>
      <c r="D296" s="15" t="s">
        <v>89</v>
      </c>
      <c r="E296" s="15" t="s">
        <v>376</v>
      </c>
      <c r="F296" s="16">
        <v>847</v>
      </c>
      <c r="G296" s="19">
        <v>19595.099999999999</v>
      </c>
      <c r="H296" s="17">
        <v>8836.6200000000008</v>
      </c>
      <c r="I296" s="19">
        <v>16597049.699999999</v>
      </c>
      <c r="J296" s="15" t="s">
        <v>30</v>
      </c>
      <c r="K296" s="15" t="s">
        <v>18</v>
      </c>
      <c r="L296" s="9">
        <f>YEAR(E296)</f>
        <v>2020</v>
      </c>
      <c r="M296" s="11">
        <f t="shared" si="6"/>
        <v>7484617.1400000006</v>
      </c>
    </row>
    <row r="297" spans="1:13" ht="20" customHeight="1" x14ac:dyDescent="0.15">
      <c r="A297" s="12"/>
      <c r="B297" s="13" t="s">
        <v>277</v>
      </c>
      <c r="C297" s="14" t="s">
        <v>19</v>
      </c>
      <c r="D297" s="15" t="s">
        <v>89</v>
      </c>
      <c r="E297" s="15" t="s">
        <v>377</v>
      </c>
      <c r="F297" s="16">
        <v>492</v>
      </c>
      <c r="G297" s="17">
        <v>33982.230000000003</v>
      </c>
      <c r="H297" s="17">
        <v>3031.16</v>
      </c>
      <c r="I297" s="17">
        <v>16719257.16</v>
      </c>
      <c r="J297" s="15" t="s">
        <v>17</v>
      </c>
      <c r="K297" s="15" t="s">
        <v>18</v>
      </c>
      <c r="L297" s="9">
        <f>YEAR(E297)</f>
        <v>2020</v>
      </c>
      <c r="M297" s="11">
        <f t="shared" si="6"/>
        <v>1491330.72</v>
      </c>
    </row>
    <row r="298" spans="1:13" ht="20" customHeight="1" x14ac:dyDescent="0.15">
      <c r="A298" s="12"/>
      <c r="B298" s="13" t="s">
        <v>277</v>
      </c>
      <c r="C298" s="14" t="s">
        <v>14</v>
      </c>
      <c r="D298" s="15" t="s">
        <v>89</v>
      </c>
      <c r="E298" s="15" t="s">
        <v>380</v>
      </c>
      <c r="F298" s="16">
        <v>579</v>
      </c>
      <c r="G298" s="17">
        <v>40723.75</v>
      </c>
      <c r="H298" s="19">
        <v>7020.3</v>
      </c>
      <c r="I298" s="17">
        <v>23579051.25</v>
      </c>
      <c r="J298" s="15" t="s">
        <v>30</v>
      </c>
      <c r="K298" s="15" t="s">
        <v>18</v>
      </c>
      <c r="L298" s="9">
        <f>YEAR(E298)</f>
        <v>2020</v>
      </c>
      <c r="M298" s="11">
        <f t="shared" si="6"/>
        <v>4064753.7</v>
      </c>
    </row>
    <row r="299" spans="1:13" ht="20" customHeight="1" x14ac:dyDescent="0.15">
      <c r="A299" s="12"/>
      <c r="B299" s="13" t="s">
        <v>277</v>
      </c>
      <c r="C299" s="14" t="s">
        <v>43</v>
      </c>
      <c r="D299" s="15" t="s">
        <v>53</v>
      </c>
      <c r="E299" s="15" t="s">
        <v>283</v>
      </c>
      <c r="F299" s="16">
        <v>864</v>
      </c>
      <c r="G299" s="17">
        <v>40976.449999999997</v>
      </c>
      <c r="H299" s="17">
        <v>3472.61</v>
      </c>
      <c r="I299" s="19">
        <v>35403652.799999997</v>
      </c>
      <c r="J299" s="15" t="s">
        <v>17</v>
      </c>
      <c r="K299" s="15" t="s">
        <v>18</v>
      </c>
      <c r="L299" s="9">
        <f>YEAR(E299)</f>
        <v>2021</v>
      </c>
      <c r="M299" s="11">
        <f t="shared" si="6"/>
        <v>3000335.04</v>
      </c>
    </row>
    <row r="300" spans="1:13" ht="20" customHeight="1" x14ac:dyDescent="0.15">
      <c r="A300" s="12"/>
      <c r="B300" s="13" t="s">
        <v>277</v>
      </c>
      <c r="C300" s="14" t="s">
        <v>14</v>
      </c>
      <c r="D300" s="15" t="s">
        <v>53</v>
      </c>
      <c r="E300" s="15" t="s">
        <v>285</v>
      </c>
      <c r="F300" s="16">
        <v>743</v>
      </c>
      <c r="G300" s="17">
        <v>20825.009999999998</v>
      </c>
      <c r="H300" s="17">
        <v>2879.25</v>
      </c>
      <c r="I300" s="17">
        <v>15472982.43</v>
      </c>
      <c r="J300" s="15" t="s">
        <v>30</v>
      </c>
      <c r="K300" s="15" t="s">
        <v>18</v>
      </c>
      <c r="L300" s="9">
        <f>YEAR(E300)</f>
        <v>2021</v>
      </c>
      <c r="M300" s="11">
        <f t="shared" si="6"/>
        <v>2139282.75</v>
      </c>
    </row>
    <row r="301" spans="1:13" ht="20" customHeight="1" x14ac:dyDescent="0.15">
      <c r="A301" s="12"/>
      <c r="B301" s="13" t="s">
        <v>277</v>
      </c>
      <c r="C301" s="14" t="s">
        <v>79</v>
      </c>
      <c r="D301" s="15" t="s">
        <v>53</v>
      </c>
      <c r="E301" s="15" t="s">
        <v>288</v>
      </c>
      <c r="F301" s="16">
        <v>157</v>
      </c>
      <c r="G301" s="17">
        <v>11352.41</v>
      </c>
      <c r="H301" s="17">
        <v>6556.99</v>
      </c>
      <c r="I301" s="17">
        <v>1782328.37</v>
      </c>
      <c r="J301" s="15" t="s">
        <v>17</v>
      </c>
      <c r="K301" s="15" t="s">
        <v>18</v>
      </c>
      <c r="L301" s="9">
        <f>YEAR(E301)</f>
        <v>2021</v>
      </c>
      <c r="M301" s="11">
        <f t="shared" si="6"/>
        <v>1029447.4299999999</v>
      </c>
    </row>
    <row r="302" spans="1:13" ht="20" customHeight="1" x14ac:dyDescent="0.15">
      <c r="A302" s="12"/>
      <c r="B302" s="13" t="s">
        <v>277</v>
      </c>
      <c r="C302" s="14" t="s">
        <v>23</v>
      </c>
      <c r="D302" s="15" t="s">
        <v>139</v>
      </c>
      <c r="E302" s="15" t="s">
        <v>73</v>
      </c>
      <c r="F302" s="16">
        <v>978</v>
      </c>
      <c r="G302" s="17">
        <v>42445.04</v>
      </c>
      <c r="H302" s="19">
        <v>4024.2</v>
      </c>
      <c r="I302" s="17">
        <v>41511249.119999997</v>
      </c>
      <c r="J302" s="15" t="s">
        <v>17</v>
      </c>
      <c r="K302" s="15" t="s">
        <v>18</v>
      </c>
      <c r="L302" s="9">
        <f>YEAR(E302)</f>
        <v>2021</v>
      </c>
      <c r="M302" s="11">
        <f t="shared" si="6"/>
        <v>3935667.5999999996</v>
      </c>
    </row>
    <row r="303" spans="1:13" ht="20" customHeight="1" x14ac:dyDescent="0.15">
      <c r="A303" s="12"/>
      <c r="B303" s="13" t="s">
        <v>277</v>
      </c>
      <c r="C303" s="14" t="s">
        <v>25</v>
      </c>
      <c r="D303" s="15" t="s">
        <v>139</v>
      </c>
      <c r="E303" s="15" t="s">
        <v>303</v>
      </c>
      <c r="F303" s="16">
        <v>262</v>
      </c>
      <c r="G303" s="17">
        <v>27644.22</v>
      </c>
      <c r="H303" s="17">
        <v>2134.1799999999998</v>
      </c>
      <c r="I303" s="17">
        <v>7242785.6399999997</v>
      </c>
      <c r="J303" s="15" t="s">
        <v>17</v>
      </c>
      <c r="K303" s="15" t="s">
        <v>18</v>
      </c>
      <c r="L303" s="9">
        <f>YEAR(E303)</f>
        <v>2021</v>
      </c>
      <c r="M303" s="11">
        <f t="shared" si="6"/>
        <v>559155.15999999992</v>
      </c>
    </row>
    <row r="304" spans="1:13" ht="20" customHeight="1" x14ac:dyDescent="0.15">
      <c r="A304" s="12"/>
      <c r="B304" s="13" t="s">
        <v>277</v>
      </c>
      <c r="C304" s="14" t="s">
        <v>14</v>
      </c>
      <c r="D304" s="15" t="s">
        <v>139</v>
      </c>
      <c r="E304" s="15" t="s">
        <v>308</v>
      </c>
      <c r="F304" s="16">
        <v>232</v>
      </c>
      <c r="G304" s="17">
        <v>40443.449999999997</v>
      </c>
      <c r="H304" s="17">
        <v>8390.75</v>
      </c>
      <c r="I304" s="19">
        <v>9382880.4000000004</v>
      </c>
      <c r="J304" s="15" t="s">
        <v>22</v>
      </c>
      <c r="K304" s="15" t="s">
        <v>18</v>
      </c>
      <c r="L304" s="9">
        <f>YEAR(E304)</f>
        <v>2021</v>
      </c>
      <c r="M304" s="11">
        <f t="shared" si="6"/>
        <v>1946654</v>
      </c>
    </row>
    <row r="305" spans="1:13" ht="20" customHeight="1" x14ac:dyDescent="0.15">
      <c r="A305" s="12"/>
      <c r="B305" s="13" t="s">
        <v>277</v>
      </c>
      <c r="C305" s="14" t="s">
        <v>57</v>
      </c>
      <c r="D305" s="15" t="s">
        <v>139</v>
      </c>
      <c r="E305" s="15" t="s">
        <v>308</v>
      </c>
      <c r="F305" s="16">
        <v>231</v>
      </c>
      <c r="G305" s="17">
        <v>37383.65</v>
      </c>
      <c r="H305" s="19">
        <v>6025.9</v>
      </c>
      <c r="I305" s="17">
        <v>8635623.1500000004</v>
      </c>
      <c r="J305" s="15" t="s">
        <v>17</v>
      </c>
      <c r="K305" s="15" t="s">
        <v>18</v>
      </c>
      <c r="L305" s="9">
        <f>YEAR(E305)</f>
        <v>2021</v>
      </c>
      <c r="M305" s="11">
        <f t="shared" si="6"/>
        <v>1391982.9</v>
      </c>
    </row>
    <row r="306" spans="1:13" ht="20" customHeight="1" x14ac:dyDescent="0.15">
      <c r="A306" s="12"/>
      <c r="B306" s="13" t="s">
        <v>277</v>
      </c>
      <c r="C306" s="14" t="s">
        <v>57</v>
      </c>
      <c r="D306" s="15" t="s">
        <v>114</v>
      </c>
      <c r="E306" s="15" t="s">
        <v>312</v>
      </c>
      <c r="F306" s="16">
        <v>564</v>
      </c>
      <c r="G306" s="17">
        <v>23783.54</v>
      </c>
      <c r="H306" s="17">
        <v>5997.33</v>
      </c>
      <c r="I306" s="17">
        <v>13413916.560000001</v>
      </c>
      <c r="J306" s="15" t="s">
        <v>28</v>
      </c>
      <c r="K306" s="15" t="s">
        <v>18</v>
      </c>
      <c r="L306" s="9">
        <f>YEAR(E306)</f>
        <v>2021</v>
      </c>
      <c r="M306" s="11">
        <f t="shared" si="6"/>
        <v>3382494.12</v>
      </c>
    </row>
    <row r="307" spans="1:13" ht="20" customHeight="1" x14ac:dyDescent="0.15">
      <c r="A307" s="12"/>
      <c r="B307" s="13" t="s">
        <v>277</v>
      </c>
      <c r="C307" s="14" t="s">
        <v>38</v>
      </c>
      <c r="D307" s="15" t="s">
        <v>114</v>
      </c>
      <c r="E307" s="15" t="s">
        <v>84</v>
      </c>
      <c r="F307" s="16">
        <v>741</v>
      </c>
      <c r="G307" s="17">
        <v>29609.45</v>
      </c>
      <c r="H307" s="17">
        <v>7089.59</v>
      </c>
      <c r="I307" s="17">
        <v>21940602.449999999</v>
      </c>
      <c r="J307" s="15" t="s">
        <v>22</v>
      </c>
      <c r="K307" s="15" t="s">
        <v>18</v>
      </c>
      <c r="L307" s="9">
        <f>YEAR(E307)</f>
        <v>2021</v>
      </c>
      <c r="M307" s="11">
        <f t="shared" si="6"/>
        <v>5253386.1900000004</v>
      </c>
    </row>
    <row r="308" spans="1:13" ht="20" customHeight="1" x14ac:dyDescent="0.15">
      <c r="A308" s="12"/>
      <c r="B308" s="13" t="s">
        <v>277</v>
      </c>
      <c r="C308" s="14" t="s">
        <v>43</v>
      </c>
      <c r="D308" s="15" t="s">
        <v>15</v>
      </c>
      <c r="E308" s="15" t="s">
        <v>319</v>
      </c>
      <c r="F308" s="16">
        <v>310</v>
      </c>
      <c r="G308" s="17">
        <v>27530.43</v>
      </c>
      <c r="H308" s="17">
        <v>2895.68</v>
      </c>
      <c r="I308" s="19">
        <v>8534433.3000000007</v>
      </c>
      <c r="J308" s="15" t="s">
        <v>17</v>
      </c>
      <c r="K308" s="15" t="s">
        <v>18</v>
      </c>
      <c r="L308" s="9">
        <f>YEAR(E308)</f>
        <v>2021</v>
      </c>
      <c r="M308" s="11">
        <f t="shared" si="6"/>
        <v>897660.79999999993</v>
      </c>
    </row>
    <row r="309" spans="1:13" ht="20" customHeight="1" x14ac:dyDescent="0.15">
      <c r="A309" s="12"/>
      <c r="B309" s="13" t="s">
        <v>277</v>
      </c>
      <c r="C309" s="14" t="s">
        <v>19</v>
      </c>
      <c r="D309" s="15" t="s">
        <v>15</v>
      </c>
      <c r="E309" s="15" t="s">
        <v>320</v>
      </c>
      <c r="F309" s="16">
        <v>999</v>
      </c>
      <c r="G309" s="17">
        <v>35396.620000000003</v>
      </c>
      <c r="H309" s="17">
        <v>6036.55</v>
      </c>
      <c r="I309" s="17">
        <v>35361223.380000003</v>
      </c>
      <c r="J309" s="15" t="s">
        <v>28</v>
      </c>
      <c r="K309" s="15" t="s">
        <v>18</v>
      </c>
      <c r="L309" s="9">
        <f>YEAR(E309)</f>
        <v>2021</v>
      </c>
      <c r="M309" s="11">
        <f t="shared" si="6"/>
        <v>6030513.4500000002</v>
      </c>
    </row>
    <row r="310" spans="1:13" ht="20" customHeight="1" x14ac:dyDescent="0.15">
      <c r="A310" s="12"/>
      <c r="B310" s="13" t="s">
        <v>277</v>
      </c>
      <c r="C310" s="14" t="s">
        <v>57</v>
      </c>
      <c r="D310" s="15" t="s">
        <v>26</v>
      </c>
      <c r="E310" s="15" t="s">
        <v>331</v>
      </c>
      <c r="F310" s="16">
        <v>815</v>
      </c>
      <c r="G310" s="17">
        <v>12663.48</v>
      </c>
      <c r="H310" s="19">
        <v>6749.3</v>
      </c>
      <c r="I310" s="19">
        <v>10320736.199999999</v>
      </c>
      <c r="J310" s="15" t="s">
        <v>22</v>
      </c>
      <c r="K310" s="15" t="s">
        <v>18</v>
      </c>
      <c r="L310" s="9">
        <f>YEAR(E310)</f>
        <v>2021</v>
      </c>
      <c r="M310" s="11">
        <f t="shared" si="6"/>
        <v>5500679.5</v>
      </c>
    </row>
    <row r="311" spans="1:13" ht="20" customHeight="1" x14ac:dyDescent="0.15">
      <c r="A311" s="12"/>
      <c r="B311" s="13" t="s">
        <v>277</v>
      </c>
      <c r="C311" s="14" t="s">
        <v>14</v>
      </c>
      <c r="D311" s="15" t="s">
        <v>26</v>
      </c>
      <c r="E311" s="15" t="s">
        <v>32</v>
      </c>
      <c r="F311" s="16">
        <v>573</v>
      </c>
      <c r="G311" s="17">
        <v>47666.720000000001</v>
      </c>
      <c r="H311" s="19">
        <v>9323.9</v>
      </c>
      <c r="I311" s="17">
        <v>27313030.559999999</v>
      </c>
      <c r="J311" s="15" t="s">
        <v>17</v>
      </c>
      <c r="K311" s="15" t="s">
        <v>18</v>
      </c>
      <c r="L311" s="9">
        <f>YEAR(E311)</f>
        <v>2021</v>
      </c>
      <c r="M311" s="11">
        <f t="shared" si="6"/>
        <v>5342594.7</v>
      </c>
    </row>
    <row r="312" spans="1:13" ht="20" customHeight="1" x14ac:dyDescent="0.15">
      <c r="A312" s="12"/>
      <c r="B312" s="13" t="s">
        <v>277</v>
      </c>
      <c r="C312" s="14" t="s">
        <v>79</v>
      </c>
      <c r="D312" s="15" t="s">
        <v>68</v>
      </c>
      <c r="E312" s="15" t="s">
        <v>341</v>
      </c>
      <c r="F312" s="16">
        <v>871</v>
      </c>
      <c r="G312" s="17">
        <v>44322.34</v>
      </c>
      <c r="H312" s="17">
        <v>4441.17</v>
      </c>
      <c r="I312" s="17">
        <v>38604758.140000001</v>
      </c>
      <c r="J312" s="15" t="s">
        <v>17</v>
      </c>
      <c r="K312" s="15" t="s">
        <v>18</v>
      </c>
      <c r="L312" s="9">
        <f>YEAR(E312)</f>
        <v>2021</v>
      </c>
      <c r="M312" s="11">
        <f t="shared" si="6"/>
        <v>3868259.07</v>
      </c>
    </row>
    <row r="313" spans="1:13" ht="20" customHeight="1" x14ac:dyDescent="0.15">
      <c r="A313" s="12"/>
      <c r="B313" s="13" t="s">
        <v>277</v>
      </c>
      <c r="C313" s="14" t="s">
        <v>19</v>
      </c>
      <c r="D313" s="15" t="s">
        <v>68</v>
      </c>
      <c r="E313" s="15" t="s">
        <v>342</v>
      </c>
      <c r="F313" s="16">
        <v>385</v>
      </c>
      <c r="G313" s="17">
        <v>42207.48</v>
      </c>
      <c r="H313" s="19">
        <v>2035.1</v>
      </c>
      <c r="I313" s="19">
        <v>16249879.800000001</v>
      </c>
      <c r="J313" s="15" t="s">
        <v>17</v>
      </c>
      <c r="K313" s="15" t="s">
        <v>18</v>
      </c>
      <c r="L313" s="9">
        <f>YEAR(E313)</f>
        <v>2021</v>
      </c>
      <c r="M313" s="11">
        <f t="shared" si="6"/>
        <v>783513.5</v>
      </c>
    </row>
    <row r="314" spans="1:13" ht="20" customHeight="1" x14ac:dyDescent="0.15">
      <c r="A314" s="12"/>
      <c r="B314" s="13" t="s">
        <v>277</v>
      </c>
      <c r="C314" s="14" t="s">
        <v>38</v>
      </c>
      <c r="D314" s="15" t="s">
        <v>68</v>
      </c>
      <c r="E314" s="15" t="s">
        <v>345</v>
      </c>
      <c r="F314" s="16">
        <v>619</v>
      </c>
      <c r="G314" s="17">
        <v>35120.03</v>
      </c>
      <c r="H314" s="17">
        <v>4158.59</v>
      </c>
      <c r="I314" s="17">
        <v>21739298.57</v>
      </c>
      <c r="J314" s="15" t="s">
        <v>30</v>
      </c>
      <c r="K314" s="15" t="s">
        <v>18</v>
      </c>
      <c r="L314" s="9">
        <f>YEAR(E314)</f>
        <v>2021</v>
      </c>
      <c r="M314" s="11">
        <f t="shared" si="6"/>
        <v>2574167.21</v>
      </c>
    </row>
    <row r="315" spans="1:13" ht="20" customHeight="1" x14ac:dyDescent="0.15">
      <c r="A315" s="12"/>
      <c r="B315" s="13" t="s">
        <v>277</v>
      </c>
      <c r="C315" s="14" t="s">
        <v>14</v>
      </c>
      <c r="D315" s="15" t="s">
        <v>68</v>
      </c>
      <c r="E315" s="15" t="s">
        <v>346</v>
      </c>
      <c r="F315" s="16">
        <v>673</v>
      </c>
      <c r="G315" s="17">
        <v>49924.06</v>
      </c>
      <c r="H315" s="17">
        <v>9726.7900000000009</v>
      </c>
      <c r="I315" s="17">
        <v>33598892.380000003</v>
      </c>
      <c r="J315" s="15" t="s">
        <v>17</v>
      </c>
      <c r="K315" s="15" t="s">
        <v>18</v>
      </c>
      <c r="L315" s="9">
        <f>YEAR(E315)</f>
        <v>2021</v>
      </c>
      <c r="M315" s="11">
        <f t="shared" si="6"/>
        <v>6546129.6700000009</v>
      </c>
    </row>
    <row r="316" spans="1:13" ht="20" customHeight="1" x14ac:dyDescent="0.15">
      <c r="A316" s="12"/>
      <c r="B316" s="13" t="s">
        <v>277</v>
      </c>
      <c r="C316" s="14" t="s">
        <v>38</v>
      </c>
      <c r="D316" s="15" t="s">
        <v>68</v>
      </c>
      <c r="E316" s="15" t="s">
        <v>347</v>
      </c>
      <c r="F316" s="16">
        <v>673</v>
      </c>
      <c r="G316" s="16">
        <v>45974</v>
      </c>
      <c r="H316" s="17">
        <v>7313.46</v>
      </c>
      <c r="I316" s="16">
        <v>30940502</v>
      </c>
      <c r="J316" s="15" t="s">
        <v>17</v>
      </c>
      <c r="K316" s="15" t="s">
        <v>18</v>
      </c>
      <c r="L316" s="9">
        <f>YEAR(E316)</f>
        <v>2021</v>
      </c>
      <c r="M316" s="11">
        <f t="shared" si="6"/>
        <v>4921958.58</v>
      </c>
    </row>
    <row r="317" spans="1:13" ht="20" customHeight="1" x14ac:dyDescent="0.15">
      <c r="A317" s="12"/>
      <c r="B317" s="13" t="s">
        <v>277</v>
      </c>
      <c r="C317" s="14" t="s">
        <v>19</v>
      </c>
      <c r="D317" s="15" t="s">
        <v>68</v>
      </c>
      <c r="E317" s="15" t="s">
        <v>349</v>
      </c>
      <c r="F317" s="16">
        <v>480</v>
      </c>
      <c r="G317" s="17">
        <v>12519.37</v>
      </c>
      <c r="H317" s="17">
        <v>8790.94</v>
      </c>
      <c r="I317" s="19">
        <v>6009297.5999999996</v>
      </c>
      <c r="J317" s="15" t="s">
        <v>17</v>
      </c>
      <c r="K317" s="15" t="s">
        <v>18</v>
      </c>
      <c r="L317" s="9">
        <f>YEAR(E317)</f>
        <v>2021</v>
      </c>
      <c r="M317" s="11">
        <f t="shared" si="6"/>
        <v>4219651.2</v>
      </c>
    </row>
    <row r="318" spans="1:13" ht="20" customHeight="1" x14ac:dyDescent="0.15">
      <c r="A318" s="12"/>
      <c r="B318" s="13" t="s">
        <v>277</v>
      </c>
      <c r="C318" s="14" t="s">
        <v>43</v>
      </c>
      <c r="D318" s="15" t="s">
        <v>68</v>
      </c>
      <c r="E318" s="15" t="s">
        <v>354</v>
      </c>
      <c r="F318" s="16">
        <v>296</v>
      </c>
      <c r="G318" s="17">
        <v>15129.48</v>
      </c>
      <c r="H318" s="17">
        <v>8612.34</v>
      </c>
      <c r="I318" s="17">
        <v>4478326.08</v>
      </c>
      <c r="J318" s="15" t="s">
        <v>17</v>
      </c>
      <c r="K318" s="15" t="s">
        <v>18</v>
      </c>
      <c r="L318" s="9">
        <f>YEAR(E318)</f>
        <v>2021</v>
      </c>
      <c r="M318" s="11">
        <f t="shared" si="6"/>
        <v>2549252.64</v>
      </c>
    </row>
    <row r="319" spans="1:13" ht="20" customHeight="1" x14ac:dyDescent="0.15">
      <c r="A319" s="12"/>
      <c r="B319" s="13" t="s">
        <v>277</v>
      </c>
      <c r="C319" s="14" t="s">
        <v>38</v>
      </c>
      <c r="D319" s="15" t="s">
        <v>70</v>
      </c>
      <c r="E319" s="15" t="s">
        <v>359</v>
      </c>
      <c r="F319" s="16">
        <v>648</v>
      </c>
      <c r="G319" s="17">
        <v>32276.01</v>
      </c>
      <c r="H319" s="17">
        <v>3180.07</v>
      </c>
      <c r="I319" s="17">
        <v>20914854.48</v>
      </c>
      <c r="J319" s="15" t="s">
        <v>17</v>
      </c>
      <c r="K319" s="15" t="s">
        <v>18</v>
      </c>
      <c r="L319" s="9">
        <f>YEAR(E319)</f>
        <v>2021</v>
      </c>
      <c r="M319" s="11">
        <f t="shared" si="6"/>
        <v>2060685.36</v>
      </c>
    </row>
    <row r="320" spans="1:13" ht="20" customHeight="1" x14ac:dyDescent="0.15">
      <c r="A320" s="12"/>
      <c r="B320" s="13" t="s">
        <v>277</v>
      </c>
      <c r="C320" s="14" t="s">
        <v>23</v>
      </c>
      <c r="D320" s="15" t="s">
        <v>70</v>
      </c>
      <c r="E320" s="15" t="s">
        <v>361</v>
      </c>
      <c r="F320" s="16">
        <v>571</v>
      </c>
      <c r="G320" s="17">
        <v>27712.14</v>
      </c>
      <c r="H320" s="17">
        <v>6221.24</v>
      </c>
      <c r="I320" s="17">
        <v>15823631.939999999</v>
      </c>
      <c r="J320" s="15" t="s">
        <v>17</v>
      </c>
      <c r="K320" s="15" t="s">
        <v>18</v>
      </c>
      <c r="L320" s="9">
        <f>YEAR(E320)</f>
        <v>2021</v>
      </c>
      <c r="M320" s="11">
        <f t="shared" si="6"/>
        <v>3552328.04</v>
      </c>
    </row>
    <row r="321" spans="1:13" ht="20" customHeight="1" x14ac:dyDescent="0.15">
      <c r="A321" s="12"/>
      <c r="B321" s="13" t="s">
        <v>277</v>
      </c>
      <c r="C321" s="14" t="s">
        <v>31</v>
      </c>
      <c r="D321" s="15" t="s">
        <v>107</v>
      </c>
      <c r="E321" s="15" t="s">
        <v>41</v>
      </c>
      <c r="F321" s="16">
        <v>660</v>
      </c>
      <c r="G321" s="17">
        <v>29898.29</v>
      </c>
      <c r="H321" s="17">
        <v>3852.77</v>
      </c>
      <c r="I321" s="19">
        <v>19732871.399999999</v>
      </c>
      <c r="J321" s="15" t="s">
        <v>17</v>
      </c>
      <c r="K321" s="15" t="s">
        <v>18</v>
      </c>
      <c r="L321" s="9">
        <f>YEAR(E321)</f>
        <v>2021</v>
      </c>
      <c r="M321" s="11">
        <f t="shared" si="6"/>
        <v>2542828.2000000002</v>
      </c>
    </row>
    <row r="322" spans="1:13" ht="20" customHeight="1" x14ac:dyDescent="0.15">
      <c r="A322" s="12"/>
      <c r="B322" s="13" t="s">
        <v>277</v>
      </c>
      <c r="C322" s="14" t="s">
        <v>25</v>
      </c>
      <c r="D322" s="15" t="s">
        <v>107</v>
      </c>
      <c r="E322" s="15" t="s">
        <v>366</v>
      </c>
      <c r="F322" s="16">
        <v>564</v>
      </c>
      <c r="G322" s="17">
        <v>18024.78</v>
      </c>
      <c r="H322" s="17">
        <v>9857.8700000000008</v>
      </c>
      <c r="I322" s="17">
        <v>10165975.92</v>
      </c>
      <c r="J322" s="15" t="s">
        <v>17</v>
      </c>
      <c r="K322" s="15" t="s">
        <v>18</v>
      </c>
      <c r="L322" s="9">
        <f>YEAR(E322)</f>
        <v>2021</v>
      </c>
      <c r="M322" s="11">
        <f t="shared" si="6"/>
        <v>5559838.6800000006</v>
      </c>
    </row>
    <row r="323" spans="1:13" ht="20" customHeight="1" x14ac:dyDescent="0.15">
      <c r="A323" s="12"/>
      <c r="B323" s="13" t="s">
        <v>277</v>
      </c>
      <c r="C323" s="14" t="s">
        <v>38</v>
      </c>
      <c r="D323" s="15" t="s">
        <v>107</v>
      </c>
      <c r="E323" s="15" t="s">
        <v>368</v>
      </c>
      <c r="F323" s="16">
        <v>544</v>
      </c>
      <c r="G323" s="17">
        <v>31992.21</v>
      </c>
      <c r="H323" s="17">
        <v>6314.66</v>
      </c>
      <c r="I323" s="17">
        <v>17403762.239999998</v>
      </c>
      <c r="J323" s="15" t="s">
        <v>28</v>
      </c>
      <c r="K323" s="15" t="s">
        <v>18</v>
      </c>
      <c r="L323" s="9">
        <f>YEAR(E323)</f>
        <v>2021</v>
      </c>
      <c r="M323" s="11">
        <f t="shared" si="6"/>
        <v>3435175.04</v>
      </c>
    </row>
    <row r="324" spans="1:13" ht="20" customHeight="1" x14ac:dyDescent="0.15">
      <c r="A324" s="12"/>
      <c r="B324" s="13" t="s">
        <v>277</v>
      </c>
      <c r="C324" s="14" t="s">
        <v>38</v>
      </c>
      <c r="D324" s="15" t="s">
        <v>89</v>
      </c>
      <c r="E324" s="15" t="s">
        <v>379</v>
      </c>
      <c r="F324" s="16">
        <v>605</v>
      </c>
      <c r="G324" s="17">
        <v>32275.27</v>
      </c>
      <c r="H324" s="17">
        <v>4331.41</v>
      </c>
      <c r="I324" s="17">
        <v>19526538.350000001</v>
      </c>
      <c r="J324" s="15" t="s">
        <v>17</v>
      </c>
      <c r="K324" s="15" t="s">
        <v>18</v>
      </c>
      <c r="L324" s="9">
        <f>YEAR(E324)</f>
        <v>2021</v>
      </c>
      <c r="M324" s="11">
        <f t="shared" si="6"/>
        <v>2620503.0499999998</v>
      </c>
    </row>
    <row r="325" spans="1:13" ht="20" customHeight="1" x14ac:dyDescent="0.15">
      <c r="A325" s="12"/>
      <c r="B325" s="13" t="s">
        <v>277</v>
      </c>
      <c r="C325" s="14" t="s">
        <v>25</v>
      </c>
      <c r="D325" s="15" t="s">
        <v>89</v>
      </c>
      <c r="E325" s="15" t="s">
        <v>382</v>
      </c>
      <c r="F325" s="16">
        <v>520</v>
      </c>
      <c r="G325" s="17">
        <v>25128.16</v>
      </c>
      <c r="H325" s="17">
        <v>3894.72</v>
      </c>
      <c r="I325" s="19">
        <v>13066643.199999999</v>
      </c>
      <c r="J325" s="15" t="s">
        <v>17</v>
      </c>
      <c r="K325" s="15" t="s">
        <v>18</v>
      </c>
      <c r="L325" s="9">
        <f>YEAR(E325)</f>
        <v>2021</v>
      </c>
      <c r="M325" s="11">
        <f t="shared" ref="M325:M388" si="7">H325*F325</f>
        <v>2025254.4</v>
      </c>
    </row>
    <row r="326" spans="1:13" ht="20" customHeight="1" x14ac:dyDescent="0.15">
      <c r="A326" s="12"/>
      <c r="B326" s="13" t="s">
        <v>277</v>
      </c>
      <c r="C326" s="14" t="s">
        <v>31</v>
      </c>
      <c r="D326" s="15" t="s">
        <v>153</v>
      </c>
      <c r="E326" s="15" t="s">
        <v>388</v>
      </c>
      <c r="F326" s="16">
        <v>820</v>
      </c>
      <c r="G326" s="17">
        <v>15596.18</v>
      </c>
      <c r="H326" s="17">
        <v>8725.66</v>
      </c>
      <c r="I326" s="19">
        <v>12788867.6</v>
      </c>
      <c r="J326" s="15" t="s">
        <v>17</v>
      </c>
      <c r="K326" s="15" t="s">
        <v>18</v>
      </c>
      <c r="L326" s="9">
        <f>YEAR(E326)</f>
        <v>2021</v>
      </c>
      <c r="M326" s="11">
        <f t="shared" si="7"/>
        <v>7155041.2000000002</v>
      </c>
    </row>
    <row r="327" spans="1:13" ht="20" customHeight="1" x14ac:dyDescent="0.15">
      <c r="A327" s="12"/>
      <c r="B327" s="13" t="s">
        <v>277</v>
      </c>
      <c r="C327" s="14" t="s">
        <v>14</v>
      </c>
      <c r="D327" s="15" t="s">
        <v>53</v>
      </c>
      <c r="E327" s="15" t="s">
        <v>248</v>
      </c>
      <c r="F327" s="16">
        <v>199</v>
      </c>
      <c r="G327" s="17">
        <v>46862.07</v>
      </c>
      <c r="H327" s="19">
        <v>7340.8</v>
      </c>
      <c r="I327" s="17">
        <v>9325551.9299999997</v>
      </c>
      <c r="J327" s="15" t="s">
        <v>30</v>
      </c>
      <c r="K327" s="15" t="s">
        <v>18</v>
      </c>
      <c r="L327" s="9">
        <f>YEAR(E327)</f>
        <v>2022</v>
      </c>
      <c r="M327" s="11">
        <f t="shared" si="7"/>
        <v>1460819.2</v>
      </c>
    </row>
    <row r="328" spans="1:13" ht="20" customHeight="1" x14ac:dyDescent="0.15">
      <c r="A328" s="12"/>
      <c r="B328" s="13" t="s">
        <v>277</v>
      </c>
      <c r="C328" s="14" t="s">
        <v>14</v>
      </c>
      <c r="D328" s="15" t="s">
        <v>53</v>
      </c>
      <c r="E328" s="15" t="s">
        <v>278</v>
      </c>
      <c r="F328" s="16">
        <v>604</v>
      </c>
      <c r="G328" s="17">
        <v>37692.51</v>
      </c>
      <c r="H328" s="17">
        <v>5514.53</v>
      </c>
      <c r="I328" s="17">
        <v>22766276.039999999</v>
      </c>
      <c r="J328" s="15" t="s">
        <v>22</v>
      </c>
      <c r="K328" s="15" t="s">
        <v>18</v>
      </c>
      <c r="L328" s="9">
        <f>YEAR(E328)</f>
        <v>2022</v>
      </c>
      <c r="M328" s="11">
        <f t="shared" si="7"/>
        <v>3330776.1199999996</v>
      </c>
    </row>
    <row r="329" spans="1:13" ht="20" customHeight="1" x14ac:dyDescent="0.15">
      <c r="A329" s="12"/>
      <c r="B329" s="13" t="s">
        <v>277</v>
      </c>
      <c r="C329" s="14" t="s">
        <v>57</v>
      </c>
      <c r="D329" s="15" t="s">
        <v>53</v>
      </c>
      <c r="E329" s="15" t="s">
        <v>279</v>
      </c>
      <c r="F329" s="16">
        <v>270</v>
      </c>
      <c r="G329" s="17">
        <v>14740.11</v>
      </c>
      <c r="H329" s="17">
        <v>4400.0600000000004</v>
      </c>
      <c r="I329" s="19">
        <v>3979829.7</v>
      </c>
      <c r="J329" s="15" t="s">
        <v>17</v>
      </c>
      <c r="K329" s="15" t="s">
        <v>18</v>
      </c>
      <c r="L329" s="9">
        <f>YEAR(E329)</f>
        <v>2022</v>
      </c>
      <c r="M329" s="11">
        <f t="shared" si="7"/>
        <v>1188016.2000000002</v>
      </c>
    </row>
    <row r="330" spans="1:13" ht="20" customHeight="1" x14ac:dyDescent="0.15">
      <c r="A330" s="12"/>
      <c r="B330" s="13" t="s">
        <v>277</v>
      </c>
      <c r="C330" s="14" t="s">
        <v>25</v>
      </c>
      <c r="D330" s="15" t="s">
        <v>53</v>
      </c>
      <c r="E330" s="15" t="s">
        <v>287</v>
      </c>
      <c r="F330" s="16">
        <v>438</v>
      </c>
      <c r="G330" s="17">
        <v>43305.68</v>
      </c>
      <c r="H330" s="17">
        <v>9195.7199999999993</v>
      </c>
      <c r="I330" s="17">
        <v>18967887.84</v>
      </c>
      <c r="J330" s="15" t="s">
        <v>17</v>
      </c>
      <c r="K330" s="15" t="s">
        <v>18</v>
      </c>
      <c r="L330" s="9">
        <f>YEAR(E330)</f>
        <v>2022</v>
      </c>
      <c r="M330" s="11">
        <f t="shared" si="7"/>
        <v>4027725.36</v>
      </c>
    </row>
    <row r="331" spans="1:13" ht="20" customHeight="1" x14ac:dyDescent="0.15">
      <c r="A331" s="12"/>
      <c r="B331" s="13" t="s">
        <v>277</v>
      </c>
      <c r="C331" s="14" t="s">
        <v>35</v>
      </c>
      <c r="D331" s="15" t="s">
        <v>53</v>
      </c>
      <c r="E331" s="15" t="s">
        <v>290</v>
      </c>
      <c r="F331" s="16">
        <v>930</v>
      </c>
      <c r="G331" s="17">
        <v>40089.03</v>
      </c>
      <c r="H331" s="17">
        <v>8651.1200000000008</v>
      </c>
      <c r="I331" s="19">
        <v>37282797.899999999</v>
      </c>
      <c r="J331" s="15" t="s">
        <v>22</v>
      </c>
      <c r="K331" s="15" t="s">
        <v>18</v>
      </c>
      <c r="L331" s="9">
        <f>YEAR(E331)</f>
        <v>2022</v>
      </c>
      <c r="M331" s="11">
        <f t="shared" si="7"/>
        <v>8045541.6000000006</v>
      </c>
    </row>
    <row r="332" spans="1:13" ht="20" customHeight="1" x14ac:dyDescent="0.15">
      <c r="A332" s="12"/>
      <c r="B332" s="13" t="s">
        <v>277</v>
      </c>
      <c r="C332" s="14" t="s">
        <v>19</v>
      </c>
      <c r="D332" s="15" t="s">
        <v>53</v>
      </c>
      <c r="E332" s="15" t="s">
        <v>291</v>
      </c>
      <c r="F332" s="16">
        <v>930</v>
      </c>
      <c r="G332" s="17">
        <v>10155.64</v>
      </c>
      <c r="H332" s="19">
        <v>7680.1</v>
      </c>
      <c r="I332" s="19">
        <v>9444745.1999999993</v>
      </c>
      <c r="J332" s="15" t="s">
        <v>17</v>
      </c>
      <c r="K332" s="15" t="s">
        <v>18</v>
      </c>
      <c r="L332" s="9">
        <f>YEAR(E332)</f>
        <v>2022</v>
      </c>
      <c r="M332" s="11">
        <f t="shared" si="7"/>
        <v>7142493</v>
      </c>
    </row>
    <row r="333" spans="1:13" ht="20" customHeight="1" x14ac:dyDescent="0.15">
      <c r="A333" s="12"/>
      <c r="B333" s="13" t="s">
        <v>277</v>
      </c>
      <c r="C333" s="14" t="s">
        <v>35</v>
      </c>
      <c r="D333" s="15" t="s">
        <v>53</v>
      </c>
      <c r="E333" s="15" t="s">
        <v>296</v>
      </c>
      <c r="F333" s="16">
        <v>752</v>
      </c>
      <c r="G333" s="19">
        <v>33682.199999999997</v>
      </c>
      <c r="H333" s="17">
        <v>2116.71</v>
      </c>
      <c r="I333" s="19">
        <v>25329014.399999999</v>
      </c>
      <c r="J333" s="15" t="s">
        <v>17</v>
      </c>
      <c r="K333" s="15" t="s">
        <v>18</v>
      </c>
      <c r="L333" s="9">
        <f>YEAR(E333)</f>
        <v>2022</v>
      </c>
      <c r="M333" s="11">
        <f t="shared" si="7"/>
        <v>1591765.92</v>
      </c>
    </row>
    <row r="334" spans="1:13" ht="20" customHeight="1" x14ac:dyDescent="0.15">
      <c r="A334" s="12"/>
      <c r="B334" s="13" t="s">
        <v>277</v>
      </c>
      <c r="C334" s="14" t="s">
        <v>79</v>
      </c>
      <c r="D334" s="15" t="s">
        <v>139</v>
      </c>
      <c r="E334" s="15" t="s">
        <v>298</v>
      </c>
      <c r="F334" s="16">
        <v>285</v>
      </c>
      <c r="G334" s="17">
        <v>31583.71</v>
      </c>
      <c r="H334" s="17">
        <v>7018.27</v>
      </c>
      <c r="I334" s="17">
        <v>9001357.3499999996</v>
      </c>
      <c r="J334" s="15" t="s">
        <v>17</v>
      </c>
      <c r="K334" s="15" t="s">
        <v>18</v>
      </c>
      <c r="L334" s="9">
        <f>YEAR(E334)</f>
        <v>2022</v>
      </c>
      <c r="M334" s="11">
        <f t="shared" si="7"/>
        <v>2000206.9500000002</v>
      </c>
    </row>
    <row r="335" spans="1:13" ht="20" customHeight="1" x14ac:dyDescent="0.15">
      <c r="A335" s="12"/>
      <c r="B335" s="13" t="s">
        <v>277</v>
      </c>
      <c r="C335" s="14" t="s">
        <v>57</v>
      </c>
      <c r="D335" s="15" t="s">
        <v>139</v>
      </c>
      <c r="E335" s="15" t="s">
        <v>302</v>
      </c>
      <c r="F335" s="16">
        <v>881</v>
      </c>
      <c r="G335" s="17">
        <v>26436.880000000001</v>
      </c>
      <c r="H335" s="17">
        <v>3810.84</v>
      </c>
      <c r="I335" s="17">
        <v>23290891.280000001</v>
      </c>
      <c r="J335" s="15" t="s">
        <v>22</v>
      </c>
      <c r="K335" s="15" t="s">
        <v>18</v>
      </c>
      <c r="L335" s="9">
        <f>YEAR(E335)</f>
        <v>2022</v>
      </c>
      <c r="M335" s="11">
        <f t="shared" si="7"/>
        <v>3357350.04</v>
      </c>
    </row>
    <row r="336" spans="1:13" ht="20" customHeight="1" x14ac:dyDescent="0.15">
      <c r="A336" s="12"/>
      <c r="B336" s="13" t="s">
        <v>277</v>
      </c>
      <c r="C336" s="14" t="s">
        <v>43</v>
      </c>
      <c r="D336" s="15" t="s">
        <v>139</v>
      </c>
      <c r="E336" s="15" t="s">
        <v>271</v>
      </c>
      <c r="F336" s="16">
        <v>340</v>
      </c>
      <c r="G336" s="17">
        <v>26117.99</v>
      </c>
      <c r="H336" s="17">
        <v>2018.73</v>
      </c>
      <c r="I336" s="19">
        <v>8880116.5999999996</v>
      </c>
      <c r="J336" s="15" t="s">
        <v>17</v>
      </c>
      <c r="K336" s="15" t="s">
        <v>18</v>
      </c>
      <c r="L336" s="9">
        <f>YEAR(E336)</f>
        <v>2022</v>
      </c>
      <c r="M336" s="11">
        <f t="shared" si="7"/>
        <v>686368.2</v>
      </c>
    </row>
    <row r="337" spans="1:13" ht="20" customHeight="1" x14ac:dyDescent="0.15">
      <c r="A337" s="12"/>
      <c r="B337" s="13" t="s">
        <v>277</v>
      </c>
      <c r="C337" s="14" t="s">
        <v>79</v>
      </c>
      <c r="D337" s="15" t="s">
        <v>139</v>
      </c>
      <c r="E337" s="15" t="s">
        <v>304</v>
      </c>
      <c r="F337" s="16">
        <v>980</v>
      </c>
      <c r="G337" s="17">
        <v>36784.33</v>
      </c>
      <c r="H337" s="17">
        <v>3862.81</v>
      </c>
      <c r="I337" s="19">
        <v>36048643.399999999</v>
      </c>
      <c r="J337" s="15" t="s">
        <v>17</v>
      </c>
      <c r="K337" s="15" t="s">
        <v>18</v>
      </c>
      <c r="L337" s="9">
        <f>YEAR(E337)</f>
        <v>2022</v>
      </c>
      <c r="M337" s="11">
        <f t="shared" si="7"/>
        <v>3785553.8</v>
      </c>
    </row>
    <row r="338" spans="1:13" ht="20" customHeight="1" x14ac:dyDescent="0.15">
      <c r="A338" s="12"/>
      <c r="B338" s="13" t="s">
        <v>277</v>
      </c>
      <c r="C338" s="14" t="s">
        <v>25</v>
      </c>
      <c r="D338" s="15" t="s">
        <v>139</v>
      </c>
      <c r="E338" s="15" t="s">
        <v>306</v>
      </c>
      <c r="F338" s="16">
        <v>640</v>
      </c>
      <c r="G338" s="19">
        <v>37592.199999999997</v>
      </c>
      <c r="H338" s="17">
        <v>7882.03</v>
      </c>
      <c r="I338" s="16">
        <v>24059008</v>
      </c>
      <c r="J338" s="15" t="s">
        <v>17</v>
      </c>
      <c r="K338" s="15" t="s">
        <v>18</v>
      </c>
      <c r="L338" s="9">
        <f>YEAR(E338)</f>
        <v>2022</v>
      </c>
      <c r="M338" s="11">
        <f t="shared" si="7"/>
        <v>5044499.2</v>
      </c>
    </row>
    <row r="339" spans="1:13" ht="20" customHeight="1" x14ac:dyDescent="0.15">
      <c r="A339" s="12"/>
      <c r="B339" s="13" t="s">
        <v>277</v>
      </c>
      <c r="C339" s="14" t="s">
        <v>57</v>
      </c>
      <c r="D339" s="15" t="s">
        <v>70</v>
      </c>
      <c r="E339" s="15" t="s">
        <v>306</v>
      </c>
      <c r="F339" s="16">
        <v>331</v>
      </c>
      <c r="G339" s="17">
        <v>40975.54</v>
      </c>
      <c r="H339" s="17">
        <v>5778.24</v>
      </c>
      <c r="I339" s="17">
        <v>13562903.74</v>
      </c>
      <c r="J339" s="15" t="s">
        <v>30</v>
      </c>
      <c r="K339" s="15" t="s">
        <v>18</v>
      </c>
      <c r="L339" s="9">
        <f>YEAR(E339)</f>
        <v>2022</v>
      </c>
      <c r="M339" s="11">
        <f t="shared" si="7"/>
        <v>1912597.44</v>
      </c>
    </row>
    <row r="340" spans="1:13" ht="20" customHeight="1" x14ac:dyDescent="0.15">
      <c r="A340" s="12"/>
      <c r="B340" s="13" t="s">
        <v>277</v>
      </c>
      <c r="C340" s="14" t="s">
        <v>23</v>
      </c>
      <c r="D340" s="15" t="s">
        <v>139</v>
      </c>
      <c r="E340" s="15" t="s">
        <v>307</v>
      </c>
      <c r="F340" s="16">
        <v>337</v>
      </c>
      <c r="G340" s="17">
        <v>12898.06</v>
      </c>
      <c r="H340" s="19">
        <v>2443.4</v>
      </c>
      <c r="I340" s="17">
        <v>4346646.22</v>
      </c>
      <c r="J340" s="15" t="s">
        <v>17</v>
      </c>
      <c r="K340" s="15" t="s">
        <v>18</v>
      </c>
      <c r="L340" s="9">
        <f>YEAR(E340)</f>
        <v>2022</v>
      </c>
      <c r="M340" s="11">
        <f t="shared" si="7"/>
        <v>823425.8</v>
      </c>
    </row>
    <row r="341" spans="1:13" ht="20" customHeight="1" x14ac:dyDescent="0.15">
      <c r="A341" s="12"/>
      <c r="B341" s="13" t="s">
        <v>277</v>
      </c>
      <c r="C341" s="14" t="s">
        <v>57</v>
      </c>
      <c r="D341" s="15" t="s">
        <v>114</v>
      </c>
      <c r="E341" s="15" t="s">
        <v>309</v>
      </c>
      <c r="F341" s="16">
        <v>273</v>
      </c>
      <c r="G341" s="17">
        <v>29358.38</v>
      </c>
      <c r="H341" s="17">
        <v>5452.34</v>
      </c>
      <c r="I341" s="17">
        <v>8014837.7400000002</v>
      </c>
      <c r="J341" s="15" t="s">
        <v>28</v>
      </c>
      <c r="K341" s="15" t="s">
        <v>18</v>
      </c>
      <c r="L341" s="9">
        <f>YEAR(E341)</f>
        <v>2022</v>
      </c>
      <c r="M341" s="11">
        <f t="shared" si="7"/>
        <v>1488488.82</v>
      </c>
    </row>
    <row r="342" spans="1:13" ht="20" customHeight="1" x14ac:dyDescent="0.15">
      <c r="A342" s="12"/>
      <c r="B342" s="13" t="s">
        <v>277</v>
      </c>
      <c r="C342" s="14" t="s">
        <v>57</v>
      </c>
      <c r="D342" s="15" t="s">
        <v>114</v>
      </c>
      <c r="E342" s="15" t="s">
        <v>310</v>
      </c>
      <c r="F342" s="16">
        <v>778</v>
      </c>
      <c r="G342" s="19">
        <v>24299.4</v>
      </c>
      <c r="H342" s="17">
        <v>7503.95</v>
      </c>
      <c r="I342" s="19">
        <v>18904933.199999999</v>
      </c>
      <c r="J342" s="15" t="s">
        <v>17</v>
      </c>
      <c r="K342" s="15" t="s">
        <v>18</v>
      </c>
      <c r="L342" s="9">
        <f>YEAR(E342)</f>
        <v>2022</v>
      </c>
      <c r="M342" s="11">
        <f t="shared" si="7"/>
        <v>5838073.0999999996</v>
      </c>
    </row>
    <row r="343" spans="1:13" ht="20" customHeight="1" x14ac:dyDescent="0.15">
      <c r="A343" s="12"/>
      <c r="B343" s="13" t="s">
        <v>277</v>
      </c>
      <c r="C343" s="14" t="s">
        <v>43</v>
      </c>
      <c r="D343" s="15" t="s">
        <v>114</v>
      </c>
      <c r="E343" s="15" t="s">
        <v>311</v>
      </c>
      <c r="F343" s="16">
        <v>972</v>
      </c>
      <c r="G343" s="17">
        <v>12391.17</v>
      </c>
      <c r="H343" s="17">
        <v>4739.75</v>
      </c>
      <c r="I343" s="17">
        <v>12044217.24</v>
      </c>
      <c r="J343" s="15" t="s">
        <v>17</v>
      </c>
      <c r="K343" s="15" t="s">
        <v>18</v>
      </c>
      <c r="L343" s="9">
        <f>YEAR(E343)</f>
        <v>2022</v>
      </c>
      <c r="M343" s="11">
        <f t="shared" si="7"/>
        <v>4607037</v>
      </c>
    </row>
    <row r="344" spans="1:13" ht="20" customHeight="1" x14ac:dyDescent="0.15">
      <c r="A344" s="12"/>
      <c r="B344" s="13" t="s">
        <v>277</v>
      </c>
      <c r="C344" s="14" t="s">
        <v>19</v>
      </c>
      <c r="D344" s="15" t="s">
        <v>114</v>
      </c>
      <c r="E344" s="15" t="s">
        <v>314</v>
      </c>
      <c r="F344" s="16">
        <v>775</v>
      </c>
      <c r="G344" s="19">
        <v>13645.3</v>
      </c>
      <c r="H344" s="17">
        <v>6202.53</v>
      </c>
      <c r="I344" s="19">
        <v>10575107.5</v>
      </c>
      <c r="J344" s="15" t="s">
        <v>28</v>
      </c>
      <c r="K344" s="15" t="s">
        <v>18</v>
      </c>
      <c r="L344" s="9">
        <f>YEAR(E344)</f>
        <v>2022</v>
      </c>
      <c r="M344" s="11">
        <f t="shared" si="7"/>
        <v>4806960.75</v>
      </c>
    </row>
    <row r="345" spans="1:13" ht="20" customHeight="1" x14ac:dyDescent="0.15">
      <c r="A345" s="12"/>
      <c r="B345" s="13" t="s">
        <v>277</v>
      </c>
      <c r="C345" s="14" t="s">
        <v>19</v>
      </c>
      <c r="D345" s="15" t="s">
        <v>15</v>
      </c>
      <c r="E345" s="15" t="s">
        <v>314</v>
      </c>
      <c r="F345" s="16">
        <v>181</v>
      </c>
      <c r="G345" s="17">
        <v>46007.28</v>
      </c>
      <c r="H345" s="17">
        <v>9692.49</v>
      </c>
      <c r="I345" s="17">
        <v>8327317.6799999997</v>
      </c>
      <c r="J345" s="15" t="s">
        <v>17</v>
      </c>
      <c r="K345" s="15" t="s">
        <v>18</v>
      </c>
      <c r="L345" s="9">
        <f>YEAR(E345)</f>
        <v>2022</v>
      </c>
      <c r="M345" s="11">
        <f t="shared" si="7"/>
        <v>1754340.69</v>
      </c>
    </row>
    <row r="346" spans="1:13" ht="20" customHeight="1" x14ac:dyDescent="0.15">
      <c r="A346" s="12"/>
      <c r="B346" s="13" t="s">
        <v>277</v>
      </c>
      <c r="C346" s="14" t="s">
        <v>43</v>
      </c>
      <c r="D346" s="15" t="s">
        <v>114</v>
      </c>
      <c r="E346" s="15" t="s">
        <v>316</v>
      </c>
      <c r="F346" s="16">
        <v>583</v>
      </c>
      <c r="G346" s="17">
        <v>31350.91</v>
      </c>
      <c r="H346" s="17">
        <v>7272.46</v>
      </c>
      <c r="I346" s="17">
        <v>18277580.530000001</v>
      </c>
      <c r="J346" s="15" t="s">
        <v>17</v>
      </c>
      <c r="K346" s="15" t="s">
        <v>18</v>
      </c>
      <c r="L346" s="9">
        <f>YEAR(E346)</f>
        <v>2022</v>
      </c>
      <c r="M346" s="11">
        <f t="shared" si="7"/>
        <v>4239844.18</v>
      </c>
    </row>
    <row r="347" spans="1:13" ht="20" customHeight="1" x14ac:dyDescent="0.15">
      <c r="A347" s="12"/>
      <c r="B347" s="13" t="s">
        <v>277</v>
      </c>
      <c r="C347" s="14" t="s">
        <v>25</v>
      </c>
      <c r="D347" s="15" t="s">
        <v>15</v>
      </c>
      <c r="E347" s="15" t="s">
        <v>322</v>
      </c>
      <c r="F347" s="16">
        <v>113</v>
      </c>
      <c r="G347" s="17">
        <v>47220.35</v>
      </c>
      <c r="H347" s="19">
        <v>6292.5</v>
      </c>
      <c r="I347" s="17">
        <v>5335899.55</v>
      </c>
      <c r="J347" s="15" t="s">
        <v>17</v>
      </c>
      <c r="K347" s="15" t="s">
        <v>18</v>
      </c>
      <c r="L347" s="9">
        <f>YEAR(E347)</f>
        <v>2022</v>
      </c>
      <c r="M347" s="11">
        <f t="shared" si="7"/>
        <v>711052.5</v>
      </c>
    </row>
    <row r="348" spans="1:13" ht="20" customHeight="1" x14ac:dyDescent="0.15">
      <c r="A348" s="12"/>
      <c r="B348" s="13" t="s">
        <v>277</v>
      </c>
      <c r="C348" s="14" t="s">
        <v>43</v>
      </c>
      <c r="D348" s="15" t="s">
        <v>15</v>
      </c>
      <c r="E348" s="15" t="s">
        <v>324</v>
      </c>
      <c r="F348" s="16">
        <v>339</v>
      </c>
      <c r="G348" s="17">
        <v>45625.14</v>
      </c>
      <c r="H348" s="17">
        <v>4973.87</v>
      </c>
      <c r="I348" s="17">
        <v>15466922.460000001</v>
      </c>
      <c r="J348" s="15" t="s">
        <v>17</v>
      </c>
      <c r="K348" s="15" t="s">
        <v>18</v>
      </c>
      <c r="L348" s="9">
        <f>YEAR(E348)</f>
        <v>2022</v>
      </c>
      <c r="M348" s="11">
        <f t="shared" si="7"/>
        <v>1686141.93</v>
      </c>
    </row>
    <row r="349" spans="1:13" ht="20" customHeight="1" x14ac:dyDescent="0.15">
      <c r="A349" s="12"/>
      <c r="B349" s="13" t="s">
        <v>277</v>
      </c>
      <c r="C349" s="14" t="s">
        <v>43</v>
      </c>
      <c r="D349" s="15" t="s">
        <v>15</v>
      </c>
      <c r="E349" s="15" t="s">
        <v>326</v>
      </c>
      <c r="F349" s="16">
        <v>651</v>
      </c>
      <c r="G349" s="17">
        <v>23667.26</v>
      </c>
      <c r="H349" s="17">
        <v>6606.14</v>
      </c>
      <c r="I349" s="17">
        <v>15407386.26</v>
      </c>
      <c r="J349" s="15" t="s">
        <v>17</v>
      </c>
      <c r="K349" s="15" t="s">
        <v>18</v>
      </c>
      <c r="L349" s="9">
        <f>YEAR(E349)</f>
        <v>2022</v>
      </c>
      <c r="M349" s="11">
        <f t="shared" si="7"/>
        <v>4300597.1400000006</v>
      </c>
    </row>
    <row r="350" spans="1:13" ht="20" customHeight="1" x14ac:dyDescent="0.15">
      <c r="A350" s="12"/>
      <c r="B350" s="13" t="s">
        <v>277</v>
      </c>
      <c r="C350" s="14" t="s">
        <v>25</v>
      </c>
      <c r="D350" s="15" t="s">
        <v>15</v>
      </c>
      <c r="E350" s="15" t="s">
        <v>327</v>
      </c>
      <c r="F350" s="16">
        <v>512</v>
      </c>
      <c r="G350" s="17">
        <v>40616.94</v>
      </c>
      <c r="H350" s="17">
        <v>8997.44</v>
      </c>
      <c r="I350" s="17">
        <v>20795873.280000001</v>
      </c>
      <c r="J350" s="15" t="s">
        <v>17</v>
      </c>
      <c r="K350" s="15" t="s">
        <v>18</v>
      </c>
      <c r="L350" s="9">
        <f>YEAR(E350)</f>
        <v>2022</v>
      </c>
      <c r="M350" s="11">
        <f t="shared" si="7"/>
        <v>4606689.2800000003</v>
      </c>
    </row>
    <row r="351" spans="1:13" ht="20" customHeight="1" x14ac:dyDescent="0.15">
      <c r="A351" s="12"/>
      <c r="B351" s="13" t="s">
        <v>277</v>
      </c>
      <c r="C351" s="14" t="s">
        <v>19</v>
      </c>
      <c r="D351" s="15" t="s">
        <v>68</v>
      </c>
      <c r="E351" s="15" t="s">
        <v>54</v>
      </c>
      <c r="F351" s="16">
        <v>994</v>
      </c>
      <c r="G351" s="17">
        <v>38992.61</v>
      </c>
      <c r="H351" s="17">
        <v>8142.85</v>
      </c>
      <c r="I351" s="17">
        <v>38758654.340000004</v>
      </c>
      <c r="J351" s="15" t="s">
        <v>17</v>
      </c>
      <c r="K351" s="15" t="s">
        <v>18</v>
      </c>
      <c r="L351" s="9">
        <f>YEAR(E351)</f>
        <v>2022</v>
      </c>
      <c r="M351" s="11">
        <f t="shared" si="7"/>
        <v>8093992.9000000004</v>
      </c>
    </row>
    <row r="352" spans="1:13" ht="20" customHeight="1" x14ac:dyDescent="0.15">
      <c r="A352" s="12"/>
      <c r="B352" s="13" t="s">
        <v>277</v>
      </c>
      <c r="C352" s="14" t="s">
        <v>23</v>
      </c>
      <c r="D352" s="15" t="s">
        <v>68</v>
      </c>
      <c r="E352" s="15" t="s">
        <v>344</v>
      </c>
      <c r="F352" s="16">
        <v>746</v>
      </c>
      <c r="G352" s="17">
        <v>11537.24</v>
      </c>
      <c r="H352" s="17">
        <v>4261.71</v>
      </c>
      <c r="I352" s="17">
        <v>8606781.0399999991</v>
      </c>
      <c r="J352" s="15" t="s">
        <v>30</v>
      </c>
      <c r="K352" s="15" t="s">
        <v>18</v>
      </c>
      <c r="L352" s="9">
        <f>YEAR(E352)</f>
        <v>2022</v>
      </c>
      <c r="M352" s="11">
        <f t="shared" si="7"/>
        <v>3179235.66</v>
      </c>
    </row>
    <row r="353" spans="1:13" ht="20" customHeight="1" x14ac:dyDescent="0.15">
      <c r="A353" s="12"/>
      <c r="B353" s="13" t="s">
        <v>277</v>
      </c>
      <c r="C353" s="14" t="s">
        <v>38</v>
      </c>
      <c r="D353" s="15" t="s">
        <v>68</v>
      </c>
      <c r="E353" s="15" t="s">
        <v>348</v>
      </c>
      <c r="F353" s="16">
        <v>371</v>
      </c>
      <c r="G353" s="17">
        <v>36210.54</v>
      </c>
      <c r="H353" s="17">
        <v>3101.99</v>
      </c>
      <c r="I353" s="17">
        <v>13434110.34</v>
      </c>
      <c r="J353" s="15" t="s">
        <v>30</v>
      </c>
      <c r="K353" s="15" t="s">
        <v>18</v>
      </c>
      <c r="L353" s="9">
        <f>YEAR(E353)</f>
        <v>2022</v>
      </c>
      <c r="M353" s="11">
        <f t="shared" si="7"/>
        <v>1150838.2899999998</v>
      </c>
    </row>
    <row r="354" spans="1:13" ht="20" customHeight="1" x14ac:dyDescent="0.15">
      <c r="A354" s="12"/>
      <c r="B354" s="13" t="s">
        <v>277</v>
      </c>
      <c r="C354" s="14" t="s">
        <v>14</v>
      </c>
      <c r="D354" s="15" t="s">
        <v>68</v>
      </c>
      <c r="E354" s="15" t="s">
        <v>350</v>
      </c>
      <c r="F354" s="16">
        <v>945</v>
      </c>
      <c r="G354" s="17">
        <v>32510.05</v>
      </c>
      <c r="H354" s="17">
        <v>5669.22</v>
      </c>
      <c r="I354" s="17">
        <v>30721997.25</v>
      </c>
      <c r="J354" s="15" t="s">
        <v>28</v>
      </c>
      <c r="K354" s="15" t="s">
        <v>18</v>
      </c>
      <c r="L354" s="9">
        <f>YEAR(E354)</f>
        <v>2022</v>
      </c>
      <c r="M354" s="11">
        <f t="shared" si="7"/>
        <v>5357412.9000000004</v>
      </c>
    </row>
    <row r="355" spans="1:13" ht="20" customHeight="1" x14ac:dyDescent="0.15">
      <c r="A355" s="12"/>
      <c r="B355" s="13" t="s">
        <v>277</v>
      </c>
      <c r="C355" s="14" t="s">
        <v>35</v>
      </c>
      <c r="D355" s="15" t="s">
        <v>89</v>
      </c>
      <c r="E355" s="15" t="s">
        <v>350</v>
      </c>
      <c r="F355" s="16">
        <v>357</v>
      </c>
      <c r="G355" s="17">
        <v>46900.29</v>
      </c>
      <c r="H355" s="17">
        <v>2786.12</v>
      </c>
      <c r="I355" s="17">
        <v>16743403.529999999</v>
      </c>
      <c r="J355" s="15" t="s">
        <v>22</v>
      </c>
      <c r="K355" s="15" t="s">
        <v>18</v>
      </c>
      <c r="L355" s="9">
        <f>YEAR(E355)</f>
        <v>2022</v>
      </c>
      <c r="M355" s="11">
        <f t="shared" si="7"/>
        <v>994644.84</v>
      </c>
    </row>
    <row r="356" spans="1:13" ht="20" customHeight="1" x14ac:dyDescent="0.15">
      <c r="A356" s="12"/>
      <c r="B356" s="13" t="s">
        <v>277</v>
      </c>
      <c r="C356" s="14" t="s">
        <v>57</v>
      </c>
      <c r="D356" s="15" t="s">
        <v>68</v>
      </c>
      <c r="E356" s="15" t="s">
        <v>351</v>
      </c>
      <c r="F356" s="16">
        <v>954</v>
      </c>
      <c r="G356" s="17">
        <v>32313.86</v>
      </c>
      <c r="H356" s="17">
        <v>6873.64</v>
      </c>
      <c r="I356" s="17">
        <v>30827422.440000001</v>
      </c>
      <c r="J356" s="15" t="s">
        <v>22</v>
      </c>
      <c r="K356" s="15" t="s">
        <v>18</v>
      </c>
      <c r="L356" s="9">
        <f>YEAR(E356)</f>
        <v>2022</v>
      </c>
      <c r="M356" s="11">
        <f t="shared" si="7"/>
        <v>6557452.5600000005</v>
      </c>
    </row>
    <row r="357" spans="1:13" ht="20" customHeight="1" x14ac:dyDescent="0.15">
      <c r="A357" s="12"/>
      <c r="B357" s="13" t="s">
        <v>277</v>
      </c>
      <c r="C357" s="14" t="s">
        <v>35</v>
      </c>
      <c r="D357" s="15" t="s">
        <v>68</v>
      </c>
      <c r="E357" s="15" t="s">
        <v>352</v>
      </c>
      <c r="F357" s="16">
        <v>248</v>
      </c>
      <c r="G357" s="17">
        <v>47005.31</v>
      </c>
      <c r="H357" s="17">
        <v>9451.99</v>
      </c>
      <c r="I357" s="17">
        <v>11657316.880000001</v>
      </c>
      <c r="J357" s="15" t="s">
        <v>17</v>
      </c>
      <c r="K357" s="15" t="s">
        <v>18</v>
      </c>
      <c r="L357" s="9">
        <f>YEAR(E357)</f>
        <v>2022</v>
      </c>
      <c r="M357" s="11">
        <f t="shared" si="7"/>
        <v>2344093.52</v>
      </c>
    </row>
    <row r="358" spans="1:13" ht="20" customHeight="1" x14ac:dyDescent="0.15">
      <c r="A358" s="12"/>
      <c r="B358" s="13" t="s">
        <v>277</v>
      </c>
      <c r="C358" s="14" t="s">
        <v>35</v>
      </c>
      <c r="D358" s="15" t="s">
        <v>70</v>
      </c>
      <c r="E358" s="15" t="s">
        <v>355</v>
      </c>
      <c r="F358" s="16">
        <v>394</v>
      </c>
      <c r="G358" s="19">
        <v>32556.2</v>
      </c>
      <c r="H358" s="17">
        <v>8455.9699999999993</v>
      </c>
      <c r="I358" s="19">
        <v>12827142.800000001</v>
      </c>
      <c r="J358" s="15" t="s">
        <v>28</v>
      </c>
      <c r="K358" s="15" t="s">
        <v>18</v>
      </c>
      <c r="L358" s="9">
        <f>YEAR(E358)</f>
        <v>2022</v>
      </c>
      <c r="M358" s="11">
        <f t="shared" si="7"/>
        <v>3331652.1799999997</v>
      </c>
    </row>
    <row r="359" spans="1:13" ht="20" customHeight="1" x14ac:dyDescent="0.15">
      <c r="A359" s="12"/>
      <c r="B359" s="13" t="s">
        <v>277</v>
      </c>
      <c r="C359" s="14" t="s">
        <v>38</v>
      </c>
      <c r="D359" s="15" t="s">
        <v>70</v>
      </c>
      <c r="E359" s="15" t="s">
        <v>81</v>
      </c>
      <c r="F359" s="16">
        <v>951</v>
      </c>
      <c r="G359" s="17">
        <v>49548.71</v>
      </c>
      <c r="H359" s="19">
        <v>5274.5</v>
      </c>
      <c r="I359" s="17">
        <v>47120823.210000001</v>
      </c>
      <c r="J359" s="15" t="s">
        <v>17</v>
      </c>
      <c r="K359" s="15" t="s">
        <v>18</v>
      </c>
      <c r="L359" s="9">
        <f>YEAR(E359)</f>
        <v>2022</v>
      </c>
      <c r="M359" s="11">
        <f t="shared" si="7"/>
        <v>5016049.5</v>
      </c>
    </row>
    <row r="360" spans="1:13" ht="20" customHeight="1" x14ac:dyDescent="0.15">
      <c r="A360" s="12"/>
      <c r="B360" s="13" t="s">
        <v>277</v>
      </c>
      <c r="C360" s="14" t="s">
        <v>19</v>
      </c>
      <c r="D360" s="15" t="s">
        <v>89</v>
      </c>
      <c r="E360" s="15" t="s">
        <v>381</v>
      </c>
      <c r="F360" s="16">
        <v>285</v>
      </c>
      <c r="G360" s="17">
        <v>15478.05</v>
      </c>
      <c r="H360" s="17">
        <v>4402.63</v>
      </c>
      <c r="I360" s="17">
        <v>4411244.25</v>
      </c>
      <c r="J360" s="15" t="s">
        <v>30</v>
      </c>
      <c r="K360" s="15" t="s">
        <v>18</v>
      </c>
      <c r="L360" s="9">
        <f>YEAR(E360)</f>
        <v>2022</v>
      </c>
      <c r="M360" s="11">
        <f t="shared" si="7"/>
        <v>1254749.55</v>
      </c>
    </row>
    <row r="361" spans="1:13" ht="20" customHeight="1" x14ac:dyDescent="0.15">
      <c r="A361" s="12"/>
      <c r="B361" s="13" t="s">
        <v>277</v>
      </c>
      <c r="C361" s="14" t="s">
        <v>23</v>
      </c>
      <c r="D361" s="15" t="s">
        <v>89</v>
      </c>
      <c r="E361" s="15" t="s">
        <v>383</v>
      </c>
      <c r="F361" s="16">
        <v>305</v>
      </c>
      <c r="G361" s="17">
        <v>21673.21</v>
      </c>
      <c r="H361" s="17">
        <v>7611.27</v>
      </c>
      <c r="I361" s="17">
        <v>6610329.0499999998</v>
      </c>
      <c r="J361" s="15" t="s">
        <v>17</v>
      </c>
      <c r="K361" s="15" t="s">
        <v>18</v>
      </c>
      <c r="L361" s="9">
        <f>YEAR(E361)</f>
        <v>2022</v>
      </c>
      <c r="M361" s="11">
        <f t="shared" si="7"/>
        <v>2321437.35</v>
      </c>
    </row>
    <row r="362" spans="1:13" ht="20" customHeight="1" x14ac:dyDescent="0.15">
      <c r="A362" s="12"/>
      <c r="B362" s="13" t="s">
        <v>277</v>
      </c>
      <c r="C362" s="14" t="s">
        <v>57</v>
      </c>
      <c r="D362" s="15" t="s">
        <v>89</v>
      </c>
      <c r="E362" s="15" t="s">
        <v>384</v>
      </c>
      <c r="F362" s="16">
        <v>639</v>
      </c>
      <c r="G362" s="17">
        <v>35392.97</v>
      </c>
      <c r="H362" s="19">
        <v>6671.2</v>
      </c>
      <c r="I362" s="17">
        <v>22616107.829999998</v>
      </c>
      <c r="J362" s="15" t="s">
        <v>28</v>
      </c>
      <c r="K362" s="15" t="s">
        <v>18</v>
      </c>
      <c r="L362" s="9">
        <f>YEAR(E362)</f>
        <v>2022</v>
      </c>
      <c r="M362" s="11">
        <f t="shared" si="7"/>
        <v>4262896.8</v>
      </c>
    </row>
    <row r="363" spans="1:13" ht="20" customHeight="1" x14ac:dyDescent="0.15">
      <c r="A363" s="12"/>
      <c r="B363" s="13" t="s">
        <v>277</v>
      </c>
      <c r="C363" s="14" t="s">
        <v>57</v>
      </c>
      <c r="D363" s="15" t="s">
        <v>53</v>
      </c>
      <c r="E363" s="15" t="s">
        <v>280</v>
      </c>
      <c r="F363" s="16">
        <v>172</v>
      </c>
      <c r="G363" s="17">
        <v>19594.66</v>
      </c>
      <c r="H363" s="16">
        <v>9712</v>
      </c>
      <c r="I363" s="17">
        <v>3370281.52</v>
      </c>
      <c r="J363" s="15" t="s">
        <v>28</v>
      </c>
      <c r="K363" s="15" t="s">
        <v>18</v>
      </c>
      <c r="L363" s="9">
        <f>YEAR(E363)</f>
        <v>2023</v>
      </c>
      <c r="M363" s="11">
        <f t="shared" si="7"/>
        <v>1670464</v>
      </c>
    </row>
    <row r="364" spans="1:13" ht="20" customHeight="1" x14ac:dyDescent="0.15">
      <c r="A364" s="12"/>
      <c r="B364" s="13" t="s">
        <v>277</v>
      </c>
      <c r="C364" s="14" t="s">
        <v>23</v>
      </c>
      <c r="D364" s="15" t="s">
        <v>53</v>
      </c>
      <c r="E364" s="15" t="s">
        <v>281</v>
      </c>
      <c r="F364" s="16">
        <v>938</v>
      </c>
      <c r="G364" s="17">
        <v>29055.81</v>
      </c>
      <c r="H364" s="17">
        <v>3557.94</v>
      </c>
      <c r="I364" s="17">
        <v>27254349.780000001</v>
      </c>
      <c r="J364" s="15" t="s">
        <v>30</v>
      </c>
      <c r="K364" s="15" t="s">
        <v>18</v>
      </c>
      <c r="L364" s="9">
        <f>YEAR(E364)</f>
        <v>2023</v>
      </c>
      <c r="M364" s="11">
        <f t="shared" si="7"/>
        <v>3337347.72</v>
      </c>
    </row>
    <row r="365" spans="1:13" ht="20" customHeight="1" x14ac:dyDescent="0.15">
      <c r="A365" s="12"/>
      <c r="B365" s="13" t="s">
        <v>277</v>
      </c>
      <c r="C365" s="14" t="s">
        <v>25</v>
      </c>
      <c r="D365" s="15" t="s">
        <v>53</v>
      </c>
      <c r="E365" s="15" t="s">
        <v>289</v>
      </c>
      <c r="F365" s="16">
        <v>540</v>
      </c>
      <c r="G365" s="17">
        <v>45317.85</v>
      </c>
      <c r="H365" s="17">
        <v>7712.76</v>
      </c>
      <c r="I365" s="16">
        <v>24471639</v>
      </c>
      <c r="J365" s="15" t="s">
        <v>28</v>
      </c>
      <c r="K365" s="15" t="s">
        <v>18</v>
      </c>
      <c r="L365" s="9">
        <f>YEAR(E365)</f>
        <v>2023</v>
      </c>
      <c r="M365" s="11">
        <f t="shared" si="7"/>
        <v>4164890.4</v>
      </c>
    </row>
    <row r="366" spans="1:13" ht="20" customHeight="1" x14ac:dyDescent="0.15">
      <c r="A366" s="12"/>
      <c r="B366" s="13" t="s">
        <v>277</v>
      </c>
      <c r="C366" s="14" t="s">
        <v>35</v>
      </c>
      <c r="D366" s="15" t="s">
        <v>53</v>
      </c>
      <c r="E366" s="15" t="s">
        <v>292</v>
      </c>
      <c r="F366" s="16">
        <v>238</v>
      </c>
      <c r="G366" s="17">
        <v>26925.18</v>
      </c>
      <c r="H366" s="17">
        <v>2901.45</v>
      </c>
      <c r="I366" s="17">
        <v>6408192.8399999999</v>
      </c>
      <c r="J366" s="15" t="s">
        <v>17</v>
      </c>
      <c r="K366" s="15" t="s">
        <v>18</v>
      </c>
      <c r="L366" s="9">
        <f>YEAR(E366)</f>
        <v>2023</v>
      </c>
      <c r="M366" s="11">
        <f t="shared" si="7"/>
        <v>690545.1</v>
      </c>
    </row>
    <row r="367" spans="1:13" ht="20" customHeight="1" x14ac:dyDescent="0.15">
      <c r="A367" s="12"/>
      <c r="B367" s="13" t="s">
        <v>277</v>
      </c>
      <c r="C367" s="14" t="s">
        <v>19</v>
      </c>
      <c r="D367" s="15" t="s">
        <v>114</v>
      </c>
      <c r="E367" s="15" t="s">
        <v>292</v>
      </c>
      <c r="F367" s="16">
        <v>948</v>
      </c>
      <c r="G367" s="17">
        <v>14062.61</v>
      </c>
      <c r="H367" s="17">
        <v>7842.17</v>
      </c>
      <c r="I367" s="17">
        <v>13331354.279999999</v>
      </c>
      <c r="J367" s="15" t="s">
        <v>28</v>
      </c>
      <c r="K367" s="15" t="s">
        <v>18</v>
      </c>
      <c r="L367" s="9">
        <f>YEAR(E367)</f>
        <v>2023</v>
      </c>
      <c r="M367" s="11">
        <f t="shared" si="7"/>
        <v>7434377.1600000001</v>
      </c>
    </row>
    <row r="368" spans="1:13" ht="20" customHeight="1" x14ac:dyDescent="0.15">
      <c r="A368" s="12"/>
      <c r="B368" s="13" t="s">
        <v>277</v>
      </c>
      <c r="C368" s="14" t="s">
        <v>35</v>
      </c>
      <c r="D368" s="15" t="s">
        <v>53</v>
      </c>
      <c r="E368" s="15" t="s">
        <v>294</v>
      </c>
      <c r="F368" s="16">
        <v>222</v>
      </c>
      <c r="G368" s="17">
        <v>28231.62</v>
      </c>
      <c r="H368" s="17">
        <v>7367.68</v>
      </c>
      <c r="I368" s="17">
        <v>6267419.6399999997</v>
      </c>
      <c r="J368" s="15" t="s">
        <v>17</v>
      </c>
      <c r="K368" s="15" t="s">
        <v>18</v>
      </c>
      <c r="L368" s="9">
        <f>YEAR(E368)</f>
        <v>2023</v>
      </c>
      <c r="M368" s="11">
        <f t="shared" si="7"/>
        <v>1635624.96</v>
      </c>
    </row>
    <row r="369" spans="1:13" ht="20" customHeight="1" x14ac:dyDescent="0.15">
      <c r="A369" s="12"/>
      <c r="B369" s="13" t="s">
        <v>277</v>
      </c>
      <c r="C369" s="14" t="s">
        <v>23</v>
      </c>
      <c r="D369" s="15" t="s">
        <v>53</v>
      </c>
      <c r="E369" s="15" t="s">
        <v>247</v>
      </c>
      <c r="F369" s="16">
        <v>264</v>
      </c>
      <c r="G369" s="17">
        <v>49192.22</v>
      </c>
      <c r="H369" s="17">
        <v>4003.23</v>
      </c>
      <c r="I369" s="17">
        <v>12986746.08</v>
      </c>
      <c r="J369" s="15" t="s">
        <v>22</v>
      </c>
      <c r="K369" s="15" t="s">
        <v>18</v>
      </c>
      <c r="L369" s="9">
        <f>YEAR(E369)</f>
        <v>2023</v>
      </c>
      <c r="M369" s="11">
        <f t="shared" si="7"/>
        <v>1056852.72</v>
      </c>
    </row>
    <row r="370" spans="1:13" ht="20" customHeight="1" x14ac:dyDescent="0.15">
      <c r="A370" s="12"/>
      <c r="B370" s="13" t="s">
        <v>277</v>
      </c>
      <c r="C370" s="14" t="s">
        <v>43</v>
      </c>
      <c r="D370" s="15" t="s">
        <v>53</v>
      </c>
      <c r="E370" s="15" t="s">
        <v>295</v>
      </c>
      <c r="F370" s="16">
        <v>250</v>
      </c>
      <c r="G370" s="17">
        <v>39171.51</v>
      </c>
      <c r="H370" s="17">
        <v>5314.78</v>
      </c>
      <c r="I370" s="19">
        <v>9792877.5</v>
      </c>
      <c r="J370" s="15" t="s">
        <v>22</v>
      </c>
      <c r="K370" s="15" t="s">
        <v>18</v>
      </c>
      <c r="L370" s="9">
        <f>YEAR(E370)</f>
        <v>2023</v>
      </c>
      <c r="M370" s="11">
        <f t="shared" si="7"/>
        <v>1328695</v>
      </c>
    </row>
    <row r="371" spans="1:13" ht="20" customHeight="1" x14ac:dyDescent="0.15">
      <c r="A371" s="12"/>
      <c r="B371" s="13" t="s">
        <v>277</v>
      </c>
      <c r="C371" s="14" t="s">
        <v>19</v>
      </c>
      <c r="D371" s="15" t="s">
        <v>139</v>
      </c>
      <c r="E371" s="15" t="s">
        <v>297</v>
      </c>
      <c r="F371" s="16">
        <v>657</v>
      </c>
      <c r="G371" s="17">
        <v>42148.94</v>
      </c>
      <c r="H371" s="17">
        <v>5773.97</v>
      </c>
      <c r="I371" s="17">
        <v>27691853.579999998</v>
      </c>
      <c r="J371" s="15" t="s">
        <v>30</v>
      </c>
      <c r="K371" s="15" t="s">
        <v>18</v>
      </c>
      <c r="L371" s="9">
        <f>YEAR(E371)</f>
        <v>2023</v>
      </c>
      <c r="M371" s="11">
        <f t="shared" si="7"/>
        <v>3793498.29</v>
      </c>
    </row>
    <row r="372" spans="1:13" ht="20" customHeight="1" x14ac:dyDescent="0.15">
      <c r="A372" s="12"/>
      <c r="B372" s="13" t="s">
        <v>277</v>
      </c>
      <c r="C372" s="14" t="s">
        <v>38</v>
      </c>
      <c r="D372" s="15" t="s">
        <v>139</v>
      </c>
      <c r="E372" s="15" t="s">
        <v>299</v>
      </c>
      <c r="F372" s="16">
        <v>354</v>
      </c>
      <c r="G372" s="17">
        <v>16810.169999999998</v>
      </c>
      <c r="H372" s="17">
        <v>7303.36</v>
      </c>
      <c r="I372" s="17">
        <v>5950800.1799999997</v>
      </c>
      <c r="J372" s="15" t="s">
        <v>22</v>
      </c>
      <c r="K372" s="15" t="s">
        <v>18</v>
      </c>
      <c r="L372" s="9">
        <f>YEAR(E372)</f>
        <v>2023</v>
      </c>
      <c r="M372" s="11">
        <f t="shared" si="7"/>
        <v>2585389.44</v>
      </c>
    </row>
    <row r="373" spans="1:13" ht="20" customHeight="1" x14ac:dyDescent="0.15">
      <c r="A373" s="12"/>
      <c r="B373" s="13" t="s">
        <v>277</v>
      </c>
      <c r="C373" s="14" t="s">
        <v>57</v>
      </c>
      <c r="D373" s="15" t="s">
        <v>139</v>
      </c>
      <c r="E373" s="15" t="s">
        <v>301</v>
      </c>
      <c r="F373" s="16">
        <v>981</v>
      </c>
      <c r="G373" s="17">
        <v>39948.71</v>
      </c>
      <c r="H373" s="17">
        <v>5611.36</v>
      </c>
      <c r="I373" s="17">
        <v>39189684.509999998</v>
      </c>
      <c r="J373" s="15" t="s">
        <v>28</v>
      </c>
      <c r="K373" s="15" t="s">
        <v>18</v>
      </c>
      <c r="L373" s="9">
        <f>YEAR(E373)</f>
        <v>2023</v>
      </c>
      <c r="M373" s="11">
        <f t="shared" si="7"/>
        <v>5504744.1599999992</v>
      </c>
    </row>
    <row r="374" spans="1:13" ht="20" customHeight="1" x14ac:dyDescent="0.15">
      <c r="A374" s="12"/>
      <c r="B374" s="13" t="s">
        <v>277</v>
      </c>
      <c r="C374" s="14" t="s">
        <v>35</v>
      </c>
      <c r="D374" s="15" t="s">
        <v>139</v>
      </c>
      <c r="E374" s="15" t="s">
        <v>161</v>
      </c>
      <c r="F374" s="16">
        <v>708</v>
      </c>
      <c r="G374" s="17">
        <v>34554.94</v>
      </c>
      <c r="H374" s="17">
        <v>4062.57</v>
      </c>
      <c r="I374" s="17">
        <v>24464897.52</v>
      </c>
      <c r="J374" s="15" t="s">
        <v>17</v>
      </c>
      <c r="K374" s="15" t="s">
        <v>18</v>
      </c>
      <c r="L374" s="9">
        <f>YEAR(E374)</f>
        <v>2023</v>
      </c>
      <c r="M374" s="11">
        <f t="shared" si="7"/>
        <v>2876299.56</v>
      </c>
    </row>
    <row r="375" spans="1:13" ht="20" customHeight="1" x14ac:dyDescent="0.15">
      <c r="A375" s="12"/>
      <c r="B375" s="13" t="s">
        <v>277</v>
      </c>
      <c r="C375" s="14" t="s">
        <v>25</v>
      </c>
      <c r="D375" s="15" t="s">
        <v>114</v>
      </c>
      <c r="E375" s="15" t="s">
        <v>313</v>
      </c>
      <c r="F375" s="16">
        <v>366</v>
      </c>
      <c r="G375" s="17">
        <v>37718.550000000003</v>
      </c>
      <c r="H375" s="17">
        <v>3056.13</v>
      </c>
      <c r="I375" s="19">
        <v>13804989.300000001</v>
      </c>
      <c r="J375" s="15" t="s">
        <v>17</v>
      </c>
      <c r="K375" s="15" t="s">
        <v>18</v>
      </c>
      <c r="L375" s="9">
        <f>YEAR(E375)</f>
        <v>2023</v>
      </c>
      <c r="M375" s="11">
        <f t="shared" si="7"/>
        <v>1118543.58</v>
      </c>
    </row>
    <row r="376" spans="1:13" ht="20" customHeight="1" x14ac:dyDescent="0.15">
      <c r="A376" s="12"/>
      <c r="B376" s="13" t="s">
        <v>277</v>
      </c>
      <c r="C376" s="14" t="s">
        <v>38</v>
      </c>
      <c r="D376" s="15" t="s">
        <v>153</v>
      </c>
      <c r="E376" s="15" t="s">
        <v>313</v>
      </c>
      <c r="F376" s="16">
        <v>902</v>
      </c>
      <c r="G376" s="17">
        <v>26139.97</v>
      </c>
      <c r="H376" s="17">
        <v>4595.3900000000003</v>
      </c>
      <c r="I376" s="17">
        <v>23578252.940000001</v>
      </c>
      <c r="J376" s="15" t="s">
        <v>28</v>
      </c>
      <c r="K376" s="15" t="s">
        <v>18</v>
      </c>
      <c r="L376" s="9">
        <f>YEAR(E376)</f>
        <v>2023</v>
      </c>
      <c r="M376" s="11">
        <f t="shared" si="7"/>
        <v>4145041.7800000003</v>
      </c>
    </row>
    <row r="377" spans="1:13" ht="20" customHeight="1" x14ac:dyDescent="0.15">
      <c r="A377" s="12"/>
      <c r="B377" s="13" t="s">
        <v>277</v>
      </c>
      <c r="C377" s="14" t="s">
        <v>43</v>
      </c>
      <c r="D377" s="15" t="s">
        <v>114</v>
      </c>
      <c r="E377" s="15" t="s">
        <v>235</v>
      </c>
      <c r="F377" s="16">
        <v>166</v>
      </c>
      <c r="G377" s="17">
        <v>21132.81</v>
      </c>
      <c r="H377" s="17">
        <v>7252.84</v>
      </c>
      <c r="I377" s="17">
        <v>3508046.46</v>
      </c>
      <c r="J377" s="15" t="s">
        <v>17</v>
      </c>
      <c r="K377" s="15" t="s">
        <v>18</v>
      </c>
      <c r="L377" s="9">
        <f>YEAR(E377)</f>
        <v>2023</v>
      </c>
      <c r="M377" s="11">
        <f t="shared" si="7"/>
        <v>1203971.44</v>
      </c>
    </row>
    <row r="378" spans="1:13" ht="20" customHeight="1" x14ac:dyDescent="0.15">
      <c r="A378" s="12"/>
      <c r="B378" s="13" t="s">
        <v>277</v>
      </c>
      <c r="C378" s="14" t="s">
        <v>14</v>
      </c>
      <c r="D378" s="15" t="s">
        <v>114</v>
      </c>
      <c r="E378" s="15" t="s">
        <v>315</v>
      </c>
      <c r="F378" s="16">
        <v>164</v>
      </c>
      <c r="G378" s="17">
        <v>44326.559999999998</v>
      </c>
      <c r="H378" s="17">
        <v>5980.31</v>
      </c>
      <c r="I378" s="17">
        <v>7269555.8399999999</v>
      </c>
      <c r="J378" s="15" t="s">
        <v>30</v>
      </c>
      <c r="K378" s="15" t="s">
        <v>18</v>
      </c>
      <c r="L378" s="9">
        <f>YEAR(E378)</f>
        <v>2023</v>
      </c>
      <c r="M378" s="11">
        <f t="shared" si="7"/>
        <v>980770.84000000008</v>
      </c>
    </row>
    <row r="379" spans="1:13" ht="20" customHeight="1" x14ac:dyDescent="0.15">
      <c r="A379" s="12"/>
      <c r="B379" s="13" t="s">
        <v>277</v>
      </c>
      <c r="C379" s="14" t="s">
        <v>57</v>
      </c>
      <c r="D379" s="15" t="s">
        <v>15</v>
      </c>
      <c r="E379" s="15" t="s">
        <v>317</v>
      </c>
      <c r="F379" s="16">
        <v>179</v>
      </c>
      <c r="G379" s="17">
        <v>13561.99</v>
      </c>
      <c r="H379" s="17">
        <v>7189.28</v>
      </c>
      <c r="I379" s="17">
        <v>2427596.21</v>
      </c>
      <c r="J379" s="15" t="s">
        <v>17</v>
      </c>
      <c r="K379" s="15" t="s">
        <v>18</v>
      </c>
      <c r="L379" s="9">
        <f>YEAR(E379)</f>
        <v>2023</v>
      </c>
      <c r="M379" s="11">
        <f t="shared" si="7"/>
        <v>1286881.1199999999</v>
      </c>
    </row>
    <row r="380" spans="1:13" ht="20" customHeight="1" x14ac:dyDescent="0.15">
      <c r="A380" s="12"/>
      <c r="B380" s="13" t="s">
        <v>277</v>
      </c>
      <c r="C380" s="14" t="s">
        <v>25</v>
      </c>
      <c r="D380" s="15" t="s">
        <v>68</v>
      </c>
      <c r="E380" s="15" t="s">
        <v>317</v>
      </c>
      <c r="F380" s="16">
        <v>507</v>
      </c>
      <c r="G380" s="16">
        <v>25077</v>
      </c>
      <c r="H380" s="17">
        <v>4342.1899999999996</v>
      </c>
      <c r="I380" s="16">
        <v>12714039</v>
      </c>
      <c r="J380" s="15" t="s">
        <v>30</v>
      </c>
      <c r="K380" s="15" t="s">
        <v>18</v>
      </c>
      <c r="L380" s="9">
        <f>YEAR(E380)</f>
        <v>2023</v>
      </c>
      <c r="M380" s="11">
        <f t="shared" si="7"/>
        <v>2201490.3299999996</v>
      </c>
    </row>
    <row r="381" spans="1:13" ht="20" customHeight="1" x14ac:dyDescent="0.15">
      <c r="A381" s="12"/>
      <c r="B381" s="13" t="s">
        <v>277</v>
      </c>
      <c r="C381" s="14" t="s">
        <v>14</v>
      </c>
      <c r="D381" s="15" t="s">
        <v>15</v>
      </c>
      <c r="E381" s="15" t="s">
        <v>318</v>
      </c>
      <c r="F381" s="16">
        <v>997</v>
      </c>
      <c r="G381" s="17">
        <v>32753.279999999999</v>
      </c>
      <c r="H381" s="17">
        <v>8951.58</v>
      </c>
      <c r="I381" s="17">
        <v>32655020.16</v>
      </c>
      <c r="J381" s="15" t="s">
        <v>30</v>
      </c>
      <c r="K381" s="15" t="s">
        <v>18</v>
      </c>
      <c r="L381" s="9">
        <f>YEAR(E381)</f>
        <v>2023</v>
      </c>
      <c r="M381" s="11">
        <f t="shared" si="7"/>
        <v>8924725.2599999998</v>
      </c>
    </row>
    <row r="382" spans="1:13" ht="20" customHeight="1" x14ac:dyDescent="0.15">
      <c r="A382" s="12"/>
      <c r="B382" s="13" t="s">
        <v>277</v>
      </c>
      <c r="C382" s="14" t="s">
        <v>35</v>
      </c>
      <c r="D382" s="15" t="s">
        <v>15</v>
      </c>
      <c r="E382" s="15" t="s">
        <v>321</v>
      </c>
      <c r="F382" s="16">
        <v>813</v>
      </c>
      <c r="G382" s="17">
        <v>17261.98</v>
      </c>
      <c r="H382" s="17">
        <v>4878.03</v>
      </c>
      <c r="I382" s="17">
        <v>14033989.74</v>
      </c>
      <c r="J382" s="15" t="s">
        <v>17</v>
      </c>
      <c r="K382" s="15" t="s">
        <v>18</v>
      </c>
      <c r="L382" s="9">
        <f>YEAR(E382)</f>
        <v>2023</v>
      </c>
      <c r="M382" s="11">
        <f t="shared" si="7"/>
        <v>3965838.3899999997</v>
      </c>
    </row>
    <row r="383" spans="1:13" ht="20" customHeight="1" x14ac:dyDescent="0.15">
      <c r="A383" s="12"/>
      <c r="B383" s="13" t="s">
        <v>277</v>
      </c>
      <c r="C383" s="14" t="s">
        <v>79</v>
      </c>
      <c r="D383" s="15" t="s">
        <v>15</v>
      </c>
      <c r="E383" s="15" t="s">
        <v>323</v>
      </c>
      <c r="F383" s="16">
        <v>383</v>
      </c>
      <c r="G383" s="17">
        <v>10974.92</v>
      </c>
      <c r="H383" s="17">
        <v>2308.7800000000002</v>
      </c>
      <c r="I383" s="17">
        <v>4203394.3600000003</v>
      </c>
      <c r="J383" s="15" t="s">
        <v>28</v>
      </c>
      <c r="K383" s="15" t="s">
        <v>18</v>
      </c>
      <c r="L383" s="9">
        <f>YEAR(E383)</f>
        <v>2023</v>
      </c>
      <c r="M383" s="11">
        <f t="shared" si="7"/>
        <v>884262.74000000011</v>
      </c>
    </row>
    <row r="384" spans="1:13" ht="20" customHeight="1" x14ac:dyDescent="0.15">
      <c r="A384" s="12"/>
      <c r="B384" s="13" t="s">
        <v>277</v>
      </c>
      <c r="C384" s="14" t="s">
        <v>79</v>
      </c>
      <c r="D384" s="15" t="s">
        <v>15</v>
      </c>
      <c r="E384" s="15" t="s">
        <v>102</v>
      </c>
      <c r="F384" s="16">
        <v>212</v>
      </c>
      <c r="G384" s="17">
        <v>18804.84</v>
      </c>
      <c r="H384" s="17">
        <v>4332.0200000000004</v>
      </c>
      <c r="I384" s="17">
        <v>3986626.08</v>
      </c>
      <c r="J384" s="15" t="s">
        <v>17</v>
      </c>
      <c r="K384" s="15" t="s">
        <v>18</v>
      </c>
      <c r="L384" s="9">
        <f>YEAR(E384)</f>
        <v>2023</v>
      </c>
      <c r="M384" s="11">
        <f t="shared" si="7"/>
        <v>918388.24000000011</v>
      </c>
    </row>
    <row r="385" spans="1:13" ht="20" customHeight="1" x14ac:dyDescent="0.15">
      <c r="A385" s="12"/>
      <c r="B385" s="13" t="s">
        <v>277</v>
      </c>
      <c r="C385" s="14" t="s">
        <v>23</v>
      </c>
      <c r="D385" s="15" t="s">
        <v>26</v>
      </c>
      <c r="E385" s="15" t="s">
        <v>328</v>
      </c>
      <c r="F385" s="16">
        <v>295</v>
      </c>
      <c r="G385" s="17">
        <v>15255.06</v>
      </c>
      <c r="H385" s="17">
        <v>5692.82</v>
      </c>
      <c r="I385" s="19">
        <v>4500242.7</v>
      </c>
      <c r="J385" s="15" t="s">
        <v>28</v>
      </c>
      <c r="K385" s="15" t="s">
        <v>18</v>
      </c>
      <c r="L385" s="9">
        <f>YEAR(E385)</f>
        <v>2023</v>
      </c>
      <c r="M385" s="11">
        <f t="shared" si="7"/>
        <v>1679381.9</v>
      </c>
    </row>
    <row r="386" spans="1:13" ht="20" customHeight="1" x14ac:dyDescent="0.15">
      <c r="A386" s="12"/>
      <c r="B386" s="13" t="s">
        <v>277</v>
      </c>
      <c r="C386" s="14" t="s">
        <v>38</v>
      </c>
      <c r="D386" s="15" t="s">
        <v>26</v>
      </c>
      <c r="E386" s="15" t="s">
        <v>329</v>
      </c>
      <c r="F386" s="16">
        <v>839</v>
      </c>
      <c r="G386" s="17">
        <v>42307.64</v>
      </c>
      <c r="H386" s="17">
        <v>2725.48</v>
      </c>
      <c r="I386" s="17">
        <v>35496109.960000001</v>
      </c>
      <c r="J386" s="15" t="s">
        <v>17</v>
      </c>
      <c r="K386" s="15" t="s">
        <v>18</v>
      </c>
      <c r="L386" s="9">
        <f>YEAR(E386)</f>
        <v>2023</v>
      </c>
      <c r="M386" s="11">
        <f t="shared" si="7"/>
        <v>2286677.7200000002</v>
      </c>
    </row>
    <row r="387" spans="1:13" ht="20" customHeight="1" x14ac:dyDescent="0.15">
      <c r="A387" s="12"/>
      <c r="B387" s="13" t="s">
        <v>277</v>
      </c>
      <c r="C387" s="14" t="s">
        <v>31</v>
      </c>
      <c r="D387" s="15" t="s">
        <v>26</v>
      </c>
      <c r="E387" s="15" t="s">
        <v>330</v>
      </c>
      <c r="F387" s="16">
        <v>639</v>
      </c>
      <c r="G387" s="17">
        <v>46793.26</v>
      </c>
      <c r="H387" s="17">
        <v>2626.29</v>
      </c>
      <c r="I387" s="17">
        <v>29900893.140000001</v>
      </c>
      <c r="J387" s="15" t="s">
        <v>30</v>
      </c>
      <c r="K387" s="15" t="s">
        <v>18</v>
      </c>
      <c r="L387" s="9">
        <f>YEAR(E387)</f>
        <v>2023</v>
      </c>
      <c r="M387" s="11">
        <f t="shared" si="7"/>
        <v>1678199.31</v>
      </c>
    </row>
    <row r="388" spans="1:13" ht="20" customHeight="1" x14ac:dyDescent="0.15">
      <c r="A388" s="12"/>
      <c r="B388" s="13" t="s">
        <v>277</v>
      </c>
      <c r="C388" s="14" t="s">
        <v>19</v>
      </c>
      <c r="D388" s="15" t="s">
        <v>26</v>
      </c>
      <c r="E388" s="15" t="s">
        <v>24</v>
      </c>
      <c r="F388" s="16">
        <v>856</v>
      </c>
      <c r="G388" s="17">
        <v>25955.18</v>
      </c>
      <c r="H388" s="17">
        <v>8075.39</v>
      </c>
      <c r="I388" s="17">
        <v>22217634.079999998</v>
      </c>
      <c r="J388" s="15" t="s">
        <v>28</v>
      </c>
      <c r="K388" s="15" t="s">
        <v>18</v>
      </c>
      <c r="L388" s="9">
        <f>YEAR(E388)</f>
        <v>2023</v>
      </c>
      <c r="M388" s="11">
        <f t="shared" si="7"/>
        <v>6912533.8399999999</v>
      </c>
    </row>
    <row r="389" spans="1:13" ht="20" customHeight="1" x14ac:dyDescent="0.15">
      <c r="A389" s="12"/>
      <c r="B389" s="13" t="s">
        <v>277</v>
      </c>
      <c r="C389" s="14" t="s">
        <v>79</v>
      </c>
      <c r="D389" s="15" t="s">
        <v>26</v>
      </c>
      <c r="E389" s="15" t="s">
        <v>332</v>
      </c>
      <c r="F389" s="16">
        <v>696</v>
      </c>
      <c r="G389" s="17">
        <v>29398.99</v>
      </c>
      <c r="H389" s="19">
        <v>4816.3</v>
      </c>
      <c r="I389" s="17">
        <v>20461697.039999999</v>
      </c>
      <c r="J389" s="15" t="s">
        <v>17</v>
      </c>
      <c r="K389" s="15" t="s">
        <v>18</v>
      </c>
      <c r="L389" s="9">
        <f>YEAR(E389)</f>
        <v>2023</v>
      </c>
      <c r="M389" s="11">
        <f t="shared" ref="M389:M452" si="8">H389*F389</f>
        <v>3352144.8000000003</v>
      </c>
    </row>
    <row r="390" spans="1:13" ht="20" customHeight="1" x14ac:dyDescent="0.15">
      <c r="A390" s="12"/>
      <c r="B390" s="13" t="s">
        <v>277</v>
      </c>
      <c r="C390" s="14" t="s">
        <v>35</v>
      </c>
      <c r="D390" s="15" t="s">
        <v>68</v>
      </c>
      <c r="E390" s="15" t="s">
        <v>340</v>
      </c>
      <c r="F390" s="16">
        <v>896</v>
      </c>
      <c r="G390" s="17">
        <v>37856.44</v>
      </c>
      <c r="H390" s="17">
        <v>8880.76</v>
      </c>
      <c r="I390" s="17">
        <v>33919370.240000002</v>
      </c>
      <c r="J390" s="15" t="s">
        <v>17</v>
      </c>
      <c r="K390" s="15" t="s">
        <v>18</v>
      </c>
      <c r="L390" s="9">
        <f>YEAR(E390)</f>
        <v>2023</v>
      </c>
      <c r="M390" s="11">
        <f t="shared" si="8"/>
        <v>7957160.96</v>
      </c>
    </row>
    <row r="391" spans="1:13" ht="20" customHeight="1" x14ac:dyDescent="0.15">
      <c r="A391" s="12"/>
      <c r="B391" s="13" t="s">
        <v>277</v>
      </c>
      <c r="C391" s="14" t="s">
        <v>79</v>
      </c>
      <c r="D391" s="15" t="s">
        <v>68</v>
      </c>
      <c r="E391" s="15" t="s">
        <v>343</v>
      </c>
      <c r="F391" s="16">
        <v>800</v>
      </c>
      <c r="G391" s="17">
        <v>44815.63</v>
      </c>
      <c r="H391" s="17">
        <v>8719.48</v>
      </c>
      <c r="I391" s="16">
        <v>35852504</v>
      </c>
      <c r="J391" s="15" t="s">
        <v>28</v>
      </c>
      <c r="K391" s="15" t="s">
        <v>18</v>
      </c>
      <c r="L391" s="9">
        <f>YEAR(E391)</f>
        <v>2023</v>
      </c>
      <c r="M391" s="11">
        <f t="shared" si="8"/>
        <v>6975584</v>
      </c>
    </row>
    <row r="392" spans="1:13" ht="20" customHeight="1" x14ac:dyDescent="0.15">
      <c r="A392" s="12"/>
      <c r="B392" s="13" t="s">
        <v>277</v>
      </c>
      <c r="C392" s="14" t="s">
        <v>31</v>
      </c>
      <c r="D392" s="15" t="s">
        <v>68</v>
      </c>
      <c r="E392" s="15" t="s">
        <v>353</v>
      </c>
      <c r="F392" s="16">
        <v>581</v>
      </c>
      <c r="G392" s="17">
        <v>36715.879999999997</v>
      </c>
      <c r="H392" s="17">
        <v>9369.14</v>
      </c>
      <c r="I392" s="17">
        <v>21331926.280000001</v>
      </c>
      <c r="J392" s="15" t="s">
        <v>17</v>
      </c>
      <c r="K392" s="15" t="s">
        <v>18</v>
      </c>
      <c r="L392" s="9">
        <f>YEAR(E392)</f>
        <v>2023</v>
      </c>
      <c r="M392" s="11">
        <f t="shared" si="8"/>
        <v>5443470.3399999999</v>
      </c>
    </row>
    <row r="393" spans="1:13" ht="20" customHeight="1" x14ac:dyDescent="0.15">
      <c r="A393" s="12"/>
      <c r="B393" s="13" t="s">
        <v>277</v>
      </c>
      <c r="C393" s="14" t="s">
        <v>31</v>
      </c>
      <c r="D393" s="15" t="s">
        <v>70</v>
      </c>
      <c r="E393" s="15" t="s">
        <v>358</v>
      </c>
      <c r="F393" s="16">
        <v>513</v>
      </c>
      <c r="G393" s="17">
        <v>40829.589999999997</v>
      </c>
      <c r="H393" s="17">
        <v>5780.88</v>
      </c>
      <c r="I393" s="17">
        <v>20945579.670000002</v>
      </c>
      <c r="J393" s="15" t="s">
        <v>30</v>
      </c>
      <c r="K393" s="15" t="s">
        <v>18</v>
      </c>
      <c r="L393" s="9">
        <f>YEAR(E393)</f>
        <v>2023</v>
      </c>
      <c r="M393" s="11">
        <f t="shared" si="8"/>
        <v>2965591.44</v>
      </c>
    </row>
    <row r="394" spans="1:13" ht="20" customHeight="1" x14ac:dyDescent="0.15">
      <c r="A394" s="12"/>
      <c r="B394" s="13" t="s">
        <v>277</v>
      </c>
      <c r="C394" s="14" t="s">
        <v>31</v>
      </c>
      <c r="D394" s="15" t="s">
        <v>70</v>
      </c>
      <c r="E394" s="15" t="s">
        <v>360</v>
      </c>
      <c r="F394" s="16">
        <v>283</v>
      </c>
      <c r="G394" s="19">
        <v>24034.1</v>
      </c>
      <c r="H394" s="17">
        <v>8798.82</v>
      </c>
      <c r="I394" s="19">
        <v>6801650.2999999998</v>
      </c>
      <c r="J394" s="15" t="s">
        <v>17</v>
      </c>
      <c r="K394" s="15" t="s">
        <v>18</v>
      </c>
      <c r="L394" s="9">
        <f>YEAR(E394)</f>
        <v>2023</v>
      </c>
      <c r="M394" s="11">
        <f t="shared" si="8"/>
        <v>2490066.06</v>
      </c>
    </row>
    <row r="395" spans="1:13" ht="20" customHeight="1" x14ac:dyDescent="0.15">
      <c r="A395" s="12"/>
      <c r="B395" s="13" t="s">
        <v>277</v>
      </c>
      <c r="C395" s="14" t="s">
        <v>79</v>
      </c>
      <c r="D395" s="15" t="s">
        <v>70</v>
      </c>
      <c r="E395" s="15" t="s">
        <v>364</v>
      </c>
      <c r="F395" s="16">
        <v>499</v>
      </c>
      <c r="G395" s="17">
        <v>39950.239999999998</v>
      </c>
      <c r="H395" s="19">
        <v>6053.8</v>
      </c>
      <c r="I395" s="17">
        <v>19935169.760000002</v>
      </c>
      <c r="J395" s="15" t="s">
        <v>17</v>
      </c>
      <c r="K395" s="15" t="s">
        <v>18</v>
      </c>
      <c r="L395" s="9">
        <f>YEAR(E395)</f>
        <v>2023</v>
      </c>
      <c r="M395" s="11">
        <f t="shared" si="8"/>
        <v>3020846.2</v>
      </c>
    </row>
    <row r="396" spans="1:13" ht="20" customHeight="1" x14ac:dyDescent="0.15">
      <c r="A396" s="12"/>
      <c r="B396" s="13" t="s">
        <v>277</v>
      </c>
      <c r="C396" s="14" t="s">
        <v>43</v>
      </c>
      <c r="D396" s="15" t="s">
        <v>107</v>
      </c>
      <c r="E396" s="15" t="s">
        <v>371</v>
      </c>
      <c r="F396" s="16">
        <v>513</v>
      </c>
      <c r="G396" s="17">
        <v>39875.46</v>
      </c>
      <c r="H396" s="17">
        <v>4915.93</v>
      </c>
      <c r="I396" s="17">
        <v>20456110.98</v>
      </c>
      <c r="J396" s="15" t="s">
        <v>22</v>
      </c>
      <c r="K396" s="15" t="s">
        <v>18</v>
      </c>
      <c r="L396" s="9">
        <f>YEAR(E396)</f>
        <v>2023</v>
      </c>
      <c r="M396" s="11">
        <f t="shared" si="8"/>
        <v>2521872.0900000003</v>
      </c>
    </row>
    <row r="397" spans="1:13" ht="20" customHeight="1" x14ac:dyDescent="0.15">
      <c r="A397" s="12"/>
      <c r="B397" s="13" t="s">
        <v>277</v>
      </c>
      <c r="C397" s="14" t="s">
        <v>14</v>
      </c>
      <c r="D397" s="15" t="s">
        <v>107</v>
      </c>
      <c r="E397" s="15" t="s">
        <v>374</v>
      </c>
      <c r="F397" s="16">
        <v>858</v>
      </c>
      <c r="G397" s="17">
        <v>41834.28</v>
      </c>
      <c r="H397" s="17">
        <v>2100.66</v>
      </c>
      <c r="I397" s="17">
        <v>35893812.240000002</v>
      </c>
      <c r="J397" s="15" t="s">
        <v>17</v>
      </c>
      <c r="K397" s="15" t="s">
        <v>18</v>
      </c>
      <c r="L397" s="9">
        <f>YEAR(E397)</f>
        <v>2023</v>
      </c>
      <c r="M397" s="11">
        <f t="shared" si="8"/>
        <v>1802366.2799999998</v>
      </c>
    </row>
    <row r="398" spans="1:13" ht="20" customHeight="1" x14ac:dyDescent="0.15">
      <c r="A398" s="12"/>
      <c r="B398" s="13" t="s">
        <v>277</v>
      </c>
      <c r="C398" s="14" t="s">
        <v>79</v>
      </c>
      <c r="D398" s="15" t="s">
        <v>89</v>
      </c>
      <c r="E398" s="15" t="s">
        <v>375</v>
      </c>
      <c r="F398" s="16">
        <v>906</v>
      </c>
      <c r="G398" s="17">
        <v>32575.54</v>
      </c>
      <c r="H398" s="17">
        <v>9617.59</v>
      </c>
      <c r="I398" s="17">
        <v>29513439.239999998</v>
      </c>
      <c r="J398" s="15" t="s">
        <v>17</v>
      </c>
      <c r="K398" s="15" t="s">
        <v>18</v>
      </c>
      <c r="L398" s="9">
        <f>YEAR(E398)</f>
        <v>2023</v>
      </c>
      <c r="M398" s="11">
        <f t="shared" si="8"/>
        <v>8713536.540000001</v>
      </c>
    </row>
    <row r="399" spans="1:13" ht="20" customHeight="1" x14ac:dyDescent="0.15">
      <c r="A399" s="12"/>
      <c r="B399" s="13" t="s">
        <v>277</v>
      </c>
      <c r="C399" s="14" t="s">
        <v>19</v>
      </c>
      <c r="D399" s="15" t="s">
        <v>89</v>
      </c>
      <c r="E399" s="15" t="s">
        <v>378</v>
      </c>
      <c r="F399" s="16">
        <v>881</v>
      </c>
      <c r="G399" s="19">
        <v>41023.599999999999</v>
      </c>
      <c r="H399" s="19">
        <v>9427.2999999999993</v>
      </c>
      <c r="I399" s="19">
        <v>36141791.600000001</v>
      </c>
      <c r="J399" s="15" t="s">
        <v>22</v>
      </c>
      <c r="K399" s="15" t="s">
        <v>18</v>
      </c>
      <c r="L399" s="9">
        <f>YEAR(E399)</f>
        <v>2023</v>
      </c>
      <c r="M399" s="11">
        <f t="shared" si="8"/>
        <v>8305451.2999999998</v>
      </c>
    </row>
    <row r="400" spans="1:13" ht="20" customHeight="1" x14ac:dyDescent="0.15">
      <c r="A400" s="12"/>
      <c r="B400" s="13" t="s">
        <v>277</v>
      </c>
      <c r="C400" s="14" t="s">
        <v>43</v>
      </c>
      <c r="D400" s="15" t="s">
        <v>89</v>
      </c>
      <c r="E400" s="15" t="s">
        <v>385</v>
      </c>
      <c r="F400" s="16">
        <v>989</v>
      </c>
      <c r="G400" s="17">
        <v>31752.95</v>
      </c>
      <c r="H400" s="19">
        <v>7600.6</v>
      </c>
      <c r="I400" s="17">
        <v>31403667.550000001</v>
      </c>
      <c r="J400" s="15" t="s">
        <v>28</v>
      </c>
      <c r="K400" s="15" t="s">
        <v>18</v>
      </c>
      <c r="L400" s="9">
        <f>YEAR(E400)</f>
        <v>2023</v>
      </c>
      <c r="M400" s="11">
        <f t="shared" si="8"/>
        <v>7516993.4000000004</v>
      </c>
    </row>
    <row r="401" spans="1:13" ht="20.75" customHeight="1" x14ac:dyDescent="0.15">
      <c r="A401" s="12"/>
      <c r="B401" s="13" t="s">
        <v>277</v>
      </c>
      <c r="C401" s="14" t="s">
        <v>57</v>
      </c>
      <c r="D401" s="15" t="s">
        <v>153</v>
      </c>
      <c r="E401" s="15" t="s">
        <v>386</v>
      </c>
      <c r="F401" s="16">
        <v>410</v>
      </c>
      <c r="G401" s="17">
        <v>33864.480000000003</v>
      </c>
      <c r="H401" s="17">
        <v>7060.48</v>
      </c>
      <c r="I401" s="19">
        <v>13884436.800000001</v>
      </c>
      <c r="J401" s="15" t="s">
        <v>17</v>
      </c>
      <c r="K401" s="15" t="s">
        <v>18</v>
      </c>
      <c r="L401" s="9">
        <f>YEAR(E401)</f>
        <v>2023</v>
      </c>
      <c r="M401" s="11">
        <f t="shared" si="8"/>
        <v>2894796.7999999998</v>
      </c>
    </row>
    <row r="402" spans="1:13" ht="21" customHeight="1" thickBot="1" x14ac:dyDescent="0.2">
      <c r="A402" s="20"/>
      <c r="B402" s="21" t="s">
        <v>277</v>
      </c>
      <c r="C402" s="22" t="s">
        <v>79</v>
      </c>
      <c r="D402" s="23" t="s">
        <v>153</v>
      </c>
      <c r="E402" s="23" t="s">
        <v>387</v>
      </c>
      <c r="F402" s="24">
        <v>372</v>
      </c>
      <c r="G402" s="25">
        <v>43946.38</v>
      </c>
      <c r="H402" s="25">
        <v>6638.27</v>
      </c>
      <c r="I402" s="25">
        <v>16348053.359999999</v>
      </c>
      <c r="J402" s="23" t="s">
        <v>17</v>
      </c>
      <c r="K402" s="23" t="s">
        <v>18</v>
      </c>
      <c r="L402" s="9">
        <f>YEAR(E402)</f>
        <v>2023</v>
      </c>
      <c r="M402" s="11">
        <f t="shared" si="8"/>
        <v>2469436.44</v>
      </c>
    </row>
    <row r="403" spans="1:13" ht="20.25" customHeight="1" x14ac:dyDescent="0.15">
      <c r="A403" s="51"/>
      <c r="B403" s="52"/>
      <c r="C403" s="53"/>
      <c r="D403" s="54"/>
      <c r="E403" s="54"/>
      <c r="F403" s="55"/>
      <c r="G403" s="56"/>
      <c r="H403" s="56"/>
      <c r="I403" s="56"/>
      <c r="J403" s="54"/>
      <c r="K403" s="54"/>
      <c r="L403" s="9"/>
      <c r="M403" s="11"/>
    </row>
    <row r="404" spans="1:13" ht="20" customHeight="1" thickBot="1" x14ac:dyDescent="0.2">
      <c r="A404" s="51" t="s">
        <v>389</v>
      </c>
      <c r="B404" s="2" t="s">
        <v>2</v>
      </c>
      <c r="C404" s="2" t="s">
        <v>3</v>
      </c>
      <c r="D404" s="2" t="s">
        <v>4</v>
      </c>
      <c r="E404" s="2" t="s">
        <v>5</v>
      </c>
      <c r="F404" s="2" t="s">
        <v>6</v>
      </c>
      <c r="G404" s="2" t="s">
        <v>7</v>
      </c>
      <c r="H404" s="2" t="s">
        <v>8</v>
      </c>
      <c r="I404" s="2" t="s">
        <v>9</v>
      </c>
      <c r="J404" s="2" t="s">
        <v>10</v>
      </c>
      <c r="K404" s="2" t="s">
        <v>11</v>
      </c>
      <c r="L404" s="31" t="s">
        <v>12</v>
      </c>
      <c r="M404" s="64" t="s">
        <v>793</v>
      </c>
    </row>
    <row r="405" spans="1:13" ht="20" customHeight="1" x14ac:dyDescent="0.15">
      <c r="A405" s="29"/>
      <c r="B405" s="6" t="s">
        <v>389</v>
      </c>
      <c r="C405" s="7" t="s">
        <v>31</v>
      </c>
      <c r="D405" s="8" t="s">
        <v>107</v>
      </c>
      <c r="E405" s="8" t="s">
        <v>391</v>
      </c>
      <c r="F405" s="9">
        <v>866</v>
      </c>
      <c r="G405" s="10">
        <v>37209.43</v>
      </c>
      <c r="H405" s="10">
        <v>8028.81</v>
      </c>
      <c r="I405" s="10">
        <v>32223366.379999999</v>
      </c>
      <c r="J405" s="8" t="s">
        <v>17</v>
      </c>
      <c r="K405" s="8" t="s">
        <v>18</v>
      </c>
      <c r="L405" s="9">
        <f>YEAR(E405)</f>
        <v>2020</v>
      </c>
      <c r="M405" s="11">
        <f t="shared" si="8"/>
        <v>6952949.46</v>
      </c>
    </row>
    <row r="406" spans="1:13" ht="20" customHeight="1" x14ac:dyDescent="0.15">
      <c r="A406" s="5"/>
      <c r="B406" s="13" t="s">
        <v>389</v>
      </c>
      <c r="C406" s="14" t="s">
        <v>31</v>
      </c>
      <c r="D406" s="15" t="s">
        <v>107</v>
      </c>
      <c r="E406" s="15" t="s">
        <v>392</v>
      </c>
      <c r="F406" s="16">
        <v>686</v>
      </c>
      <c r="G406" s="17">
        <v>20272.96</v>
      </c>
      <c r="H406" s="17">
        <v>8833.6299999999992</v>
      </c>
      <c r="I406" s="17">
        <v>13907250.560000001</v>
      </c>
      <c r="J406" s="15" t="s">
        <v>17</v>
      </c>
      <c r="K406" s="15" t="s">
        <v>18</v>
      </c>
      <c r="L406" s="9">
        <f>YEAR(E406)</f>
        <v>2020</v>
      </c>
      <c r="M406" s="11">
        <f t="shared" si="8"/>
        <v>6059870.1799999997</v>
      </c>
    </row>
    <row r="407" spans="1:13" ht="20" customHeight="1" x14ac:dyDescent="0.15">
      <c r="A407" s="12"/>
      <c r="B407" s="13" t="s">
        <v>389</v>
      </c>
      <c r="C407" s="14" t="s">
        <v>57</v>
      </c>
      <c r="D407" s="15" t="s">
        <v>107</v>
      </c>
      <c r="E407" s="15" t="s">
        <v>217</v>
      </c>
      <c r="F407" s="16">
        <v>419</v>
      </c>
      <c r="G407" s="17">
        <v>11329.85</v>
      </c>
      <c r="H407" s="17">
        <v>3545.89</v>
      </c>
      <c r="I407" s="17">
        <v>4747207.1500000004</v>
      </c>
      <c r="J407" s="15" t="s">
        <v>17</v>
      </c>
      <c r="K407" s="15" t="s">
        <v>18</v>
      </c>
      <c r="L407" s="9">
        <f>YEAR(E407)</f>
        <v>2020</v>
      </c>
      <c r="M407" s="11">
        <f t="shared" si="8"/>
        <v>1485727.91</v>
      </c>
    </row>
    <row r="408" spans="1:13" ht="20" customHeight="1" x14ac:dyDescent="0.15">
      <c r="A408" s="12"/>
      <c r="B408" s="13" t="s">
        <v>389</v>
      </c>
      <c r="C408" s="14" t="s">
        <v>31</v>
      </c>
      <c r="D408" s="15" t="s">
        <v>15</v>
      </c>
      <c r="E408" s="15" t="s">
        <v>399</v>
      </c>
      <c r="F408" s="16">
        <v>372</v>
      </c>
      <c r="G408" s="17">
        <v>20678.919999999998</v>
      </c>
      <c r="H408" s="17">
        <v>6836.12</v>
      </c>
      <c r="I408" s="17">
        <v>7692558.2400000002</v>
      </c>
      <c r="J408" s="15" t="s">
        <v>28</v>
      </c>
      <c r="K408" s="15" t="s">
        <v>18</v>
      </c>
      <c r="L408" s="9">
        <f>YEAR(E408)</f>
        <v>2020</v>
      </c>
      <c r="M408" s="11">
        <f t="shared" si="8"/>
        <v>2543036.64</v>
      </c>
    </row>
    <row r="409" spans="1:13" ht="20" customHeight="1" x14ac:dyDescent="0.15">
      <c r="A409" s="12"/>
      <c r="B409" s="13" t="s">
        <v>389</v>
      </c>
      <c r="C409" s="14" t="s">
        <v>25</v>
      </c>
      <c r="D409" s="15" t="s">
        <v>15</v>
      </c>
      <c r="E409" s="15" t="s">
        <v>401</v>
      </c>
      <c r="F409" s="16">
        <v>525</v>
      </c>
      <c r="G409" s="17">
        <v>33769.46</v>
      </c>
      <c r="H409" s="19">
        <v>4015.3</v>
      </c>
      <c r="I409" s="19">
        <v>17728966.5</v>
      </c>
      <c r="J409" s="15" t="s">
        <v>17</v>
      </c>
      <c r="K409" s="15" t="s">
        <v>18</v>
      </c>
      <c r="L409" s="9">
        <f>YEAR(E409)</f>
        <v>2020</v>
      </c>
      <c r="M409" s="11">
        <f t="shared" si="8"/>
        <v>2108032.5</v>
      </c>
    </row>
    <row r="410" spans="1:13" ht="20" customHeight="1" x14ac:dyDescent="0.15">
      <c r="A410" s="12"/>
      <c r="B410" s="13" t="s">
        <v>389</v>
      </c>
      <c r="C410" s="14" t="s">
        <v>38</v>
      </c>
      <c r="D410" s="15" t="s">
        <v>15</v>
      </c>
      <c r="E410" s="15" t="s">
        <v>402</v>
      </c>
      <c r="F410" s="16">
        <v>115</v>
      </c>
      <c r="G410" s="17">
        <v>25006.63</v>
      </c>
      <c r="H410" s="17">
        <v>5301.73</v>
      </c>
      <c r="I410" s="17">
        <v>2875762.45</v>
      </c>
      <c r="J410" s="15" t="s">
        <v>28</v>
      </c>
      <c r="K410" s="15" t="s">
        <v>18</v>
      </c>
      <c r="L410" s="9">
        <f>YEAR(E410)</f>
        <v>2020</v>
      </c>
      <c r="M410" s="11">
        <f t="shared" si="8"/>
        <v>609698.94999999995</v>
      </c>
    </row>
    <row r="411" spans="1:13" ht="20" customHeight="1" x14ac:dyDescent="0.15">
      <c r="A411" s="12"/>
      <c r="B411" s="13" t="s">
        <v>389</v>
      </c>
      <c r="C411" s="14" t="s">
        <v>43</v>
      </c>
      <c r="D411" s="15" t="s">
        <v>26</v>
      </c>
      <c r="E411" s="15" t="s">
        <v>402</v>
      </c>
      <c r="F411" s="16">
        <v>647</v>
      </c>
      <c r="G411" s="17">
        <v>40768.559999999998</v>
      </c>
      <c r="H411" s="17">
        <v>8852.0499999999993</v>
      </c>
      <c r="I411" s="17">
        <v>26377258.32</v>
      </c>
      <c r="J411" s="15" t="s">
        <v>22</v>
      </c>
      <c r="K411" s="15" t="s">
        <v>18</v>
      </c>
      <c r="L411" s="9">
        <f>YEAR(E411)</f>
        <v>2020</v>
      </c>
      <c r="M411" s="11">
        <f t="shared" si="8"/>
        <v>5727276.3499999996</v>
      </c>
    </row>
    <row r="412" spans="1:13" ht="20" customHeight="1" x14ac:dyDescent="0.15">
      <c r="A412" s="12"/>
      <c r="B412" s="13" t="s">
        <v>389</v>
      </c>
      <c r="C412" s="14" t="s">
        <v>23</v>
      </c>
      <c r="D412" s="15" t="s">
        <v>15</v>
      </c>
      <c r="E412" s="15" t="s">
        <v>212</v>
      </c>
      <c r="F412" s="16">
        <v>443</v>
      </c>
      <c r="G412" s="17">
        <v>27640.45</v>
      </c>
      <c r="H412" s="17">
        <v>7433.24</v>
      </c>
      <c r="I412" s="17">
        <v>12244719.35</v>
      </c>
      <c r="J412" s="15" t="s">
        <v>30</v>
      </c>
      <c r="K412" s="15" t="s">
        <v>18</v>
      </c>
      <c r="L412" s="9">
        <f>YEAR(E412)</f>
        <v>2020</v>
      </c>
      <c r="M412" s="11">
        <f t="shared" si="8"/>
        <v>3292925.32</v>
      </c>
    </row>
    <row r="413" spans="1:13" ht="20" customHeight="1" x14ac:dyDescent="0.15">
      <c r="A413" s="12"/>
      <c r="B413" s="13" t="s">
        <v>389</v>
      </c>
      <c r="C413" s="14" t="s">
        <v>19</v>
      </c>
      <c r="D413" s="15" t="s">
        <v>139</v>
      </c>
      <c r="E413" s="15" t="s">
        <v>405</v>
      </c>
      <c r="F413" s="16">
        <v>472</v>
      </c>
      <c r="G413" s="17">
        <v>15687.36</v>
      </c>
      <c r="H413" s="19">
        <v>2000.3</v>
      </c>
      <c r="I413" s="17">
        <v>7404433.9199999999</v>
      </c>
      <c r="J413" s="15" t="s">
        <v>30</v>
      </c>
      <c r="K413" s="15" t="s">
        <v>18</v>
      </c>
      <c r="L413" s="9">
        <f>YEAR(E413)</f>
        <v>2020</v>
      </c>
      <c r="M413" s="11">
        <f t="shared" si="8"/>
        <v>944141.6</v>
      </c>
    </row>
    <row r="414" spans="1:13" ht="20" customHeight="1" x14ac:dyDescent="0.15">
      <c r="A414" s="12"/>
      <c r="B414" s="13" t="s">
        <v>389</v>
      </c>
      <c r="C414" s="14" t="s">
        <v>19</v>
      </c>
      <c r="D414" s="15" t="s">
        <v>70</v>
      </c>
      <c r="E414" s="15" t="s">
        <v>405</v>
      </c>
      <c r="F414" s="16">
        <v>967</v>
      </c>
      <c r="G414" s="17">
        <v>22317.21</v>
      </c>
      <c r="H414" s="17">
        <v>8745.61</v>
      </c>
      <c r="I414" s="17">
        <v>21580742.07</v>
      </c>
      <c r="J414" s="15" t="s">
        <v>30</v>
      </c>
      <c r="K414" s="15" t="s">
        <v>18</v>
      </c>
      <c r="L414" s="9">
        <f>YEAR(E414)</f>
        <v>2020</v>
      </c>
      <c r="M414" s="11">
        <f t="shared" si="8"/>
        <v>8457004.870000001</v>
      </c>
    </row>
    <row r="415" spans="1:13" ht="20" customHeight="1" x14ac:dyDescent="0.15">
      <c r="A415" s="12"/>
      <c r="B415" s="13" t="s">
        <v>389</v>
      </c>
      <c r="C415" s="14" t="s">
        <v>25</v>
      </c>
      <c r="D415" s="15" t="s">
        <v>139</v>
      </c>
      <c r="E415" s="15" t="s">
        <v>407</v>
      </c>
      <c r="F415" s="16">
        <v>568</v>
      </c>
      <c r="G415" s="17">
        <v>39056.870000000003</v>
      </c>
      <c r="H415" s="17">
        <v>7655.01</v>
      </c>
      <c r="I415" s="17">
        <v>22184302.16</v>
      </c>
      <c r="J415" s="15" t="s">
        <v>17</v>
      </c>
      <c r="K415" s="15" t="s">
        <v>18</v>
      </c>
      <c r="L415" s="9">
        <f>YEAR(E415)</f>
        <v>2020</v>
      </c>
      <c r="M415" s="11">
        <f t="shared" si="8"/>
        <v>4348045.68</v>
      </c>
    </row>
    <row r="416" spans="1:13" ht="20" customHeight="1" x14ac:dyDescent="0.15">
      <c r="A416" s="12"/>
      <c r="B416" s="13" t="s">
        <v>389</v>
      </c>
      <c r="C416" s="14" t="s">
        <v>43</v>
      </c>
      <c r="D416" s="15" t="s">
        <v>139</v>
      </c>
      <c r="E416" s="15" t="s">
        <v>172</v>
      </c>
      <c r="F416" s="16">
        <v>371</v>
      </c>
      <c r="G416" s="17">
        <v>15691.82</v>
      </c>
      <c r="H416" s="17">
        <v>6331.62</v>
      </c>
      <c r="I416" s="17">
        <v>5821665.2199999997</v>
      </c>
      <c r="J416" s="15" t="s">
        <v>17</v>
      </c>
      <c r="K416" s="15" t="s">
        <v>18</v>
      </c>
      <c r="L416" s="9">
        <f>YEAR(E416)</f>
        <v>2020</v>
      </c>
      <c r="M416" s="11">
        <f t="shared" si="8"/>
        <v>2349031.02</v>
      </c>
    </row>
    <row r="417" spans="1:13" ht="20" customHeight="1" x14ac:dyDescent="0.15">
      <c r="A417" s="12"/>
      <c r="B417" s="13" t="s">
        <v>389</v>
      </c>
      <c r="C417" s="14" t="s">
        <v>31</v>
      </c>
      <c r="D417" s="15" t="s">
        <v>139</v>
      </c>
      <c r="E417" s="15" t="s">
        <v>222</v>
      </c>
      <c r="F417" s="16">
        <v>467</v>
      </c>
      <c r="G417" s="17">
        <v>17621.38</v>
      </c>
      <c r="H417" s="17">
        <v>4867.75</v>
      </c>
      <c r="I417" s="17">
        <v>8229184.46</v>
      </c>
      <c r="J417" s="15" t="s">
        <v>17</v>
      </c>
      <c r="K417" s="15" t="s">
        <v>18</v>
      </c>
      <c r="L417" s="9">
        <f>YEAR(E417)</f>
        <v>2020</v>
      </c>
      <c r="M417" s="11">
        <f t="shared" si="8"/>
        <v>2273239.25</v>
      </c>
    </row>
    <row r="418" spans="1:13" ht="20" customHeight="1" x14ac:dyDescent="0.15">
      <c r="A418" s="12"/>
      <c r="B418" s="13" t="s">
        <v>389</v>
      </c>
      <c r="C418" s="14" t="s">
        <v>38</v>
      </c>
      <c r="D418" s="15" t="s">
        <v>89</v>
      </c>
      <c r="E418" s="15" t="s">
        <v>423</v>
      </c>
      <c r="F418" s="16">
        <v>295</v>
      </c>
      <c r="G418" s="17">
        <v>37960.85</v>
      </c>
      <c r="H418" s="17">
        <v>4804.0200000000004</v>
      </c>
      <c r="I418" s="17">
        <v>11198450.75</v>
      </c>
      <c r="J418" s="15" t="s">
        <v>28</v>
      </c>
      <c r="K418" s="15" t="s">
        <v>18</v>
      </c>
      <c r="L418" s="9">
        <f>YEAR(E418)</f>
        <v>2020</v>
      </c>
      <c r="M418" s="11">
        <f t="shared" si="8"/>
        <v>1417185.9000000001</v>
      </c>
    </row>
    <row r="419" spans="1:13" ht="20" customHeight="1" x14ac:dyDescent="0.15">
      <c r="A419" s="12"/>
      <c r="B419" s="13" t="s">
        <v>389</v>
      </c>
      <c r="C419" s="14" t="s">
        <v>79</v>
      </c>
      <c r="D419" s="15" t="s">
        <v>89</v>
      </c>
      <c r="E419" s="15" t="s">
        <v>424</v>
      </c>
      <c r="F419" s="16">
        <v>925</v>
      </c>
      <c r="G419" s="17">
        <v>13785.14</v>
      </c>
      <c r="H419" s="17">
        <v>8374.84</v>
      </c>
      <c r="I419" s="19">
        <v>12751254.5</v>
      </c>
      <c r="J419" s="15" t="s">
        <v>17</v>
      </c>
      <c r="K419" s="15" t="s">
        <v>18</v>
      </c>
      <c r="L419" s="9">
        <f>YEAR(E419)</f>
        <v>2020</v>
      </c>
      <c r="M419" s="11">
        <f t="shared" si="8"/>
        <v>7746727</v>
      </c>
    </row>
    <row r="420" spans="1:13" ht="20" customHeight="1" x14ac:dyDescent="0.15">
      <c r="A420" s="12"/>
      <c r="B420" s="13" t="s">
        <v>389</v>
      </c>
      <c r="C420" s="14" t="s">
        <v>35</v>
      </c>
      <c r="D420" s="15" t="s">
        <v>89</v>
      </c>
      <c r="E420" s="15" t="s">
        <v>426</v>
      </c>
      <c r="F420" s="16">
        <v>224</v>
      </c>
      <c r="G420" s="19">
        <v>45093.4</v>
      </c>
      <c r="H420" s="19">
        <v>7090.2</v>
      </c>
      <c r="I420" s="19">
        <v>10100921.6</v>
      </c>
      <c r="J420" s="15" t="s">
        <v>17</v>
      </c>
      <c r="K420" s="15" t="s">
        <v>18</v>
      </c>
      <c r="L420" s="9">
        <f>YEAR(E420)</f>
        <v>2020</v>
      </c>
      <c r="M420" s="11">
        <f t="shared" si="8"/>
        <v>1588204.8</v>
      </c>
    </row>
    <row r="421" spans="1:13" ht="20" customHeight="1" x14ac:dyDescent="0.15">
      <c r="A421" s="12"/>
      <c r="B421" s="13" t="s">
        <v>389</v>
      </c>
      <c r="C421" s="14" t="s">
        <v>31</v>
      </c>
      <c r="D421" s="15" t="s">
        <v>153</v>
      </c>
      <c r="E421" s="15" t="s">
        <v>426</v>
      </c>
      <c r="F421" s="16">
        <v>303</v>
      </c>
      <c r="G421" s="17">
        <v>16552.77</v>
      </c>
      <c r="H421" s="19">
        <v>2426.6999999999998</v>
      </c>
      <c r="I421" s="17">
        <v>5015489.3099999996</v>
      </c>
      <c r="J421" s="15" t="s">
        <v>17</v>
      </c>
      <c r="K421" s="15" t="s">
        <v>18</v>
      </c>
      <c r="L421" s="9">
        <f>YEAR(E421)</f>
        <v>2020</v>
      </c>
      <c r="M421" s="11">
        <f t="shared" si="8"/>
        <v>735290.1</v>
      </c>
    </row>
    <row r="422" spans="1:13" ht="20" customHeight="1" x14ac:dyDescent="0.15">
      <c r="A422" s="12"/>
      <c r="B422" s="13" t="s">
        <v>389</v>
      </c>
      <c r="C422" s="14" t="s">
        <v>25</v>
      </c>
      <c r="D422" s="15" t="s">
        <v>89</v>
      </c>
      <c r="E422" s="15" t="s">
        <v>133</v>
      </c>
      <c r="F422" s="16">
        <v>361</v>
      </c>
      <c r="G422" s="17">
        <v>23661.98</v>
      </c>
      <c r="H422" s="17">
        <v>2145.5700000000002</v>
      </c>
      <c r="I422" s="17">
        <v>8541974.7799999993</v>
      </c>
      <c r="J422" s="15" t="s">
        <v>17</v>
      </c>
      <c r="K422" s="15" t="s">
        <v>18</v>
      </c>
      <c r="L422" s="9">
        <f>YEAR(E422)</f>
        <v>2020</v>
      </c>
      <c r="M422" s="11">
        <f t="shared" si="8"/>
        <v>774550.77</v>
      </c>
    </row>
    <row r="423" spans="1:13" ht="20" customHeight="1" x14ac:dyDescent="0.15">
      <c r="A423" s="12"/>
      <c r="B423" s="13" t="s">
        <v>389</v>
      </c>
      <c r="C423" s="14" t="s">
        <v>38</v>
      </c>
      <c r="D423" s="15" t="s">
        <v>26</v>
      </c>
      <c r="E423" s="15" t="s">
        <v>432</v>
      </c>
      <c r="F423" s="16">
        <v>525</v>
      </c>
      <c r="G423" s="17">
        <v>45333.56</v>
      </c>
      <c r="H423" s="17">
        <v>8558.6200000000008</v>
      </c>
      <c r="I423" s="16">
        <v>23800119</v>
      </c>
      <c r="J423" s="15" t="s">
        <v>17</v>
      </c>
      <c r="K423" s="15" t="s">
        <v>18</v>
      </c>
      <c r="L423" s="9">
        <f>YEAR(E423)</f>
        <v>2020</v>
      </c>
      <c r="M423" s="11">
        <f t="shared" si="8"/>
        <v>4493275.5</v>
      </c>
    </row>
    <row r="424" spans="1:13" ht="20" customHeight="1" x14ac:dyDescent="0.15">
      <c r="A424" s="12"/>
      <c r="B424" s="13" t="s">
        <v>389</v>
      </c>
      <c r="C424" s="14" t="s">
        <v>79</v>
      </c>
      <c r="D424" s="15" t="s">
        <v>153</v>
      </c>
      <c r="E424" s="15" t="s">
        <v>440</v>
      </c>
      <c r="F424" s="16">
        <v>459</v>
      </c>
      <c r="G424" s="17">
        <v>30252.46</v>
      </c>
      <c r="H424" s="17">
        <v>2958.05</v>
      </c>
      <c r="I424" s="17">
        <v>13885879.140000001</v>
      </c>
      <c r="J424" s="15" t="s">
        <v>22</v>
      </c>
      <c r="K424" s="15" t="s">
        <v>18</v>
      </c>
      <c r="L424" s="9">
        <f>YEAR(E424)</f>
        <v>2020</v>
      </c>
      <c r="M424" s="11">
        <f t="shared" si="8"/>
        <v>1357744.9500000002</v>
      </c>
    </row>
    <row r="425" spans="1:13" ht="20" customHeight="1" x14ac:dyDescent="0.15">
      <c r="A425" s="12"/>
      <c r="B425" s="13" t="s">
        <v>389</v>
      </c>
      <c r="C425" s="14" t="s">
        <v>14</v>
      </c>
      <c r="D425" s="15" t="s">
        <v>153</v>
      </c>
      <c r="E425" s="15" t="s">
        <v>441</v>
      </c>
      <c r="F425" s="16">
        <v>175</v>
      </c>
      <c r="G425" s="17">
        <v>15018.73</v>
      </c>
      <c r="H425" s="17">
        <v>9030.94</v>
      </c>
      <c r="I425" s="17">
        <v>2628277.75</v>
      </c>
      <c r="J425" s="15" t="s">
        <v>17</v>
      </c>
      <c r="K425" s="15" t="s">
        <v>18</v>
      </c>
      <c r="L425" s="9">
        <f>YEAR(E425)</f>
        <v>2020</v>
      </c>
      <c r="M425" s="11">
        <f t="shared" si="8"/>
        <v>1580414.5</v>
      </c>
    </row>
    <row r="426" spans="1:13" ht="20" customHeight="1" x14ac:dyDescent="0.15">
      <c r="A426" s="12"/>
      <c r="B426" s="13" t="s">
        <v>389</v>
      </c>
      <c r="C426" s="14" t="s">
        <v>43</v>
      </c>
      <c r="D426" s="15" t="s">
        <v>153</v>
      </c>
      <c r="E426" s="15" t="s">
        <v>444</v>
      </c>
      <c r="F426" s="16">
        <v>499</v>
      </c>
      <c r="G426" s="17">
        <v>20654.53</v>
      </c>
      <c r="H426" s="17">
        <v>9398.3799999999992</v>
      </c>
      <c r="I426" s="17">
        <v>10306610.470000001</v>
      </c>
      <c r="J426" s="15" t="s">
        <v>17</v>
      </c>
      <c r="K426" s="15" t="s">
        <v>18</v>
      </c>
      <c r="L426" s="9">
        <f>YEAR(E426)</f>
        <v>2020</v>
      </c>
      <c r="M426" s="11">
        <f t="shared" si="8"/>
        <v>4689791.6199999992</v>
      </c>
    </row>
    <row r="427" spans="1:13" ht="20" customHeight="1" x14ac:dyDescent="0.15">
      <c r="A427" s="12"/>
      <c r="B427" s="13" t="s">
        <v>389</v>
      </c>
      <c r="C427" s="14" t="s">
        <v>31</v>
      </c>
      <c r="D427" s="15" t="s">
        <v>153</v>
      </c>
      <c r="E427" s="15" t="s">
        <v>445</v>
      </c>
      <c r="F427" s="16">
        <v>522</v>
      </c>
      <c r="G427" s="17">
        <v>38587.910000000003</v>
      </c>
      <c r="H427" s="19">
        <v>7291.1</v>
      </c>
      <c r="I427" s="17">
        <v>20142889.02</v>
      </c>
      <c r="J427" s="15" t="s">
        <v>17</v>
      </c>
      <c r="K427" s="15" t="s">
        <v>18</v>
      </c>
      <c r="L427" s="9">
        <f>YEAR(E427)</f>
        <v>2020</v>
      </c>
      <c r="M427" s="11">
        <f t="shared" si="8"/>
        <v>3805954.2</v>
      </c>
    </row>
    <row r="428" spans="1:13" ht="20" customHeight="1" x14ac:dyDescent="0.15">
      <c r="A428" s="12"/>
      <c r="B428" s="13" t="s">
        <v>389</v>
      </c>
      <c r="C428" s="14" t="s">
        <v>38</v>
      </c>
      <c r="D428" s="15" t="s">
        <v>70</v>
      </c>
      <c r="E428" s="15" t="s">
        <v>453</v>
      </c>
      <c r="F428" s="16">
        <v>732</v>
      </c>
      <c r="G428" s="17">
        <v>11168.28</v>
      </c>
      <c r="H428" s="17">
        <v>6791.68</v>
      </c>
      <c r="I428" s="17">
        <v>8175180.96</v>
      </c>
      <c r="J428" s="15" t="s">
        <v>28</v>
      </c>
      <c r="K428" s="15" t="s">
        <v>18</v>
      </c>
      <c r="L428" s="9">
        <f>YEAR(E428)</f>
        <v>2020</v>
      </c>
      <c r="M428" s="11">
        <f t="shared" si="8"/>
        <v>4971509.7599999998</v>
      </c>
    </row>
    <row r="429" spans="1:13" ht="20" customHeight="1" x14ac:dyDescent="0.15">
      <c r="A429" s="12"/>
      <c r="B429" s="13" t="s">
        <v>389</v>
      </c>
      <c r="C429" s="14" t="s">
        <v>38</v>
      </c>
      <c r="D429" s="15" t="s">
        <v>53</v>
      </c>
      <c r="E429" s="15" t="s">
        <v>455</v>
      </c>
      <c r="F429" s="16">
        <v>824</v>
      </c>
      <c r="G429" s="17">
        <v>25390.880000000001</v>
      </c>
      <c r="H429" s="16">
        <v>8773</v>
      </c>
      <c r="I429" s="17">
        <v>20922085.120000001</v>
      </c>
      <c r="J429" s="15" t="s">
        <v>17</v>
      </c>
      <c r="K429" s="15" t="s">
        <v>18</v>
      </c>
      <c r="L429" s="9">
        <f>YEAR(E429)</f>
        <v>2020</v>
      </c>
      <c r="M429" s="11">
        <f t="shared" si="8"/>
        <v>7228952</v>
      </c>
    </row>
    <row r="430" spans="1:13" ht="20" customHeight="1" x14ac:dyDescent="0.15">
      <c r="A430" s="12"/>
      <c r="B430" s="13" t="s">
        <v>389</v>
      </c>
      <c r="C430" s="14" t="s">
        <v>25</v>
      </c>
      <c r="D430" s="15" t="s">
        <v>107</v>
      </c>
      <c r="E430" s="15" t="s">
        <v>394</v>
      </c>
      <c r="F430" s="16">
        <v>566</v>
      </c>
      <c r="G430" s="17">
        <v>15516.87</v>
      </c>
      <c r="H430" s="17">
        <v>3043.78</v>
      </c>
      <c r="I430" s="17">
        <v>8782548.4199999999</v>
      </c>
      <c r="J430" s="15" t="s">
        <v>28</v>
      </c>
      <c r="K430" s="15" t="s">
        <v>18</v>
      </c>
      <c r="L430" s="9">
        <f>YEAR(E430)</f>
        <v>2021</v>
      </c>
      <c r="M430" s="11">
        <f t="shared" si="8"/>
        <v>1722779.4800000002</v>
      </c>
    </row>
    <row r="431" spans="1:13" ht="20" customHeight="1" x14ac:dyDescent="0.15">
      <c r="A431" s="12"/>
      <c r="B431" s="13" t="s">
        <v>389</v>
      </c>
      <c r="C431" s="14" t="s">
        <v>43</v>
      </c>
      <c r="D431" s="15" t="s">
        <v>15</v>
      </c>
      <c r="E431" s="15" t="s">
        <v>397</v>
      </c>
      <c r="F431" s="16">
        <v>307</v>
      </c>
      <c r="G431" s="17">
        <v>20303.59</v>
      </c>
      <c r="H431" s="17">
        <v>7637.18</v>
      </c>
      <c r="I431" s="17">
        <v>6233202.1299999999</v>
      </c>
      <c r="J431" s="15" t="s">
        <v>17</v>
      </c>
      <c r="K431" s="15" t="s">
        <v>18</v>
      </c>
      <c r="L431" s="9">
        <f>YEAR(E431)</f>
        <v>2021</v>
      </c>
      <c r="M431" s="11">
        <f t="shared" si="8"/>
        <v>2344614.2600000002</v>
      </c>
    </row>
    <row r="432" spans="1:13" ht="20" customHeight="1" x14ac:dyDescent="0.15">
      <c r="A432" s="12"/>
      <c r="B432" s="13" t="s">
        <v>389</v>
      </c>
      <c r="C432" s="14" t="s">
        <v>43</v>
      </c>
      <c r="D432" s="15" t="s">
        <v>15</v>
      </c>
      <c r="E432" s="15" t="s">
        <v>400</v>
      </c>
      <c r="F432" s="16">
        <v>568</v>
      </c>
      <c r="G432" s="17">
        <v>37507.870000000003</v>
      </c>
      <c r="H432" s="17">
        <v>4346.03</v>
      </c>
      <c r="I432" s="17">
        <v>21304470.16</v>
      </c>
      <c r="J432" s="15" t="s">
        <v>17</v>
      </c>
      <c r="K432" s="15" t="s">
        <v>18</v>
      </c>
      <c r="L432" s="9">
        <f>YEAR(E432)</f>
        <v>2021</v>
      </c>
      <c r="M432" s="11">
        <f t="shared" si="8"/>
        <v>2468545.04</v>
      </c>
    </row>
    <row r="433" spans="1:13" ht="20" customHeight="1" x14ac:dyDescent="0.15">
      <c r="A433" s="12"/>
      <c r="B433" s="13" t="s">
        <v>389</v>
      </c>
      <c r="C433" s="14" t="s">
        <v>43</v>
      </c>
      <c r="D433" s="15" t="s">
        <v>15</v>
      </c>
      <c r="E433" s="15" t="s">
        <v>187</v>
      </c>
      <c r="F433" s="16">
        <v>414</v>
      </c>
      <c r="G433" s="17">
        <v>26446.32</v>
      </c>
      <c r="H433" s="17">
        <v>9849.4500000000007</v>
      </c>
      <c r="I433" s="17">
        <v>10948776.48</v>
      </c>
      <c r="J433" s="15" t="s">
        <v>28</v>
      </c>
      <c r="K433" s="15" t="s">
        <v>18</v>
      </c>
      <c r="L433" s="9">
        <f>YEAR(E433)</f>
        <v>2021</v>
      </c>
      <c r="M433" s="11">
        <f t="shared" si="8"/>
        <v>4077672.3000000003</v>
      </c>
    </row>
    <row r="434" spans="1:13" ht="20" customHeight="1" x14ac:dyDescent="0.15">
      <c r="A434" s="12"/>
      <c r="B434" s="13" t="s">
        <v>389</v>
      </c>
      <c r="C434" s="14" t="s">
        <v>31</v>
      </c>
      <c r="D434" s="15" t="s">
        <v>139</v>
      </c>
      <c r="E434" s="15" t="s">
        <v>406</v>
      </c>
      <c r="F434" s="16">
        <v>385</v>
      </c>
      <c r="G434" s="17">
        <v>21988.74</v>
      </c>
      <c r="H434" s="19">
        <v>2986.5</v>
      </c>
      <c r="I434" s="19">
        <v>8465664.9000000004</v>
      </c>
      <c r="J434" s="15" t="s">
        <v>17</v>
      </c>
      <c r="K434" s="15" t="s">
        <v>18</v>
      </c>
      <c r="L434" s="9">
        <f>YEAR(E434)</f>
        <v>2021</v>
      </c>
      <c r="M434" s="11">
        <f t="shared" si="8"/>
        <v>1149802.5</v>
      </c>
    </row>
    <row r="435" spans="1:13" ht="20" customHeight="1" x14ac:dyDescent="0.15">
      <c r="A435" s="12"/>
      <c r="B435" s="13" t="s">
        <v>389</v>
      </c>
      <c r="C435" s="14" t="s">
        <v>14</v>
      </c>
      <c r="D435" s="15" t="s">
        <v>139</v>
      </c>
      <c r="E435" s="15" t="s">
        <v>126</v>
      </c>
      <c r="F435" s="16">
        <v>525</v>
      </c>
      <c r="G435" s="19">
        <v>21719.7</v>
      </c>
      <c r="H435" s="17">
        <v>9485.0499999999993</v>
      </c>
      <c r="I435" s="19">
        <v>11402842.5</v>
      </c>
      <c r="J435" s="15" t="s">
        <v>17</v>
      </c>
      <c r="K435" s="15" t="s">
        <v>18</v>
      </c>
      <c r="L435" s="9">
        <f>YEAR(E435)</f>
        <v>2021</v>
      </c>
      <c r="M435" s="11">
        <f t="shared" si="8"/>
        <v>4979651.25</v>
      </c>
    </row>
    <row r="436" spans="1:13" ht="20" customHeight="1" x14ac:dyDescent="0.15">
      <c r="A436" s="12"/>
      <c r="B436" s="13" t="s">
        <v>389</v>
      </c>
      <c r="C436" s="14" t="s">
        <v>57</v>
      </c>
      <c r="D436" s="15" t="s">
        <v>139</v>
      </c>
      <c r="E436" s="15" t="s">
        <v>408</v>
      </c>
      <c r="F436" s="16">
        <v>985</v>
      </c>
      <c r="G436" s="17">
        <v>22041.82</v>
      </c>
      <c r="H436" s="17">
        <v>9336.1200000000008</v>
      </c>
      <c r="I436" s="19">
        <v>21711192.699999999</v>
      </c>
      <c r="J436" s="15" t="s">
        <v>22</v>
      </c>
      <c r="K436" s="15" t="s">
        <v>18</v>
      </c>
      <c r="L436" s="9">
        <f>YEAR(E436)</f>
        <v>2021</v>
      </c>
      <c r="M436" s="11">
        <f t="shared" si="8"/>
        <v>9196078.2000000011</v>
      </c>
    </row>
    <row r="437" spans="1:13" ht="20" customHeight="1" x14ac:dyDescent="0.15">
      <c r="A437" s="12"/>
      <c r="B437" s="13" t="s">
        <v>389</v>
      </c>
      <c r="C437" s="14" t="s">
        <v>35</v>
      </c>
      <c r="D437" s="15" t="s">
        <v>139</v>
      </c>
      <c r="E437" s="15" t="s">
        <v>411</v>
      </c>
      <c r="F437" s="16">
        <v>539</v>
      </c>
      <c r="G437" s="17">
        <v>44640.26</v>
      </c>
      <c r="H437" s="19">
        <v>6879.9</v>
      </c>
      <c r="I437" s="17">
        <v>24061100.140000001</v>
      </c>
      <c r="J437" s="15" t="s">
        <v>17</v>
      </c>
      <c r="K437" s="15" t="s">
        <v>18</v>
      </c>
      <c r="L437" s="9">
        <f>YEAR(E437)</f>
        <v>2021</v>
      </c>
      <c r="M437" s="11">
        <f t="shared" si="8"/>
        <v>3708266.0999999996</v>
      </c>
    </row>
    <row r="438" spans="1:13" ht="20" customHeight="1" x14ac:dyDescent="0.15">
      <c r="A438" s="12"/>
      <c r="B438" s="13" t="s">
        <v>389</v>
      </c>
      <c r="C438" s="14" t="s">
        <v>25</v>
      </c>
      <c r="D438" s="15" t="s">
        <v>139</v>
      </c>
      <c r="E438" s="15" t="s">
        <v>413</v>
      </c>
      <c r="F438" s="16">
        <v>631</v>
      </c>
      <c r="G438" s="17">
        <v>13405.98</v>
      </c>
      <c r="H438" s="17">
        <v>9333.15</v>
      </c>
      <c r="I438" s="17">
        <v>8459173.3800000008</v>
      </c>
      <c r="J438" s="15" t="s">
        <v>17</v>
      </c>
      <c r="K438" s="15" t="s">
        <v>18</v>
      </c>
      <c r="L438" s="9">
        <f>YEAR(E438)</f>
        <v>2021</v>
      </c>
      <c r="M438" s="11">
        <f t="shared" si="8"/>
        <v>5889217.6499999994</v>
      </c>
    </row>
    <row r="439" spans="1:13" ht="20" customHeight="1" x14ac:dyDescent="0.15">
      <c r="A439" s="12"/>
      <c r="B439" s="13" t="s">
        <v>389</v>
      </c>
      <c r="C439" s="14" t="s">
        <v>23</v>
      </c>
      <c r="D439" s="15" t="s">
        <v>114</v>
      </c>
      <c r="E439" s="15" t="s">
        <v>415</v>
      </c>
      <c r="F439" s="16">
        <v>823</v>
      </c>
      <c r="G439" s="17">
        <v>44241.93</v>
      </c>
      <c r="H439" s="17">
        <v>3183.41</v>
      </c>
      <c r="I439" s="17">
        <v>36411108.390000001</v>
      </c>
      <c r="J439" s="15" t="s">
        <v>17</v>
      </c>
      <c r="K439" s="15" t="s">
        <v>18</v>
      </c>
      <c r="L439" s="9">
        <f>YEAR(E439)</f>
        <v>2021</v>
      </c>
      <c r="M439" s="11">
        <f t="shared" si="8"/>
        <v>2619946.4299999997</v>
      </c>
    </row>
    <row r="440" spans="1:13" ht="20" customHeight="1" x14ac:dyDescent="0.15">
      <c r="A440" s="12"/>
      <c r="B440" s="13" t="s">
        <v>389</v>
      </c>
      <c r="C440" s="14" t="s">
        <v>31</v>
      </c>
      <c r="D440" s="15" t="s">
        <v>114</v>
      </c>
      <c r="E440" s="15" t="s">
        <v>417</v>
      </c>
      <c r="F440" s="16">
        <v>554</v>
      </c>
      <c r="G440" s="17">
        <v>40655.79</v>
      </c>
      <c r="H440" s="17">
        <v>3828.59</v>
      </c>
      <c r="I440" s="17">
        <v>22523307.66</v>
      </c>
      <c r="J440" s="15" t="s">
        <v>22</v>
      </c>
      <c r="K440" s="15" t="s">
        <v>18</v>
      </c>
      <c r="L440" s="9">
        <f>YEAR(E440)</f>
        <v>2021</v>
      </c>
      <c r="M440" s="11">
        <f t="shared" si="8"/>
        <v>2121038.86</v>
      </c>
    </row>
    <row r="441" spans="1:13" ht="20" customHeight="1" x14ac:dyDescent="0.15">
      <c r="A441" s="12"/>
      <c r="B441" s="13" t="s">
        <v>389</v>
      </c>
      <c r="C441" s="14" t="s">
        <v>43</v>
      </c>
      <c r="D441" s="15" t="s">
        <v>114</v>
      </c>
      <c r="E441" s="15" t="s">
        <v>171</v>
      </c>
      <c r="F441" s="16">
        <v>892</v>
      </c>
      <c r="G441" s="17">
        <v>30720.69</v>
      </c>
      <c r="H441" s="17">
        <v>8022.12</v>
      </c>
      <c r="I441" s="17">
        <v>27402855.48</v>
      </c>
      <c r="J441" s="15" t="s">
        <v>28</v>
      </c>
      <c r="K441" s="15" t="s">
        <v>18</v>
      </c>
      <c r="L441" s="9">
        <f>YEAR(E441)</f>
        <v>2021</v>
      </c>
      <c r="M441" s="11">
        <f t="shared" si="8"/>
        <v>7155731.04</v>
      </c>
    </row>
    <row r="442" spans="1:13" ht="20" customHeight="1" x14ac:dyDescent="0.15">
      <c r="A442" s="12"/>
      <c r="B442" s="13" t="s">
        <v>389</v>
      </c>
      <c r="C442" s="14" t="s">
        <v>25</v>
      </c>
      <c r="D442" s="15" t="s">
        <v>89</v>
      </c>
      <c r="E442" s="15" t="s">
        <v>421</v>
      </c>
      <c r="F442" s="16">
        <v>604</v>
      </c>
      <c r="G442" s="17">
        <v>10944.17</v>
      </c>
      <c r="H442" s="17">
        <v>5479.31</v>
      </c>
      <c r="I442" s="17">
        <v>6610278.6799999997</v>
      </c>
      <c r="J442" s="15" t="s">
        <v>17</v>
      </c>
      <c r="K442" s="15" t="s">
        <v>18</v>
      </c>
      <c r="L442" s="9">
        <f>YEAR(E442)</f>
        <v>2021</v>
      </c>
      <c r="M442" s="11">
        <f t="shared" si="8"/>
        <v>3309503.24</v>
      </c>
    </row>
    <row r="443" spans="1:13" ht="20" customHeight="1" x14ac:dyDescent="0.15">
      <c r="A443" s="12"/>
      <c r="B443" s="13" t="s">
        <v>389</v>
      </c>
      <c r="C443" s="14" t="s">
        <v>31</v>
      </c>
      <c r="D443" s="15" t="s">
        <v>89</v>
      </c>
      <c r="E443" s="15" t="s">
        <v>188</v>
      </c>
      <c r="F443" s="16">
        <v>651</v>
      </c>
      <c r="G443" s="19">
        <v>10926.4</v>
      </c>
      <c r="H443" s="17">
        <v>2904.18</v>
      </c>
      <c r="I443" s="19">
        <v>7113086.4000000004</v>
      </c>
      <c r="J443" s="15" t="s">
        <v>28</v>
      </c>
      <c r="K443" s="15" t="s">
        <v>18</v>
      </c>
      <c r="L443" s="9">
        <f>YEAR(E443)</f>
        <v>2021</v>
      </c>
      <c r="M443" s="11">
        <f t="shared" si="8"/>
        <v>1890621.18</v>
      </c>
    </row>
    <row r="444" spans="1:13" ht="20" customHeight="1" x14ac:dyDescent="0.15">
      <c r="A444" s="12"/>
      <c r="B444" s="13" t="s">
        <v>389</v>
      </c>
      <c r="C444" s="14" t="s">
        <v>19</v>
      </c>
      <c r="D444" s="15" t="s">
        <v>89</v>
      </c>
      <c r="E444" s="15" t="s">
        <v>428</v>
      </c>
      <c r="F444" s="16">
        <v>999</v>
      </c>
      <c r="G444" s="17">
        <v>16092.91</v>
      </c>
      <c r="H444" s="17">
        <v>5565.11</v>
      </c>
      <c r="I444" s="17">
        <v>16076817.09</v>
      </c>
      <c r="J444" s="15" t="s">
        <v>28</v>
      </c>
      <c r="K444" s="15" t="s">
        <v>18</v>
      </c>
      <c r="L444" s="9">
        <f>YEAR(E444)</f>
        <v>2021</v>
      </c>
      <c r="M444" s="11">
        <f t="shared" si="8"/>
        <v>5559544.8899999997</v>
      </c>
    </row>
    <row r="445" spans="1:13" ht="20" customHeight="1" x14ac:dyDescent="0.15">
      <c r="A445" s="12"/>
      <c r="B445" s="13" t="s">
        <v>389</v>
      </c>
      <c r="C445" s="14" t="s">
        <v>14</v>
      </c>
      <c r="D445" s="15" t="s">
        <v>26</v>
      </c>
      <c r="E445" s="15" t="s">
        <v>430</v>
      </c>
      <c r="F445" s="16">
        <v>775</v>
      </c>
      <c r="G445" s="17">
        <v>33127.43</v>
      </c>
      <c r="H445" s="17">
        <v>2179.1799999999998</v>
      </c>
      <c r="I445" s="17">
        <v>25673758.25</v>
      </c>
      <c r="J445" s="15" t="s">
        <v>22</v>
      </c>
      <c r="K445" s="15" t="s">
        <v>18</v>
      </c>
      <c r="L445" s="9">
        <f>YEAR(E445)</f>
        <v>2021</v>
      </c>
      <c r="M445" s="11">
        <f t="shared" si="8"/>
        <v>1688864.4999999998</v>
      </c>
    </row>
    <row r="446" spans="1:13" ht="20" customHeight="1" x14ac:dyDescent="0.15">
      <c r="A446" s="12"/>
      <c r="B446" s="13" t="s">
        <v>389</v>
      </c>
      <c r="C446" s="14" t="s">
        <v>38</v>
      </c>
      <c r="D446" s="15" t="s">
        <v>26</v>
      </c>
      <c r="E446" s="15" t="s">
        <v>128</v>
      </c>
      <c r="F446" s="16">
        <v>965</v>
      </c>
      <c r="G446" s="17">
        <v>27453.95</v>
      </c>
      <c r="H446" s="17">
        <v>3730.14</v>
      </c>
      <c r="I446" s="17">
        <v>26493061.75</v>
      </c>
      <c r="J446" s="15" t="s">
        <v>28</v>
      </c>
      <c r="K446" s="15" t="s">
        <v>18</v>
      </c>
      <c r="L446" s="9">
        <f>YEAR(E446)</f>
        <v>2021</v>
      </c>
      <c r="M446" s="11">
        <f t="shared" si="8"/>
        <v>3599585.1</v>
      </c>
    </row>
    <row r="447" spans="1:13" ht="20" customHeight="1" x14ac:dyDescent="0.15">
      <c r="A447" s="12"/>
      <c r="B447" s="13" t="s">
        <v>389</v>
      </c>
      <c r="C447" s="14" t="s">
        <v>31</v>
      </c>
      <c r="D447" s="15" t="s">
        <v>153</v>
      </c>
      <c r="E447" s="15" t="s">
        <v>438</v>
      </c>
      <c r="F447" s="16">
        <v>618</v>
      </c>
      <c r="G447" s="17">
        <v>12028.51</v>
      </c>
      <c r="H447" s="17">
        <v>9967.48</v>
      </c>
      <c r="I447" s="17">
        <v>7433619.1799999997</v>
      </c>
      <c r="J447" s="15" t="s">
        <v>30</v>
      </c>
      <c r="K447" s="15" t="s">
        <v>18</v>
      </c>
      <c r="L447" s="9">
        <f>YEAR(E447)</f>
        <v>2021</v>
      </c>
      <c r="M447" s="11">
        <f t="shared" si="8"/>
        <v>6159902.6399999997</v>
      </c>
    </row>
    <row r="448" spans="1:13" ht="20" customHeight="1" x14ac:dyDescent="0.15">
      <c r="A448" s="12"/>
      <c r="B448" s="13" t="s">
        <v>389</v>
      </c>
      <c r="C448" s="14" t="s">
        <v>23</v>
      </c>
      <c r="D448" s="15" t="s">
        <v>153</v>
      </c>
      <c r="E448" s="15" t="s">
        <v>111</v>
      </c>
      <c r="F448" s="16">
        <v>808</v>
      </c>
      <c r="G448" s="17">
        <v>36102.120000000003</v>
      </c>
      <c r="H448" s="19">
        <v>4257.5</v>
      </c>
      <c r="I448" s="17">
        <v>29170512.960000001</v>
      </c>
      <c r="J448" s="15" t="s">
        <v>30</v>
      </c>
      <c r="K448" s="15" t="s">
        <v>18</v>
      </c>
      <c r="L448" s="9">
        <f>YEAR(E448)</f>
        <v>2021</v>
      </c>
      <c r="M448" s="11">
        <f t="shared" si="8"/>
        <v>3440060</v>
      </c>
    </row>
    <row r="449" spans="1:13" ht="20" customHeight="1" x14ac:dyDescent="0.15">
      <c r="A449" s="12"/>
      <c r="B449" s="13" t="s">
        <v>389</v>
      </c>
      <c r="C449" s="14" t="s">
        <v>79</v>
      </c>
      <c r="D449" s="15" t="s">
        <v>153</v>
      </c>
      <c r="E449" s="15" t="s">
        <v>207</v>
      </c>
      <c r="F449" s="16">
        <v>763</v>
      </c>
      <c r="G449" s="19">
        <v>42458.7</v>
      </c>
      <c r="H449" s="17">
        <v>6325.82</v>
      </c>
      <c r="I449" s="19">
        <v>32395988.100000001</v>
      </c>
      <c r="J449" s="15" t="s">
        <v>30</v>
      </c>
      <c r="K449" s="15" t="s">
        <v>18</v>
      </c>
      <c r="L449" s="9">
        <f>YEAR(E449)</f>
        <v>2021</v>
      </c>
      <c r="M449" s="11">
        <f t="shared" si="8"/>
        <v>4826600.66</v>
      </c>
    </row>
    <row r="450" spans="1:13" ht="20" customHeight="1" x14ac:dyDescent="0.15">
      <c r="A450" s="12"/>
      <c r="B450" s="13" t="s">
        <v>389</v>
      </c>
      <c r="C450" s="14" t="s">
        <v>35</v>
      </c>
      <c r="D450" s="15" t="s">
        <v>153</v>
      </c>
      <c r="E450" s="15" t="s">
        <v>442</v>
      </c>
      <c r="F450" s="16">
        <v>511</v>
      </c>
      <c r="G450" s="17">
        <v>31655.61</v>
      </c>
      <c r="H450" s="19">
        <v>8956.6</v>
      </c>
      <c r="I450" s="17">
        <v>16176016.710000001</v>
      </c>
      <c r="J450" s="15" t="s">
        <v>17</v>
      </c>
      <c r="K450" s="15" t="s">
        <v>18</v>
      </c>
      <c r="L450" s="9">
        <f>YEAR(E450)</f>
        <v>2021</v>
      </c>
      <c r="M450" s="11">
        <f t="shared" si="8"/>
        <v>4576822.6000000006</v>
      </c>
    </row>
    <row r="451" spans="1:13" ht="20" customHeight="1" x14ac:dyDescent="0.15">
      <c r="A451" s="12"/>
      <c r="B451" s="13" t="s">
        <v>389</v>
      </c>
      <c r="C451" s="14" t="s">
        <v>57</v>
      </c>
      <c r="D451" s="15" t="s">
        <v>153</v>
      </c>
      <c r="E451" s="15" t="s">
        <v>115</v>
      </c>
      <c r="F451" s="16">
        <v>715</v>
      </c>
      <c r="G451" s="17">
        <v>36611.18</v>
      </c>
      <c r="H451" s="17">
        <v>9363.9500000000007</v>
      </c>
      <c r="I451" s="19">
        <v>26176993.699999999</v>
      </c>
      <c r="J451" s="15" t="s">
        <v>28</v>
      </c>
      <c r="K451" s="15" t="s">
        <v>18</v>
      </c>
      <c r="L451" s="9">
        <f>YEAR(E451)</f>
        <v>2021</v>
      </c>
      <c r="M451" s="11">
        <f t="shared" si="8"/>
        <v>6695224.2500000009</v>
      </c>
    </row>
    <row r="452" spans="1:13" ht="20" customHeight="1" x14ac:dyDescent="0.15">
      <c r="A452" s="12"/>
      <c r="B452" s="13" t="s">
        <v>389</v>
      </c>
      <c r="C452" s="14" t="s">
        <v>31</v>
      </c>
      <c r="D452" s="15" t="s">
        <v>68</v>
      </c>
      <c r="E452" s="15" t="s">
        <v>447</v>
      </c>
      <c r="F452" s="16">
        <v>727</v>
      </c>
      <c r="G452" s="17">
        <v>21997.05</v>
      </c>
      <c r="H452" s="17">
        <v>7782.56</v>
      </c>
      <c r="I452" s="17">
        <v>15991855.35</v>
      </c>
      <c r="J452" s="15" t="s">
        <v>17</v>
      </c>
      <c r="K452" s="15" t="s">
        <v>18</v>
      </c>
      <c r="L452" s="9">
        <f>YEAR(E452)</f>
        <v>2021</v>
      </c>
      <c r="M452" s="11">
        <f t="shared" si="8"/>
        <v>5657921.1200000001</v>
      </c>
    </row>
    <row r="453" spans="1:13" ht="20" customHeight="1" x14ac:dyDescent="0.15">
      <c r="A453" s="12"/>
      <c r="B453" s="13" t="s">
        <v>389</v>
      </c>
      <c r="C453" s="14" t="s">
        <v>14</v>
      </c>
      <c r="D453" s="15" t="s">
        <v>68</v>
      </c>
      <c r="E453" s="15" t="s">
        <v>449</v>
      </c>
      <c r="F453" s="16">
        <v>350</v>
      </c>
      <c r="G453" s="17">
        <v>47157.35</v>
      </c>
      <c r="H453" s="17">
        <v>3777.28</v>
      </c>
      <c r="I453" s="19">
        <v>16505072.5</v>
      </c>
      <c r="J453" s="15" t="s">
        <v>17</v>
      </c>
      <c r="K453" s="15" t="s">
        <v>18</v>
      </c>
      <c r="L453" s="9">
        <f>YEAR(E453)</f>
        <v>2021</v>
      </c>
      <c r="M453" s="11">
        <f t="shared" ref="M453:M516" si="9">H453*F453</f>
        <v>1322048</v>
      </c>
    </row>
    <row r="454" spans="1:13" ht="20" customHeight="1" x14ac:dyDescent="0.15">
      <c r="A454" s="12"/>
      <c r="B454" s="13" t="s">
        <v>389</v>
      </c>
      <c r="C454" s="14" t="s">
        <v>19</v>
      </c>
      <c r="D454" s="15" t="s">
        <v>53</v>
      </c>
      <c r="E454" s="15" t="s">
        <v>454</v>
      </c>
      <c r="F454" s="16">
        <v>218</v>
      </c>
      <c r="G454" s="17">
        <v>18450.310000000001</v>
      </c>
      <c r="H454" s="17">
        <v>3273.85</v>
      </c>
      <c r="I454" s="17">
        <v>4022167.58</v>
      </c>
      <c r="J454" s="15" t="s">
        <v>17</v>
      </c>
      <c r="K454" s="15" t="s">
        <v>18</v>
      </c>
      <c r="L454" s="9">
        <f>YEAR(E454)</f>
        <v>2021</v>
      </c>
      <c r="M454" s="11">
        <f t="shared" si="9"/>
        <v>713699.29999999993</v>
      </c>
    </row>
    <row r="455" spans="1:13" ht="20" customHeight="1" x14ac:dyDescent="0.15">
      <c r="A455" s="12"/>
      <c r="B455" s="13" t="s">
        <v>389</v>
      </c>
      <c r="C455" s="14" t="s">
        <v>79</v>
      </c>
      <c r="D455" s="15" t="s">
        <v>15</v>
      </c>
      <c r="E455" s="15" t="s">
        <v>54</v>
      </c>
      <c r="F455" s="16">
        <v>740</v>
      </c>
      <c r="G455" s="17">
        <v>49218.64</v>
      </c>
      <c r="H455" s="17">
        <v>3231.87</v>
      </c>
      <c r="I455" s="19">
        <v>36421793.600000001</v>
      </c>
      <c r="J455" s="15" t="s">
        <v>17</v>
      </c>
      <c r="K455" s="15" t="s">
        <v>18</v>
      </c>
      <c r="L455" s="9">
        <f>YEAR(E455)</f>
        <v>2022</v>
      </c>
      <c r="M455" s="11">
        <f t="shared" si="9"/>
        <v>2391583.7999999998</v>
      </c>
    </row>
    <row r="456" spans="1:13" ht="20" customHeight="1" x14ac:dyDescent="0.15">
      <c r="A456" s="12"/>
      <c r="B456" s="13" t="s">
        <v>389</v>
      </c>
      <c r="C456" s="14" t="s">
        <v>25</v>
      </c>
      <c r="D456" s="15" t="s">
        <v>15</v>
      </c>
      <c r="E456" s="15" t="s">
        <v>395</v>
      </c>
      <c r="F456" s="16">
        <v>536</v>
      </c>
      <c r="G456" s="17">
        <v>10387.59</v>
      </c>
      <c r="H456" s="17">
        <v>9458.2199999999993</v>
      </c>
      <c r="I456" s="17">
        <v>5567748.2400000002</v>
      </c>
      <c r="J456" s="15" t="s">
        <v>17</v>
      </c>
      <c r="K456" s="15" t="s">
        <v>18</v>
      </c>
      <c r="L456" s="9">
        <f>YEAR(E456)</f>
        <v>2022</v>
      </c>
      <c r="M456" s="11">
        <f t="shared" si="9"/>
        <v>5069605.92</v>
      </c>
    </row>
    <row r="457" spans="1:13" ht="20" customHeight="1" x14ac:dyDescent="0.15">
      <c r="A457" s="12"/>
      <c r="B457" s="13" t="s">
        <v>389</v>
      </c>
      <c r="C457" s="14" t="s">
        <v>25</v>
      </c>
      <c r="D457" s="15" t="s">
        <v>15</v>
      </c>
      <c r="E457" s="15" t="s">
        <v>396</v>
      </c>
      <c r="F457" s="16">
        <v>563</v>
      </c>
      <c r="G457" s="17">
        <v>41130.94</v>
      </c>
      <c r="H457" s="17">
        <v>6706.05</v>
      </c>
      <c r="I457" s="17">
        <v>23156719.219999999</v>
      </c>
      <c r="J457" s="15" t="s">
        <v>17</v>
      </c>
      <c r="K457" s="15" t="s">
        <v>18</v>
      </c>
      <c r="L457" s="9">
        <f>YEAR(E457)</f>
        <v>2022</v>
      </c>
      <c r="M457" s="11">
        <f t="shared" si="9"/>
        <v>3775506.15</v>
      </c>
    </row>
    <row r="458" spans="1:13" ht="20" customHeight="1" x14ac:dyDescent="0.15">
      <c r="A458" s="12"/>
      <c r="B458" s="13" t="s">
        <v>389</v>
      </c>
      <c r="C458" s="14" t="s">
        <v>43</v>
      </c>
      <c r="D458" s="15" t="s">
        <v>15</v>
      </c>
      <c r="E458" s="15" t="s">
        <v>398</v>
      </c>
      <c r="F458" s="16">
        <v>519</v>
      </c>
      <c r="G458" s="17">
        <v>46462.39</v>
      </c>
      <c r="H458" s="17">
        <v>7563.66</v>
      </c>
      <c r="I458" s="17">
        <v>24113980.41</v>
      </c>
      <c r="J458" s="15" t="s">
        <v>30</v>
      </c>
      <c r="K458" s="15" t="s">
        <v>18</v>
      </c>
      <c r="L458" s="9">
        <f>YEAR(E458)</f>
        <v>2022</v>
      </c>
      <c r="M458" s="11">
        <f t="shared" si="9"/>
        <v>3925539.54</v>
      </c>
    </row>
    <row r="459" spans="1:13" ht="20" customHeight="1" x14ac:dyDescent="0.15">
      <c r="A459" s="12"/>
      <c r="B459" s="13" t="s">
        <v>389</v>
      </c>
      <c r="C459" s="14" t="s">
        <v>31</v>
      </c>
      <c r="D459" s="15" t="s">
        <v>15</v>
      </c>
      <c r="E459" s="15" t="s">
        <v>81</v>
      </c>
      <c r="F459" s="16">
        <v>276</v>
      </c>
      <c r="G459" s="17">
        <v>47090.73</v>
      </c>
      <c r="H459" s="19">
        <v>7019.4</v>
      </c>
      <c r="I459" s="17">
        <v>12997041.48</v>
      </c>
      <c r="J459" s="15" t="s">
        <v>17</v>
      </c>
      <c r="K459" s="15" t="s">
        <v>18</v>
      </c>
      <c r="L459" s="9">
        <f>YEAR(E459)</f>
        <v>2022</v>
      </c>
      <c r="M459" s="11">
        <f t="shared" si="9"/>
        <v>1937354.4</v>
      </c>
    </row>
    <row r="460" spans="1:13" ht="20" customHeight="1" x14ac:dyDescent="0.15">
      <c r="A460" s="12"/>
      <c r="B460" s="13" t="s">
        <v>389</v>
      </c>
      <c r="C460" s="14" t="s">
        <v>14</v>
      </c>
      <c r="D460" s="15" t="s">
        <v>114</v>
      </c>
      <c r="E460" s="15" t="s">
        <v>81</v>
      </c>
      <c r="F460" s="16">
        <v>706</v>
      </c>
      <c r="G460" s="19">
        <v>47962.400000000001</v>
      </c>
      <c r="H460" s="17">
        <v>8161.97</v>
      </c>
      <c r="I460" s="19">
        <v>33861454.399999999</v>
      </c>
      <c r="J460" s="15" t="s">
        <v>22</v>
      </c>
      <c r="K460" s="15" t="s">
        <v>18</v>
      </c>
      <c r="L460" s="9">
        <f>YEAR(E460)</f>
        <v>2022</v>
      </c>
      <c r="M460" s="11">
        <f t="shared" si="9"/>
        <v>5762350.8200000003</v>
      </c>
    </row>
    <row r="461" spans="1:13" ht="20" customHeight="1" x14ac:dyDescent="0.15">
      <c r="A461" s="12"/>
      <c r="B461" s="13" t="s">
        <v>389</v>
      </c>
      <c r="C461" s="14" t="s">
        <v>19</v>
      </c>
      <c r="D461" s="15" t="s">
        <v>139</v>
      </c>
      <c r="E461" s="15" t="s">
        <v>409</v>
      </c>
      <c r="F461" s="16">
        <v>296</v>
      </c>
      <c r="G461" s="17">
        <v>10142.15</v>
      </c>
      <c r="H461" s="17">
        <v>6846.41</v>
      </c>
      <c r="I461" s="19">
        <v>3002076.4</v>
      </c>
      <c r="J461" s="15" t="s">
        <v>17</v>
      </c>
      <c r="K461" s="15" t="s">
        <v>18</v>
      </c>
      <c r="L461" s="9">
        <f>YEAR(E461)</f>
        <v>2022</v>
      </c>
      <c r="M461" s="11">
        <f t="shared" si="9"/>
        <v>2026537.3599999999</v>
      </c>
    </row>
    <row r="462" spans="1:13" ht="20" customHeight="1" x14ac:dyDescent="0.15">
      <c r="A462" s="12"/>
      <c r="B462" s="13" t="s">
        <v>389</v>
      </c>
      <c r="C462" s="14" t="s">
        <v>31</v>
      </c>
      <c r="D462" s="15" t="s">
        <v>139</v>
      </c>
      <c r="E462" s="15" t="s">
        <v>410</v>
      </c>
      <c r="F462" s="16">
        <v>606</v>
      </c>
      <c r="G462" s="17">
        <v>48515.519999999997</v>
      </c>
      <c r="H462" s="17">
        <v>6441.57</v>
      </c>
      <c r="I462" s="17">
        <v>29400405.120000001</v>
      </c>
      <c r="J462" s="15" t="s">
        <v>17</v>
      </c>
      <c r="K462" s="15" t="s">
        <v>18</v>
      </c>
      <c r="L462" s="9">
        <f>YEAR(E462)</f>
        <v>2022</v>
      </c>
      <c r="M462" s="11">
        <f t="shared" si="9"/>
        <v>3903591.42</v>
      </c>
    </row>
    <row r="463" spans="1:13" ht="20" customHeight="1" x14ac:dyDescent="0.15">
      <c r="A463" s="12"/>
      <c r="B463" s="13" t="s">
        <v>389</v>
      </c>
      <c r="C463" s="14" t="s">
        <v>38</v>
      </c>
      <c r="D463" s="15" t="s">
        <v>139</v>
      </c>
      <c r="E463" s="15" t="s">
        <v>412</v>
      </c>
      <c r="F463" s="16">
        <v>105</v>
      </c>
      <c r="G463" s="17">
        <v>47676.69</v>
      </c>
      <c r="H463" s="17">
        <v>6392.49</v>
      </c>
      <c r="I463" s="17">
        <v>5006052.45</v>
      </c>
      <c r="J463" s="15" t="s">
        <v>17</v>
      </c>
      <c r="K463" s="15" t="s">
        <v>18</v>
      </c>
      <c r="L463" s="9">
        <f>YEAR(E463)</f>
        <v>2022</v>
      </c>
      <c r="M463" s="11">
        <f t="shared" si="9"/>
        <v>671211.45</v>
      </c>
    </row>
    <row r="464" spans="1:13" ht="20" customHeight="1" x14ac:dyDescent="0.15">
      <c r="A464" s="12"/>
      <c r="B464" s="13" t="s">
        <v>389</v>
      </c>
      <c r="C464" s="14" t="s">
        <v>43</v>
      </c>
      <c r="D464" s="15" t="s">
        <v>114</v>
      </c>
      <c r="E464" s="15" t="s">
        <v>416</v>
      </c>
      <c r="F464" s="16">
        <v>306</v>
      </c>
      <c r="G464" s="17">
        <v>28489.69</v>
      </c>
      <c r="H464" s="17">
        <v>5983.88</v>
      </c>
      <c r="I464" s="17">
        <v>8717845.1400000006</v>
      </c>
      <c r="J464" s="15" t="s">
        <v>17</v>
      </c>
      <c r="K464" s="15" t="s">
        <v>18</v>
      </c>
      <c r="L464" s="9">
        <f>YEAR(E464)</f>
        <v>2022</v>
      </c>
      <c r="M464" s="11">
        <f t="shared" si="9"/>
        <v>1831067.28</v>
      </c>
    </row>
    <row r="465" spans="1:13" ht="20" customHeight="1" x14ac:dyDescent="0.15">
      <c r="A465" s="12"/>
      <c r="B465" s="13" t="s">
        <v>389</v>
      </c>
      <c r="C465" s="14" t="s">
        <v>38</v>
      </c>
      <c r="D465" s="15" t="s">
        <v>114</v>
      </c>
      <c r="E465" s="15" t="s">
        <v>276</v>
      </c>
      <c r="F465" s="16">
        <v>471</v>
      </c>
      <c r="G465" s="17">
        <v>11415.43</v>
      </c>
      <c r="H465" s="19">
        <v>8345.6</v>
      </c>
      <c r="I465" s="17">
        <v>5376667.5300000003</v>
      </c>
      <c r="J465" s="15" t="s">
        <v>17</v>
      </c>
      <c r="K465" s="15" t="s">
        <v>18</v>
      </c>
      <c r="L465" s="9">
        <f>YEAR(E465)</f>
        <v>2022</v>
      </c>
      <c r="M465" s="11">
        <f t="shared" si="9"/>
        <v>3930777.6000000001</v>
      </c>
    </row>
    <row r="466" spans="1:13" ht="20" customHeight="1" x14ac:dyDescent="0.15">
      <c r="A466" s="12"/>
      <c r="B466" s="13" t="s">
        <v>389</v>
      </c>
      <c r="C466" s="14" t="s">
        <v>14</v>
      </c>
      <c r="D466" s="15" t="s">
        <v>89</v>
      </c>
      <c r="E466" s="15" t="s">
        <v>420</v>
      </c>
      <c r="F466" s="16">
        <v>129</v>
      </c>
      <c r="G466" s="17">
        <v>18817.41</v>
      </c>
      <c r="H466" s="17">
        <v>4803.29</v>
      </c>
      <c r="I466" s="17">
        <v>2427445.89</v>
      </c>
      <c r="J466" s="15" t="s">
        <v>17</v>
      </c>
      <c r="K466" s="15" t="s">
        <v>18</v>
      </c>
      <c r="L466" s="9">
        <f>YEAR(E466)</f>
        <v>2022</v>
      </c>
      <c r="M466" s="11">
        <f t="shared" si="9"/>
        <v>619624.41</v>
      </c>
    </row>
    <row r="467" spans="1:13" ht="20" customHeight="1" x14ac:dyDescent="0.15">
      <c r="A467" s="12"/>
      <c r="B467" s="13" t="s">
        <v>389</v>
      </c>
      <c r="C467" s="14" t="s">
        <v>31</v>
      </c>
      <c r="D467" s="15" t="s">
        <v>89</v>
      </c>
      <c r="E467" s="15" t="s">
        <v>422</v>
      </c>
      <c r="F467" s="16">
        <v>787</v>
      </c>
      <c r="G467" s="17">
        <v>35424.54</v>
      </c>
      <c r="H467" s="19">
        <v>7667.6</v>
      </c>
      <c r="I467" s="17">
        <v>27879112.98</v>
      </c>
      <c r="J467" s="15" t="s">
        <v>17</v>
      </c>
      <c r="K467" s="15" t="s">
        <v>18</v>
      </c>
      <c r="L467" s="9">
        <f>YEAR(E467)</f>
        <v>2022</v>
      </c>
      <c r="M467" s="11">
        <f t="shared" si="9"/>
        <v>6034401.2000000002</v>
      </c>
    </row>
    <row r="468" spans="1:13" ht="20" customHeight="1" x14ac:dyDescent="0.15">
      <c r="A468" s="12"/>
      <c r="B468" s="13" t="s">
        <v>389</v>
      </c>
      <c r="C468" s="14" t="s">
        <v>23</v>
      </c>
      <c r="D468" s="15" t="s">
        <v>89</v>
      </c>
      <c r="E468" s="15" t="s">
        <v>425</v>
      </c>
      <c r="F468" s="16">
        <v>115</v>
      </c>
      <c r="G468" s="17">
        <v>37857.65</v>
      </c>
      <c r="H468" s="17">
        <v>2928.51</v>
      </c>
      <c r="I468" s="17">
        <v>4353629.75</v>
      </c>
      <c r="J468" s="15" t="s">
        <v>22</v>
      </c>
      <c r="K468" s="15" t="s">
        <v>18</v>
      </c>
      <c r="L468" s="9">
        <f>YEAR(E468)</f>
        <v>2022</v>
      </c>
      <c r="M468" s="11">
        <f t="shared" si="9"/>
        <v>336778.65</v>
      </c>
    </row>
    <row r="469" spans="1:13" ht="20" customHeight="1" x14ac:dyDescent="0.15">
      <c r="A469" s="12"/>
      <c r="B469" s="13" t="s">
        <v>389</v>
      </c>
      <c r="C469" s="14" t="s">
        <v>79</v>
      </c>
      <c r="D469" s="15" t="s">
        <v>89</v>
      </c>
      <c r="E469" s="15" t="s">
        <v>427</v>
      </c>
      <c r="F469" s="16">
        <v>329</v>
      </c>
      <c r="G469" s="17">
        <v>37602.339999999997</v>
      </c>
      <c r="H469" s="17">
        <v>5086.95</v>
      </c>
      <c r="I469" s="17">
        <v>12371169.859999999</v>
      </c>
      <c r="J469" s="15" t="s">
        <v>17</v>
      </c>
      <c r="K469" s="15" t="s">
        <v>18</v>
      </c>
      <c r="L469" s="9">
        <f>YEAR(E469)</f>
        <v>2022</v>
      </c>
      <c r="M469" s="11">
        <f t="shared" si="9"/>
        <v>1673606.55</v>
      </c>
    </row>
    <row r="470" spans="1:13" ht="20" customHeight="1" x14ac:dyDescent="0.15">
      <c r="A470" s="12"/>
      <c r="B470" s="13" t="s">
        <v>389</v>
      </c>
      <c r="C470" s="14" t="s">
        <v>25</v>
      </c>
      <c r="D470" s="15" t="s">
        <v>26</v>
      </c>
      <c r="E470" s="15" t="s">
        <v>249</v>
      </c>
      <c r="F470" s="16">
        <v>427</v>
      </c>
      <c r="G470" s="17">
        <v>18212.38</v>
      </c>
      <c r="H470" s="17">
        <v>3741.87</v>
      </c>
      <c r="I470" s="17">
        <v>7776686.2599999998</v>
      </c>
      <c r="J470" s="15" t="s">
        <v>17</v>
      </c>
      <c r="K470" s="15" t="s">
        <v>18</v>
      </c>
      <c r="L470" s="9">
        <f>YEAR(E470)</f>
        <v>2022</v>
      </c>
      <c r="M470" s="11">
        <f t="shared" si="9"/>
        <v>1597778.49</v>
      </c>
    </row>
    <row r="471" spans="1:13" ht="20" customHeight="1" x14ac:dyDescent="0.15">
      <c r="A471" s="12"/>
      <c r="B471" s="13" t="s">
        <v>389</v>
      </c>
      <c r="C471" s="14" t="s">
        <v>35</v>
      </c>
      <c r="D471" s="15" t="s">
        <v>26</v>
      </c>
      <c r="E471" s="15" t="s">
        <v>434</v>
      </c>
      <c r="F471" s="16">
        <v>825</v>
      </c>
      <c r="G471" s="17">
        <v>42082.19</v>
      </c>
      <c r="H471" s="17">
        <v>5341.84</v>
      </c>
      <c r="I471" s="17">
        <v>34717806.75</v>
      </c>
      <c r="J471" s="15" t="s">
        <v>17</v>
      </c>
      <c r="K471" s="15" t="s">
        <v>18</v>
      </c>
      <c r="L471" s="9">
        <f>YEAR(E471)</f>
        <v>2022</v>
      </c>
      <c r="M471" s="11">
        <f t="shared" si="9"/>
        <v>4407018</v>
      </c>
    </row>
    <row r="472" spans="1:13" ht="20" customHeight="1" x14ac:dyDescent="0.15">
      <c r="A472" s="12"/>
      <c r="B472" s="13" t="s">
        <v>389</v>
      </c>
      <c r="C472" s="14" t="s">
        <v>57</v>
      </c>
      <c r="D472" s="15" t="s">
        <v>26</v>
      </c>
      <c r="E472" s="15" t="s">
        <v>435</v>
      </c>
      <c r="F472" s="16">
        <v>359</v>
      </c>
      <c r="G472" s="17">
        <v>39185.03</v>
      </c>
      <c r="H472" s="17">
        <v>5876.48</v>
      </c>
      <c r="I472" s="17">
        <v>14067425.77</v>
      </c>
      <c r="J472" s="15" t="s">
        <v>28</v>
      </c>
      <c r="K472" s="15" t="s">
        <v>18</v>
      </c>
      <c r="L472" s="9">
        <f>YEAR(E472)</f>
        <v>2022</v>
      </c>
      <c r="M472" s="11">
        <f t="shared" si="9"/>
        <v>2109656.3199999998</v>
      </c>
    </row>
    <row r="473" spans="1:13" ht="20" customHeight="1" x14ac:dyDescent="0.15">
      <c r="A473" s="12"/>
      <c r="B473" s="13" t="s">
        <v>389</v>
      </c>
      <c r="C473" s="14" t="s">
        <v>43</v>
      </c>
      <c r="D473" s="15" t="s">
        <v>153</v>
      </c>
      <c r="E473" s="15" t="s">
        <v>443</v>
      </c>
      <c r="F473" s="16">
        <v>899</v>
      </c>
      <c r="G473" s="17">
        <v>27430.43</v>
      </c>
      <c r="H473" s="17">
        <v>9404.06</v>
      </c>
      <c r="I473" s="17">
        <v>24659956.57</v>
      </c>
      <c r="J473" s="15" t="s">
        <v>30</v>
      </c>
      <c r="K473" s="15" t="s">
        <v>18</v>
      </c>
      <c r="L473" s="9">
        <f>YEAR(E473)</f>
        <v>2022</v>
      </c>
      <c r="M473" s="11">
        <f t="shared" si="9"/>
        <v>8454249.9399999995</v>
      </c>
    </row>
    <row r="474" spans="1:13" ht="20" customHeight="1" x14ac:dyDescent="0.15">
      <c r="A474" s="12"/>
      <c r="B474" s="13" t="s">
        <v>389</v>
      </c>
      <c r="C474" s="14" t="s">
        <v>14</v>
      </c>
      <c r="D474" s="15" t="s">
        <v>70</v>
      </c>
      <c r="E474" s="15" t="s">
        <v>248</v>
      </c>
      <c r="F474" s="16">
        <v>556</v>
      </c>
      <c r="G474" s="19">
        <v>46687.6</v>
      </c>
      <c r="H474" s="17">
        <v>6872.49</v>
      </c>
      <c r="I474" s="19">
        <v>25958305.600000001</v>
      </c>
      <c r="J474" s="15" t="s">
        <v>17</v>
      </c>
      <c r="K474" s="15" t="s">
        <v>18</v>
      </c>
      <c r="L474" s="9">
        <f>YEAR(E474)</f>
        <v>2022</v>
      </c>
      <c r="M474" s="11">
        <f t="shared" si="9"/>
        <v>3821104.44</v>
      </c>
    </row>
    <row r="475" spans="1:13" ht="20" customHeight="1" x14ac:dyDescent="0.15">
      <c r="A475" s="12"/>
      <c r="B475" s="13" t="s">
        <v>389</v>
      </c>
      <c r="C475" s="14" t="s">
        <v>25</v>
      </c>
      <c r="D475" s="15" t="s">
        <v>70</v>
      </c>
      <c r="E475" s="15" t="s">
        <v>450</v>
      </c>
      <c r="F475" s="16">
        <v>710</v>
      </c>
      <c r="G475" s="17">
        <v>30593.52</v>
      </c>
      <c r="H475" s="17">
        <v>8558.98</v>
      </c>
      <c r="I475" s="19">
        <v>21721399.199999999</v>
      </c>
      <c r="J475" s="15" t="s">
        <v>17</v>
      </c>
      <c r="K475" s="15" t="s">
        <v>18</v>
      </c>
      <c r="L475" s="9">
        <f>YEAR(E475)</f>
        <v>2022</v>
      </c>
      <c r="M475" s="11">
        <f t="shared" si="9"/>
        <v>6076875.7999999998</v>
      </c>
    </row>
    <row r="476" spans="1:13" ht="20" customHeight="1" x14ac:dyDescent="0.15">
      <c r="A476" s="12"/>
      <c r="B476" s="13" t="s">
        <v>389</v>
      </c>
      <c r="C476" s="14" t="s">
        <v>38</v>
      </c>
      <c r="D476" s="15" t="s">
        <v>70</v>
      </c>
      <c r="E476" s="15" t="s">
        <v>451</v>
      </c>
      <c r="F476" s="16">
        <v>331</v>
      </c>
      <c r="G476" s="17">
        <v>27941.06</v>
      </c>
      <c r="H476" s="17">
        <v>2011.49</v>
      </c>
      <c r="I476" s="17">
        <v>9248490.8599999994</v>
      </c>
      <c r="J476" s="15" t="s">
        <v>22</v>
      </c>
      <c r="K476" s="15" t="s">
        <v>18</v>
      </c>
      <c r="L476" s="9">
        <f>YEAR(E476)</f>
        <v>2022</v>
      </c>
      <c r="M476" s="11">
        <f t="shared" si="9"/>
        <v>665803.19000000006</v>
      </c>
    </row>
    <row r="477" spans="1:13" ht="20" customHeight="1" x14ac:dyDescent="0.15">
      <c r="A477" s="12"/>
      <c r="B477" s="13" t="s">
        <v>389</v>
      </c>
      <c r="C477" s="14" t="s">
        <v>43</v>
      </c>
      <c r="D477" s="15" t="s">
        <v>70</v>
      </c>
      <c r="E477" s="15" t="s">
        <v>228</v>
      </c>
      <c r="F477" s="16">
        <v>173</v>
      </c>
      <c r="G477" s="17">
        <v>14946.11</v>
      </c>
      <c r="H477" s="17">
        <v>3265.19</v>
      </c>
      <c r="I477" s="17">
        <v>2585677.0299999998</v>
      </c>
      <c r="J477" s="15" t="s">
        <v>17</v>
      </c>
      <c r="K477" s="15" t="s">
        <v>18</v>
      </c>
      <c r="L477" s="9">
        <f>YEAR(E477)</f>
        <v>2022</v>
      </c>
      <c r="M477" s="11">
        <f t="shared" si="9"/>
        <v>564877.87</v>
      </c>
    </row>
    <row r="478" spans="1:13" ht="20" customHeight="1" x14ac:dyDescent="0.15">
      <c r="A478" s="12"/>
      <c r="B478" s="13" t="s">
        <v>389</v>
      </c>
      <c r="C478" s="14" t="s">
        <v>57</v>
      </c>
      <c r="D478" s="15" t="s">
        <v>70</v>
      </c>
      <c r="E478" s="15" t="s">
        <v>452</v>
      </c>
      <c r="F478" s="16">
        <v>115</v>
      </c>
      <c r="G478" s="17">
        <v>20772.650000000001</v>
      </c>
      <c r="H478" s="17">
        <v>2751.58</v>
      </c>
      <c r="I478" s="17">
        <v>2388854.75</v>
      </c>
      <c r="J478" s="15" t="s">
        <v>22</v>
      </c>
      <c r="K478" s="15" t="s">
        <v>18</v>
      </c>
      <c r="L478" s="9">
        <f>YEAR(E478)</f>
        <v>2022</v>
      </c>
      <c r="M478" s="11">
        <f t="shared" si="9"/>
        <v>316431.7</v>
      </c>
    </row>
    <row r="479" spans="1:13" ht="20" customHeight="1" x14ac:dyDescent="0.15">
      <c r="A479" s="12"/>
      <c r="B479" s="13" t="s">
        <v>389</v>
      </c>
      <c r="C479" s="14" t="s">
        <v>19</v>
      </c>
      <c r="D479" s="15" t="s">
        <v>70</v>
      </c>
      <c r="E479" s="15" t="s">
        <v>306</v>
      </c>
      <c r="F479" s="16">
        <v>313</v>
      </c>
      <c r="G479" s="17">
        <v>21553.66</v>
      </c>
      <c r="H479" s="17">
        <v>7531.22</v>
      </c>
      <c r="I479" s="17">
        <v>6746295.5800000001</v>
      </c>
      <c r="J479" s="15" t="s">
        <v>28</v>
      </c>
      <c r="K479" s="15" t="s">
        <v>18</v>
      </c>
      <c r="L479" s="9">
        <f>YEAR(E479)</f>
        <v>2022</v>
      </c>
      <c r="M479" s="11">
        <f t="shared" si="9"/>
        <v>2357271.86</v>
      </c>
    </row>
    <row r="480" spans="1:13" ht="20" customHeight="1" x14ac:dyDescent="0.15">
      <c r="A480" s="12"/>
      <c r="B480" s="13" t="s">
        <v>389</v>
      </c>
      <c r="C480" s="14" t="s">
        <v>19</v>
      </c>
      <c r="D480" s="15" t="s">
        <v>53</v>
      </c>
      <c r="E480" s="15" t="s">
        <v>458</v>
      </c>
      <c r="F480" s="16">
        <v>196</v>
      </c>
      <c r="G480" s="17">
        <v>31132.11</v>
      </c>
      <c r="H480" s="17">
        <v>5678.06</v>
      </c>
      <c r="I480" s="17">
        <v>6101893.5599999996</v>
      </c>
      <c r="J480" s="15" t="s">
        <v>17</v>
      </c>
      <c r="K480" s="15" t="s">
        <v>18</v>
      </c>
      <c r="L480" s="9">
        <f>YEAR(E480)</f>
        <v>2022</v>
      </c>
      <c r="M480" s="11">
        <f t="shared" si="9"/>
        <v>1112899.76</v>
      </c>
    </row>
    <row r="481" spans="1:13" ht="20" customHeight="1" x14ac:dyDescent="0.15">
      <c r="A481" s="12"/>
      <c r="B481" s="13" t="s">
        <v>389</v>
      </c>
      <c r="C481" s="14" t="s">
        <v>23</v>
      </c>
      <c r="D481" s="15" t="s">
        <v>53</v>
      </c>
      <c r="E481" s="15" t="s">
        <v>113</v>
      </c>
      <c r="F481" s="16">
        <v>315</v>
      </c>
      <c r="G481" s="17">
        <v>30068.36</v>
      </c>
      <c r="H481" s="17">
        <v>5296.72</v>
      </c>
      <c r="I481" s="19">
        <v>9471533.4000000004</v>
      </c>
      <c r="J481" s="15" t="s">
        <v>17</v>
      </c>
      <c r="K481" s="15" t="s">
        <v>18</v>
      </c>
      <c r="L481" s="9">
        <f>YEAR(E481)</f>
        <v>2022</v>
      </c>
      <c r="M481" s="11">
        <f t="shared" si="9"/>
        <v>1668466.8</v>
      </c>
    </row>
    <row r="482" spans="1:13" ht="20" customHeight="1" x14ac:dyDescent="0.15">
      <c r="A482" s="30" t="s">
        <v>389</v>
      </c>
      <c r="B482" s="13" t="s">
        <v>389</v>
      </c>
      <c r="C482" s="14" t="s">
        <v>79</v>
      </c>
      <c r="D482" s="15" t="s">
        <v>107</v>
      </c>
      <c r="E482" s="15" t="s">
        <v>390</v>
      </c>
      <c r="F482" s="16">
        <v>435</v>
      </c>
      <c r="G482" s="17">
        <v>41081.230000000003</v>
      </c>
      <c r="H482" s="17">
        <v>5890.73</v>
      </c>
      <c r="I482" s="17">
        <v>17870335.050000001</v>
      </c>
      <c r="J482" s="15" t="s">
        <v>17</v>
      </c>
      <c r="K482" s="15" t="s">
        <v>18</v>
      </c>
      <c r="L482" s="9">
        <f>YEAR(E482)</f>
        <v>2023</v>
      </c>
      <c r="M482" s="11">
        <f t="shared" si="9"/>
        <v>2562467.5499999998</v>
      </c>
    </row>
    <row r="483" spans="1:13" ht="20" customHeight="1" x14ac:dyDescent="0.15">
      <c r="A483" s="12"/>
      <c r="B483" s="13" t="s">
        <v>389</v>
      </c>
      <c r="C483" s="14" t="s">
        <v>38</v>
      </c>
      <c r="D483" s="15" t="s">
        <v>107</v>
      </c>
      <c r="E483" s="15" t="s">
        <v>393</v>
      </c>
      <c r="F483" s="16">
        <v>198</v>
      </c>
      <c r="G483" s="17">
        <v>31390.01</v>
      </c>
      <c r="H483" s="17">
        <v>5406.99</v>
      </c>
      <c r="I483" s="17">
        <v>6215221.9800000004</v>
      </c>
      <c r="J483" s="15" t="s">
        <v>22</v>
      </c>
      <c r="K483" s="15" t="s">
        <v>18</v>
      </c>
      <c r="L483" s="9">
        <f>YEAR(E483)</f>
        <v>2023</v>
      </c>
      <c r="M483" s="11">
        <f t="shared" si="9"/>
        <v>1070584.02</v>
      </c>
    </row>
    <row r="484" spans="1:13" ht="20" customHeight="1" x14ac:dyDescent="0.15">
      <c r="A484" s="12"/>
      <c r="B484" s="13" t="s">
        <v>389</v>
      </c>
      <c r="C484" s="14" t="s">
        <v>43</v>
      </c>
      <c r="D484" s="15" t="s">
        <v>107</v>
      </c>
      <c r="E484" s="15" t="s">
        <v>132</v>
      </c>
      <c r="F484" s="16">
        <v>684</v>
      </c>
      <c r="G484" s="17">
        <v>32847.980000000003</v>
      </c>
      <c r="H484" s="16">
        <v>4767</v>
      </c>
      <c r="I484" s="17">
        <v>22468018.32</v>
      </c>
      <c r="J484" s="15" t="s">
        <v>22</v>
      </c>
      <c r="K484" s="15" t="s">
        <v>18</v>
      </c>
      <c r="L484" s="9">
        <f>YEAR(E484)</f>
        <v>2023</v>
      </c>
      <c r="M484" s="11">
        <f t="shared" si="9"/>
        <v>3260628</v>
      </c>
    </row>
    <row r="485" spans="1:13" ht="20" customHeight="1" x14ac:dyDescent="0.15">
      <c r="A485" s="12"/>
      <c r="B485" s="13" t="s">
        <v>389</v>
      </c>
      <c r="C485" s="14" t="s">
        <v>31</v>
      </c>
      <c r="D485" s="15" t="s">
        <v>15</v>
      </c>
      <c r="E485" s="15" t="s">
        <v>403</v>
      </c>
      <c r="F485" s="16">
        <v>996</v>
      </c>
      <c r="G485" s="17">
        <v>17208.419999999998</v>
      </c>
      <c r="H485" s="17">
        <v>6502.15</v>
      </c>
      <c r="I485" s="17">
        <v>17139586.32</v>
      </c>
      <c r="J485" s="15" t="s">
        <v>17</v>
      </c>
      <c r="K485" s="15" t="s">
        <v>18</v>
      </c>
      <c r="L485" s="9">
        <f>YEAR(E485)</f>
        <v>2023</v>
      </c>
      <c r="M485" s="11">
        <f t="shared" si="9"/>
        <v>6476141.3999999994</v>
      </c>
    </row>
    <row r="486" spans="1:13" ht="20" customHeight="1" x14ac:dyDescent="0.15">
      <c r="A486" s="12"/>
      <c r="B486" s="13" t="s">
        <v>389</v>
      </c>
      <c r="C486" s="14" t="s">
        <v>19</v>
      </c>
      <c r="D486" s="15" t="s">
        <v>15</v>
      </c>
      <c r="E486" s="15" t="s">
        <v>404</v>
      </c>
      <c r="F486" s="16">
        <v>511</v>
      </c>
      <c r="G486" s="17">
        <v>25221.34</v>
      </c>
      <c r="H486" s="17">
        <v>4876.26</v>
      </c>
      <c r="I486" s="17">
        <v>12888104.74</v>
      </c>
      <c r="J486" s="15" t="s">
        <v>17</v>
      </c>
      <c r="K486" s="15" t="s">
        <v>18</v>
      </c>
      <c r="L486" s="9">
        <f>YEAR(E486)</f>
        <v>2023</v>
      </c>
      <c r="M486" s="11">
        <f t="shared" si="9"/>
        <v>2491768.8600000003</v>
      </c>
    </row>
    <row r="487" spans="1:13" ht="20" customHeight="1" x14ac:dyDescent="0.15">
      <c r="A487" s="12"/>
      <c r="B487" s="13" t="s">
        <v>389</v>
      </c>
      <c r="C487" s="14" t="s">
        <v>79</v>
      </c>
      <c r="D487" s="15" t="s">
        <v>139</v>
      </c>
      <c r="E487" s="15" t="s">
        <v>371</v>
      </c>
      <c r="F487" s="16">
        <v>589</v>
      </c>
      <c r="G487" s="17">
        <v>38608.54</v>
      </c>
      <c r="H487" s="17">
        <v>2144.4699999999998</v>
      </c>
      <c r="I487" s="17">
        <v>22740430.059999999</v>
      </c>
      <c r="J487" s="15" t="s">
        <v>17</v>
      </c>
      <c r="K487" s="15" t="s">
        <v>18</v>
      </c>
      <c r="L487" s="9">
        <f>YEAR(E487)</f>
        <v>2023</v>
      </c>
      <c r="M487" s="11">
        <f t="shared" si="9"/>
        <v>1263092.8299999998</v>
      </c>
    </row>
    <row r="488" spans="1:13" ht="20" customHeight="1" x14ac:dyDescent="0.15">
      <c r="A488" s="12"/>
      <c r="B488" s="13" t="s">
        <v>389</v>
      </c>
      <c r="C488" s="14" t="s">
        <v>31</v>
      </c>
      <c r="D488" s="15" t="s">
        <v>114</v>
      </c>
      <c r="E488" s="15" t="s">
        <v>414</v>
      </c>
      <c r="F488" s="16">
        <v>391</v>
      </c>
      <c r="G488" s="19">
        <v>40770.5</v>
      </c>
      <c r="H488" s="17">
        <v>4126.1400000000003</v>
      </c>
      <c r="I488" s="19">
        <v>15941265.5</v>
      </c>
      <c r="J488" s="15" t="s">
        <v>22</v>
      </c>
      <c r="K488" s="15" t="s">
        <v>18</v>
      </c>
      <c r="L488" s="9">
        <f>YEAR(E488)</f>
        <v>2023</v>
      </c>
      <c r="M488" s="11">
        <f t="shared" si="9"/>
        <v>1613320.7400000002</v>
      </c>
    </row>
    <row r="489" spans="1:13" ht="20" customHeight="1" x14ac:dyDescent="0.15">
      <c r="A489" s="12"/>
      <c r="B489" s="13" t="s">
        <v>389</v>
      </c>
      <c r="C489" s="14" t="s">
        <v>79</v>
      </c>
      <c r="D489" s="15" t="s">
        <v>114</v>
      </c>
      <c r="E489" s="15" t="s">
        <v>418</v>
      </c>
      <c r="F489" s="16">
        <v>315</v>
      </c>
      <c r="G489" s="17">
        <v>48540.47</v>
      </c>
      <c r="H489" s="17">
        <v>2187.98</v>
      </c>
      <c r="I489" s="17">
        <v>15290248.050000001</v>
      </c>
      <c r="J489" s="15" t="s">
        <v>17</v>
      </c>
      <c r="K489" s="15" t="s">
        <v>18</v>
      </c>
      <c r="L489" s="9">
        <f>YEAR(E489)</f>
        <v>2023</v>
      </c>
      <c r="M489" s="11">
        <f t="shared" si="9"/>
        <v>689213.7</v>
      </c>
    </row>
    <row r="490" spans="1:13" ht="20" customHeight="1" x14ac:dyDescent="0.15">
      <c r="A490" s="12"/>
      <c r="B490" s="13" t="s">
        <v>389</v>
      </c>
      <c r="C490" s="14" t="s">
        <v>23</v>
      </c>
      <c r="D490" s="15" t="s">
        <v>89</v>
      </c>
      <c r="E490" s="15" t="s">
        <v>419</v>
      </c>
      <c r="F490" s="16">
        <v>345</v>
      </c>
      <c r="G490" s="17">
        <v>40531.919999999998</v>
      </c>
      <c r="H490" s="17">
        <v>8482.65</v>
      </c>
      <c r="I490" s="19">
        <v>13983512.4</v>
      </c>
      <c r="J490" s="15" t="s">
        <v>17</v>
      </c>
      <c r="K490" s="15" t="s">
        <v>18</v>
      </c>
      <c r="L490" s="9">
        <f>YEAR(E490)</f>
        <v>2023</v>
      </c>
      <c r="M490" s="11">
        <f t="shared" si="9"/>
        <v>2926514.25</v>
      </c>
    </row>
    <row r="491" spans="1:13" ht="20" customHeight="1" x14ac:dyDescent="0.15">
      <c r="A491" s="12"/>
      <c r="B491" s="13" t="s">
        <v>389</v>
      </c>
      <c r="C491" s="14" t="s">
        <v>35</v>
      </c>
      <c r="D491" s="15" t="s">
        <v>26</v>
      </c>
      <c r="E491" s="15" t="s">
        <v>429</v>
      </c>
      <c r="F491" s="16">
        <v>912</v>
      </c>
      <c r="G491" s="17">
        <v>36518.14</v>
      </c>
      <c r="H491" s="17">
        <v>7764.13</v>
      </c>
      <c r="I491" s="17">
        <v>33304543.68</v>
      </c>
      <c r="J491" s="15" t="s">
        <v>17</v>
      </c>
      <c r="K491" s="15" t="s">
        <v>18</v>
      </c>
      <c r="L491" s="9">
        <f>YEAR(E491)</f>
        <v>2023</v>
      </c>
      <c r="M491" s="11">
        <f t="shared" si="9"/>
        <v>7080886.5600000005</v>
      </c>
    </row>
    <row r="492" spans="1:13" ht="20" customHeight="1" x14ac:dyDescent="0.15">
      <c r="A492" s="12"/>
      <c r="B492" s="13" t="s">
        <v>389</v>
      </c>
      <c r="C492" s="14" t="s">
        <v>31</v>
      </c>
      <c r="D492" s="15" t="s">
        <v>26</v>
      </c>
      <c r="E492" s="15" t="s">
        <v>431</v>
      </c>
      <c r="F492" s="16">
        <v>671</v>
      </c>
      <c r="G492" s="17">
        <v>47059.63</v>
      </c>
      <c r="H492" s="17">
        <v>2744.68</v>
      </c>
      <c r="I492" s="17">
        <v>31577011.73</v>
      </c>
      <c r="J492" s="15" t="s">
        <v>22</v>
      </c>
      <c r="K492" s="15" t="s">
        <v>18</v>
      </c>
      <c r="L492" s="9">
        <f>YEAR(E492)</f>
        <v>2023</v>
      </c>
      <c r="M492" s="11">
        <f t="shared" si="9"/>
        <v>1841680.2799999998</v>
      </c>
    </row>
    <row r="493" spans="1:13" ht="20" customHeight="1" x14ac:dyDescent="0.15">
      <c r="A493" s="12"/>
      <c r="B493" s="13" t="s">
        <v>389</v>
      </c>
      <c r="C493" s="14" t="s">
        <v>25</v>
      </c>
      <c r="D493" s="15" t="s">
        <v>26</v>
      </c>
      <c r="E493" s="15" t="s">
        <v>433</v>
      </c>
      <c r="F493" s="16">
        <v>181</v>
      </c>
      <c r="G493" s="17">
        <v>24434.41</v>
      </c>
      <c r="H493" s="17">
        <v>5026.9799999999996</v>
      </c>
      <c r="I493" s="17">
        <v>4422628.21</v>
      </c>
      <c r="J493" s="15" t="s">
        <v>28</v>
      </c>
      <c r="K493" s="15" t="s">
        <v>18</v>
      </c>
      <c r="L493" s="9">
        <f>YEAR(E493)</f>
        <v>2023</v>
      </c>
      <c r="M493" s="11">
        <f t="shared" si="9"/>
        <v>909883.37999999989</v>
      </c>
    </row>
    <row r="494" spans="1:13" ht="20" customHeight="1" x14ac:dyDescent="0.15">
      <c r="A494" s="12"/>
      <c r="B494" s="13" t="s">
        <v>389</v>
      </c>
      <c r="C494" s="14" t="s">
        <v>25</v>
      </c>
      <c r="D494" s="15" t="s">
        <v>153</v>
      </c>
      <c r="E494" s="15" t="s">
        <v>436</v>
      </c>
      <c r="F494" s="16">
        <v>931</v>
      </c>
      <c r="G494" s="17">
        <v>44314.68</v>
      </c>
      <c r="H494" s="17">
        <v>7504.88</v>
      </c>
      <c r="I494" s="17">
        <v>41256967.079999998</v>
      </c>
      <c r="J494" s="15" t="s">
        <v>17</v>
      </c>
      <c r="K494" s="15" t="s">
        <v>18</v>
      </c>
      <c r="L494" s="9">
        <f>YEAR(E494)</f>
        <v>2023</v>
      </c>
      <c r="M494" s="11">
        <f t="shared" si="9"/>
        <v>6987043.2800000003</v>
      </c>
    </row>
    <row r="495" spans="1:13" ht="20" customHeight="1" x14ac:dyDescent="0.15">
      <c r="A495" s="12"/>
      <c r="B495" s="13" t="s">
        <v>389</v>
      </c>
      <c r="C495" s="14" t="s">
        <v>31</v>
      </c>
      <c r="D495" s="15" t="s">
        <v>153</v>
      </c>
      <c r="E495" s="15" t="s">
        <v>437</v>
      </c>
      <c r="F495" s="16">
        <v>967</v>
      </c>
      <c r="G495" s="17">
        <v>40625.11</v>
      </c>
      <c r="H495" s="17">
        <v>2102.62</v>
      </c>
      <c r="I495" s="17">
        <v>39284481.369999997</v>
      </c>
      <c r="J495" s="15" t="s">
        <v>22</v>
      </c>
      <c r="K495" s="15" t="s">
        <v>18</v>
      </c>
      <c r="L495" s="9">
        <f>YEAR(E495)</f>
        <v>2023</v>
      </c>
      <c r="M495" s="11">
        <f t="shared" si="9"/>
        <v>2033233.5399999998</v>
      </c>
    </row>
    <row r="496" spans="1:13" ht="20" customHeight="1" x14ac:dyDescent="0.15">
      <c r="A496" s="12"/>
      <c r="B496" s="13" t="s">
        <v>389</v>
      </c>
      <c r="C496" s="14" t="s">
        <v>19</v>
      </c>
      <c r="D496" s="15" t="s">
        <v>153</v>
      </c>
      <c r="E496" s="15" t="s">
        <v>439</v>
      </c>
      <c r="F496" s="16">
        <v>475</v>
      </c>
      <c r="G496" s="17">
        <v>12470.79</v>
      </c>
      <c r="H496" s="17">
        <v>4281.38</v>
      </c>
      <c r="I496" s="17">
        <v>5923625.25</v>
      </c>
      <c r="J496" s="15" t="s">
        <v>17</v>
      </c>
      <c r="K496" s="15" t="s">
        <v>18</v>
      </c>
      <c r="L496" s="9">
        <f>YEAR(E496)</f>
        <v>2023</v>
      </c>
      <c r="M496" s="11">
        <f t="shared" si="9"/>
        <v>2033655.5</v>
      </c>
    </row>
    <row r="497" spans="1:13" ht="20" customHeight="1" x14ac:dyDescent="0.15">
      <c r="A497" s="12"/>
      <c r="B497" s="13" t="s">
        <v>389</v>
      </c>
      <c r="C497" s="14" t="s">
        <v>57</v>
      </c>
      <c r="D497" s="15" t="s">
        <v>153</v>
      </c>
      <c r="E497" s="15" t="s">
        <v>144</v>
      </c>
      <c r="F497" s="16">
        <v>378</v>
      </c>
      <c r="G497" s="17">
        <v>12746.62</v>
      </c>
      <c r="H497" s="17">
        <v>6086.46</v>
      </c>
      <c r="I497" s="17">
        <v>4818222.3600000003</v>
      </c>
      <c r="J497" s="15" t="s">
        <v>17</v>
      </c>
      <c r="K497" s="15" t="s">
        <v>18</v>
      </c>
      <c r="L497" s="9">
        <f>YEAR(E497)</f>
        <v>2023</v>
      </c>
      <c r="M497" s="11">
        <f t="shared" si="9"/>
        <v>2300681.88</v>
      </c>
    </row>
    <row r="498" spans="1:13" ht="20" customHeight="1" x14ac:dyDescent="0.15">
      <c r="A498" s="12"/>
      <c r="B498" s="13" t="s">
        <v>389</v>
      </c>
      <c r="C498" s="14" t="s">
        <v>35</v>
      </c>
      <c r="D498" s="15" t="s">
        <v>68</v>
      </c>
      <c r="E498" s="15" t="s">
        <v>446</v>
      </c>
      <c r="F498" s="16">
        <v>347</v>
      </c>
      <c r="G498" s="17">
        <v>17266.349999999999</v>
      </c>
      <c r="H498" s="17">
        <v>8076.81</v>
      </c>
      <c r="I498" s="17">
        <v>5991423.4500000002</v>
      </c>
      <c r="J498" s="15" t="s">
        <v>30</v>
      </c>
      <c r="K498" s="15" t="s">
        <v>18</v>
      </c>
      <c r="L498" s="9">
        <f>YEAR(E498)</f>
        <v>2023</v>
      </c>
      <c r="M498" s="11">
        <f t="shared" si="9"/>
        <v>2802653.0700000003</v>
      </c>
    </row>
    <row r="499" spans="1:13" ht="20" customHeight="1" x14ac:dyDescent="0.15">
      <c r="A499" s="12"/>
      <c r="B499" s="13" t="s">
        <v>389</v>
      </c>
      <c r="C499" s="14" t="s">
        <v>35</v>
      </c>
      <c r="D499" s="15" t="s">
        <v>68</v>
      </c>
      <c r="E499" s="15" t="s">
        <v>448</v>
      </c>
      <c r="F499" s="16">
        <v>891</v>
      </c>
      <c r="G499" s="17">
        <v>35087.339999999997</v>
      </c>
      <c r="H499" s="17">
        <v>5489.92</v>
      </c>
      <c r="I499" s="17">
        <v>31262819.940000001</v>
      </c>
      <c r="J499" s="15" t="s">
        <v>17</v>
      </c>
      <c r="K499" s="15" t="s">
        <v>18</v>
      </c>
      <c r="L499" s="9">
        <f>YEAR(E499)</f>
        <v>2023</v>
      </c>
      <c r="M499" s="11">
        <f t="shared" si="9"/>
        <v>4891518.72</v>
      </c>
    </row>
    <row r="500" spans="1:13" ht="20" customHeight="1" x14ac:dyDescent="0.15">
      <c r="A500" s="12"/>
      <c r="B500" s="13" t="s">
        <v>389</v>
      </c>
      <c r="C500" s="14" t="s">
        <v>31</v>
      </c>
      <c r="D500" s="15" t="s">
        <v>70</v>
      </c>
      <c r="E500" s="15" t="s">
        <v>61</v>
      </c>
      <c r="F500" s="16">
        <v>699</v>
      </c>
      <c r="G500" s="17">
        <v>26065.73</v>
      </c>
      <c r="H500" s="17">
        <v>7877.61</v>
      </c>
      <c r="I500" s="17">
        <v>18219945.27</v>
      </c>
      <c r="J500" s="15" t="s">
        <v>17</v>
      </c>
      <c r="K500" s="15" t="s">
        <v>18</v>
      </c>
      <c r="L500" s="9">
        <f>YEAR(E500)</f>
        <v>2023</v>
      </c>
      <c r="M500" s="11">
        <f t="shared" si="9"/>
        <v>5506449.3899999997</v>
      </c>
    </row>
    <row r="501" spans="1:13" ht="20" customHeight="1" x14ac:dyDescent="0.15">
      <c r="A501" s="12"/>
      <c r="B501" s="13" t="s">
        <v>389</v>
      </c>
      <c r="C501" s="14" t="s">
        <v>43</v>
      </c>
      <c r="D501" s="15" t="s">
        <v>53</v>
      </c>
      <c r="E501" s="15" t="s">
        <v>456</v>
      </c>
      <c r="F501" s="16">
        <v>457</v>
      </c>
      <c r="G501" s="17">
        <v>16150.42</v>
      </c>
      <c r="H501" s="17">
        <v>9986.08</v>
      </c>
      <c r="I501" s="17">
        <v>7380741.9400000004</v>
      </c>
      <c r="J501" s="15" t="s">
        <v>30</v>
      </c>
      <c r="K501" s="15" t="s">
        <v>18</v>
      </c>
      <c r="L501" s="9">
        <f>YEAR(E501)</f>
        <v>2023</v>
      </c>
      <c r="M501" s="11">
        <f t="shared" si="9"/>
        <v>4563638.5599999996</v>
      </c>
    </row>
    <row r="502" spans="1:13" ht="20" customHeight="1" x14ac:dyDescent="0.15">
      <c r="A502" s="12"/>
      <c r="B502" s="13" t="s">
        <v>389</v>
      </c>
      <c r="C502" s="14" t="s">
        <v>38</v>
      </c>
      <c r="D502" s="15" t="s">
        <v>53</v>
      </c>
      <c r="E502" s="15" t="s">
        <v>457</v>
      </c>
      <c r="F502" s="16">
        <v>794</v>
      </c>
      <c r="G502" s="17">
        <v>22692.69</v>
      </c>
      <c r="H502" s="17">
        <v>4559.66</v>
      </c>
      <c r="I502" s="17">
        <v>18017995.859999999</v>
      </c>
      <c r="J502" s="15" t="s">
        <v>17</v>
      </c>
      <c r="K502" s="15" t="s">
        <v>18</v>
      </c>
      <c r="L502" s="9">
        <f>YEAR(E502)</f>
        <v>2023</v>
      </c>
      <c r="M502" s="11">
        <f t="shared" si="9"/>
        <v>3620370.04</v>
      </c>
    </row>
    <row r="503" spans="1:13" ht="20.75" customHeight="1" x14ac:dyDescent="0.15">
      <c r="A503" s="12"/>
      <c r="B503" s="13" t="s">
        <v>389</v>
      </c>
      <c r="C503" s="14" t="s">
        <v>57</v>
      </c>
      <c r="D503" s="15" t="s">
        <v>53</v>
      </c>
      <c r="E503" s="15" t="s">
        <v>169</v>
      </c>
      <c r="F503" s="16">
        <v>132</v>
      </c>
      <c r="G503" s="19">
        <v>19176.7</v>
      </c>
      <c r="H503" s="17">
        <v>2330.1799999999998</v>
      </c>
      <c r="I503" s="19">
        <v>2531324.4</v>
      </c>
      <c r="J503" s="15" t="s">
        <v>17</v>
      </c>
      <c r="K503" s="15" t="s">
        <v>18</v>
      </c>
      <c r="L503" s="9">
        <f>YEAR(E503)</f>
        <v>2023</v>
      </c>
      <c r="M503" s="11">
        <f t="shared" si="9"/>
        <v>307583.75999999995</v>
      </c>
    </row>
    <row r="504" spans="1:13" ht="21" customHeight="1" x14ac:dyDescent="0.15">
      <c r="A504" s="12"/>
      <c r="B504" s="13" t="s">
        <v>389</v>
      </c>
      <c r="C504" s="14" t="s">
        <v>14</v>
      </c>
      <c r="D504" s="15" t="s">
        <v>53</v>
      </c>
      <c r="E504" s="15" t="s">
        <v>459</v>
      </c>
      <c r="F504" s="16">
        <v>559</v>
      </c>
      <c r="G504" s="17">
        <v>30415.41</v>
      </c>
      <c r="H504" s="19">
        <v>2103.4</v>
      </c>
      <c r="I504" s="17">
        <v>17002214.190000001</v>
      </c>
      <c r="J504" s="15" t="s">
        <v>17</v>
      </c>
      <c r="K504" s="15" t="s">
        <v>18</v>
      </c>
      <c r="L504" s="9">
        <f>YEAR(E504)</f>
        <v>2023</v>
      </c>
      <c r="M504" s="11">
        <f t="shared" si="9"/>
        <v>1175800.6000000001</v>
      </c>
    </row>
    <row r="505" spans="1:13" ht="20.25" customHeight="1" thickBot="1" x14ac:dyDescent="0.2">
      <c r="A505" s="12"/>
      <c r="B505" s="21" t="s">
        <v>389</v>
      </c>
      <c r="C505" s="22" t="s">
        <v>14</v>
      </c>
      <c r="D505" s="23" t="s">
        <v>53</v>
      </c>
      <c r="E505" s="23" t="s">
        <v>460</v>
      </c>
      <c r="F505" s="24">
        <v>877</v>
      </c>
      <c r="G505" s="25">
        <v>30508.22</v>
      </c>
      <c r="H505" s="25">
        <v>7705.96</v>
      </c>
      <c r="I505" s="25">
        <v>26755708.940000001</v>
      </c>
      <c r="J505" s="23" t="s">
        <v>17</v>
      </c>
      <c r="K505" s="23" t="s">
        <v>18</v>
      </c>
      <c r="L505" s="9">
        <f>YEAR(E505)</f>
        <v>2023</v>
      </c>
      <c r="M505" s="11">
        <f t="shared" si="9"/>
        <v>6758126.9199999999</v>
      </c>
    </row>
    <row r="506" spans="1:13" ht="20" customHeight="1" thickBot="1" x14ac:dyDescent="0.2">
      <c r="A506" s="50"/>
      <c r="B506" s="52"/>
      <c r="C506" s="53"/>
      <c r="D506" s="54"/>
      <c r="E506" s="54"/>
      <c r="F506" s="55"/>
      <c r="G506" s="56"/>
      <c r="H506" s="56"/>
      <c r="I506" s="56"/>
      <c r="J506" s="54"/>
      <c r="K506" s="54"/>
      <c r="L506" s="9"/>
      <c r="M506" s="11"/>
    </row>
    <row r="507" spans="1:13" ht="20" customHeight="1" thickBot="1" x14ac:dyDescent="0.2">
      <c r="A507" s="20" t="s">
        <v>461</v>
      </c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58" t="s">
        <v>12</v>
      </c>
      <c r="M507" s="11"/>
    </row>
    <row r="508" spans="1:13" ht="20" customHeight="1" x14ac:dyDescent="0.15">
      <c r="A508" s="29"/>
      <c r="B508" s="6" t="s">
        <v>461</v>
      </c>
      <c r="C508" s="7" t="s">
        <v>57</v>
      </c>
      <c r="D508" s="8" t="s">
        <v>114</v>
      </c>
      <c r="E508" s="8" t="s">
        <v>162</v>
      </c>
      <c r="F508" s="9">
        <v>246</v>
      </c>
      <c r="G508" s="10">
        <v>28229.09</v>
      </c>
      <c r="H508" s="10">
        <v>2527.7600000000002</v>
      </c>
      <c r="I508" s="10">
        <v>6944356.1399999997</v>
      </c>
      <c r="J508" s="8" t="s">
        <v>17</v>
      </c>
      <c r="K508" s="8" t="s">
        <v>18</v>
      </c>
      <c r="L508" s="9">
        <f>YEAR(E508)</f>
        <v>2020</v>
      </c>
      <c r="M508" s="11">
        <f t="shared" si="9"/>
        <v>621828.96000000008</v>
      </c>
    </row>
    <row r="509" spans="1:13" ht="20" customHeight="1" x14ac:dyDescent="0.15">
      <c r="A509" s="5"/>
      <c r="B509" s="13" t="s">
        <v>461</v>
      </c>
      <c r="C509" s="14" t="s">
        <v>57</v>
      </c>
      <c r="D509" s="15" t="s">
        <v>15</v>
      </c>
      <c r="E509" s="15" t="s">
        <v>469</v>
      </c>
      <c r="F509" s="16">
        <v>595</v>
      </c>
      <c r="G509" s="17">
        <v>30005.57</v>
      </c>
      <c r="H509" s="17">
        <v>7039.46</v>
      </c>
      <c r="I509" s="17">
        <v>17853314.149999999</v>
      </c>
      <c r="J509" s="15" t="s">
        <v>17</v>
      </c>
      <c r="K509" s="15" t="s">
        <v>18</v>
      </c>
      <c r="L509" s="9">
        <f>YEAR(E509)</f>
        <v>2020</v>
      </c>
      <c r="M509" s="11">
        <f t="shared" si="9"/>
        <v>4188478.7</v>
      </c>
    </row>
    <row r="510" spans="1:13" ht="20" customHeight="1" x14ac:dyDescent="0.15">
      <c r="A510" s="12"/>
      <c r="B510" s="13" t="s">
        <v>461</v>
      </c>
      <c r="C510" s="14" t="s">
        <v>35</v>
      </c>
      <c r="D510" s="15" t="s">
        <v>15</v>
      </c>
      <c r="E510" s="15" t="s">
        <v>472</v>
      </c>
      <c r="F510" s="16">
        <v>617</v>
      </c>
      <c r="G510" s="17">
        <v>10920.48</v>
      </c>
      <c r="H510" s="17">
        <v>7123.67</v>
      </c>
      <c r="I510" s="17">
        <v>6737936.1600000001</v>
      </c>
      <c r="J510" s="15" t="s">
        <v>22</v>
      </c>
      <c r="K510" s="15" t="s">
        <v>18</v>
      </c>
      <c r="L510" s="9">
        <f>YEAR(E510)</f>
        <v>2020</v>
      </c>
      <c r="M510" s="11">
        <f t="shared" si="9"/>
        <v>4395304.3899999997</v>
      </c>
    </row>
    <row r="511" spans="1:13" ht="20" customHeight="1" x14ac:dyDescent="0.15">
      <c r="A511" s="12"/>
      <c r="B511" s="13" t="s">
        <v>461</v>
      </c>
      <c r="C511" s="14" t="s">
        <v>31</v>
      </c>
      <c r="D511" s="15" t="s">
        <v>15</v>
      </c>
      <c r="E511" s="15" t="s">
        <v>473</v>
      </c>
      <c r="F511" s="16">
        <v>322</v>
      </c>
      <c r="G511" s="17">
        <v>44206.36</v>
      </c>
      <c r="H511" s="17">
        <v>2884.76</v>
      </c>
      <c r="I511" s="17">
        <v>14234447.92</v>
      </c>
      <c r="J511" s="15" t="s">
        <v>17</v>
      </c>
      <c r="K511" s="15" t="s">
        <v>18</v>
      </c>
      <c r="L511" s="9">
        <f>YEAR(E511)</f>
        <v>2020</v>
      </c>
      <c r="M511" s="11">
        <f t="shared" si="9"/>
        <v>928892.72000000009</v>
      </c>
    </row>
    <row r="512" spans="1:13" ht="20" customHeight="1" x14ac:dyDescent="0.15">
      <c r="A512" s="12"/>
      <c r="B512" s="13" t="s">
        <v>461</v>
      </c>
      <c r="C512" s="14" t="s">
        <v>31</v>
      </c>
      <c r="D512" s="15" t="s">
        <v>15</v>
      </c>
      <c r="E512" s="15" t="s">
        <v>474</v>
      </c>
      <c r="F512" s="16">
        <v>316</v>
      </c>
      <c r="G512" s="17">
        <v>17819.75</v>
      </c>
      <c r="H512" s="19">
        <v>9927.7999999999993</v>
      </c>
      <c r="I512" s="16">
        <v>5631041</v>
      </c>
      <c r="J512" s="15" t="s">
        <v>17</v>
      </c>
      <c r="K512" s="15" t="s">
        <v>18</v>
      </c>
      <c r="L512" s="9">
        <f>YEAR(E512)</f>
        <v>2020</v>
      </c>
      <c r="M512" s="11">
        <f t="shared" si="9"/>
        <v>3137184.8</v>
      </c>
    </row>
    <row r="513" spans="1:13" ht="20" customHeight="1" x14ac:dyDescent="0.15">
      <c r="A513" s="12"/>
      <c r="B513" s="13" t="s">
        <v>461</v>
      </c>
      <c r="C513" s="14" t="s">
        <v>25</v>
      </c>
      <c r="D513" s="15" t="s">
        <v>15</v>
      </c>
      <c r="E513" s="15" t="s">
        <v>477</v>
      </c>
      <c r="F513" s="16">
        <v>988</v>
      </c>
      <c r="G513" s="17">
        <v>41728.32</v>
      </c>
      <c r="H513" s="19">
        <v>4505.7</v>
      </c>
      <c r="I513" s="17">
        <v>41227580.159999996</v>
      </c>
      <c r="J513" s="15" t="s">
        <v>17</v>
      </c>
      <c r="K513" s="15" t="s">
        <v>18</v>
      </c>
      <c r="L513" s="9">
        <f>YEAR(E513)</f>
        <v>2020</v>
      </c>
      <c r="M513" s="11">
        <f t="shared" si="9"/>
        <v>4451631.5999999996</v>
      </c>
    </row>
    <row r="514" spans="1:13" ht="20" customHeight="1" x14ac:dyDescent="0.15">
      <c r="A514" s="12"/>
      <c r="B514" s="13" t="s">
        <v>461</v>
      </c>
      <c r="C514" s="14" t="s">
        <v>35</v>
      </c>
      <c r="D514" s="15" t="s">
        <v>15</v>
      </c>
      <c r="E514" s="15" t="s">
        <v>478</v>
      </c>
      <c r="F514" s="16">
        <v>390</v>
      </c>
      <c r="G514" s="17">
        <v>42865.760000000002</v>
      </c>
      <c r="H514" s="17">
        <v>8235.34</v>
      </c>
      <c r="I514" s="19">
        <v>16717646.4</v>
      </c>
      <c r="J514" s="15" t="s">
        <v>17</v>
      </c>
      <c r="K514" s="15" t="s">
        <v>18</v>
      </c>
      <c r="L514" s="9">
        <f>YEAR(E514)</f>
        <v>2020</v>
      </c>
      <c r="M514" s="11">
        <f t="shared" si="9"/>
        <v>3211782.6</v>
      </c>
    </row>
    <row r="515" spans="1:13" ht="20" customHeight="1" x14ac:dyDescent="0.15">
      <c r="A515" s="12"/>
      <c r="B515" s="13" t="s">
        <v>461</v>
      </c>
      <c r="C515" s="14" t="s">
        <v>14</v>
      </c>
      <c r="D515" s="15" t="s">
        <v>70</v>
      </c>
      <c r="E515" s="15" t="s">
        <v>483</v>
      </c>
      <c r="F515" s="16">
        <v>698</v>
      </c>
      <c r="G515" s="17">
        <v>36248.769999999997</v>
      </c>
      <c r="H515" s="17">
        <v>3758.47</v>
      </c>
      <c r="I515" s="17">
        <v>25301641.460000001</v>
      </c>
      <c r="J515" s="15" t="s">
        <v>17</v>
      </c>
      <c r="K515" s="15" t="s">
        <v>18</v>
      </c>
      <c r="L515" s="9">
        <f>YEAR(E515)</f>
        <v>2020</v>
      </c>
      <c r="M515" s="11">
        <f t="shared" si="9"/>
        <v>2623412.06</v>
      </c>
    </row>
    <row r="516" spans="1:13" ht="20" customHeight="1" x14ac:dyDescent="0.15">
      <c r="A516" s="12"/>
      <c r="B516" s="13" t="s">
        <v>461</v>
      </c>
      <c r="C516" s="14" t="s">
        <v>57</v>
      </c>
      <c r="D516" s="15" t="s">
        <v>70</v>
      </c>
      <c r="E516" s="15" t="s">
        <v>136</v>
      </c>
      <c r="F516" s="16">
        <v>579</v>
      </c>
      <c r="G516" s="17">
        <v>24022.55</v>
      </c>
      <c r="H516" s="17">
        <v>4183.58</v>
      </c>
      <c r="I516" s="17">
        <v>13909056.449999999</v>
      </c>
      <c r="J516" s="15" t="s">
        <v>22</v>
      </c>
      <c r="K516" s="15" t="s">
        <v>18</v>
      </c>
      <c r="L516" s="9">
        <f>YEAR(E516)</f>
        <v>2020</v>
      </c>
      <c r="M516" s="11">
        <f t="shared" si="9"/>
        <v>2422292.8199999998</v>
      </c>
    </row>
    <row r="517" spans="1:13" ht="20" customHeight="1" x14ac:dyDescent="0.15">
      <c r="A517" s="12"/>
      <c r="B517" s="13" t="s">
        <v>461</v>
      </c>
      <c r="C517" s="14" t="s">
        <v>43</v>
      </c>
      <c r="D517" s="15" t="s">
        <v>70</v>
      </c>
      <c r="E517" s="15" t="s">
        <v>487</v>
      </c>
      <c r="F517" s="16">
        <v>851</v>
      </c>
      <c r="G517" s="17">
        <v>33435.72</v>
      </c>
      <c r="H517" s="17">
        <v>7910.73</v>
      </c>
      <c r="I517" s="17">
        <v>28453797.719999999</v>
      </c>
      <c r="J517" s="15" t="s">
        <v>17</v>
      </c>
      <c r="K517" s="15" t="s">
        <v>18</v>
      </c>
      <c r="L517" s="9">
        <f>YEAR(E517)</f>
        <v>2020</v>
      </c>
      <c r="M517" s="11">
        <f t="shared" ref="M517:M580" si="10">H517*F517</f>
        <v>6732031.2299999995</v>
      </c>
    </row>
    <row r="518" spans="1:13" ht="20" customHeight="1" x14ac:dyDescent="0.15">
      <c r="A518" s="12"/>
      <c r="B518" s="13" t="s">
        <v>461</v>
      </c>
      <c r="C518" s="14" t="s">
        <v>14</v>
      </c>
      <c r="D518" s="15" t="s">
        <v>89</v>
      </c>
      <c r="E518" s="15" t="s">
        <v>487</v>
      </c>
      <c r="F518" s="16">
        <v>258</v>
      </c>
      <c r="G518" s="17">
        <v>38709.410000000003</v>
      </c>
      <c r="H518" s="17">
        <v>6434.73</v>
      </c>
      <c r="I518" s="17">
        <v>9987027.7799999993</v>
      </c>
      <c r="J518" s="15" t="s">
        <v>17</v>
      </c>
      <c r="K518" s="15" t="s">
        <v>18</v>
      </c>
      <c r="L518" s="9">
        <f>YEAR(E518)</f>
        <v>2020</v>
      </c>
      <c r="M518" s="11">
        <f t="shared" si="10"/>
        <v>1660160.3399999999</v>
      </c>
    </row>
    <row r="519" spans="1:13" ht="20" customHeight="1" x14ac:dyDescent="0.15">
      <c r="A519" s="12"/>
      <c r="B519" s="13" t="s">
        <v>461</v>
      </c>
      <c r="C519" s="14" t="s">
        <v>57</v>
      </c>
      <c r="D519" s="15" t="s">
        <v>53</v>
      </c>
      <c r="E519" s="15" t="s">
        <v>490</v>
      </c>
      <c r="F519" s="16">
        <v>298</v>
      </c>
      <c r="G519" s="17">
        <v>29848.18</v>
      </c>
      <c r="H519" s="17">
        <v>2491.8200000000002</v>
      </c>
      <c r="I519" s="17">
        <v>8894757.6400000006</v>
      </c>
      <c r="J519" s="15" t="s">
        <v>30</v>
      </c>
      <c r="K519" s="15" t="s">
        <v>18</v>
      </c>
      <c r="L519" s="9">
        <f>YEAR(E519)</f>
        <v>2020</v>
      </c>
      <c r="M519" s="11">
        <f t="shared" si="10"/>
        <v>742562.3600000001</v>
      </c>
    </row>
    <row r="520" spans="1:13" ht="20" customHeight="1" x14ac:dyDescent="0.15">
      <c r="A520" s="12"/>
      <c r="B520" s="13" t="s">
        <v>461</v>
      </c>
      <c r="C520" s="14" t="s">
        <v>25</v>
      </c>
      <c r="D520" s="15" t="s">
        <v>53</v>
      </c>
      <c r="E520" s="15" t="s">
        <v>494</v>
      </c>
      <c r="F520" s="16">
        <v>396</v>
      </c>
      <c r="G520" s="16">
        <v>29664</v>
      </c>
      <c r="H520" s="17">
        <v>6786.45</v>
      </c>
      <c r="I520" s="16">
        <v>11746944</v>
      </c>
      <c r="J520" s="15" t="s">
        <v>22</v>
      </c>
      <c r="K520" s="15" t="s">
        <v>18</v>
      </c>
      <c r="L520" s="9">
        <f>YEAR(E520)</f>
        <v>2020</v>
      </c>
      <c r="M520" s="11">
        <f t="shared" si="10"/>
        <v>2687434.1999999997</v>
      </c>
    </row>
    <row r="521" spans="1:13" ht="20" customHeight="1" x14ac:dyDescent="0.15">
      <c r="A521" s="12"/>
      <c r="B521" s="13" t="s">
        <v>461</v>
      </c>
      <c r="C521" s="14" t="s">
        <v>35</v>
      </c>
      <c r="D521" s="15" t="s">
        <v>26</v>
      </c>
      <c r="E521" s="15" t="s">
        <v>494</v>
      </c>
      <c r="F521" s="16">
        <v>663</v>
      </c>
      <c r="G521" s="17">
        <v>11700.02</v>
      </c>
      <c r="H521" s="17">
        <v>5979.08</v>
      </c>
      <c r="I521" s="17">
        <v>7757113.2599999998</v>
      </c>
      <c r="J521" s="15" t="s">
        <v>22</v>
      </c>
      <c r="K521" s="15" t="s">
        <v>18</v>
      </c>
      <c r="L521" s="9">
        <f>YEAR(E521)</f>
        <v>2020</v>
      </c>
      <c r="M521" s="11">
        <f t="shared" si="10"/>
        <v>3964130.04</v>
      </c>
    </row>
    <row r="522" spans="1:13" ht="20" customHeight="1" x14ac:dyDescent="0.15">
      <c r="A522" s="12"/>
      <c r="B522" s="13" t="s">
        <v>461</v>
      </c>
      <c r="C522" s="14" t="s">
        <v>14</v>
      </c>
      <c r="D522" s="15" t="s">
        <v>53</v>
      </c>
      <c r="E522" s="15" t="s">
        <v>105</v>
      </c>
      <c r="F522" s="16">
        <v>187</v>
      </c>
      <c r="G522" s="17">
        <v>26876.43</v>
      </c>
      <c r="H522" s="17">
        <v>7122.88</v>
      </c>
      <c r="I522" s="17">
        <v>5025892.41</v>
      </c>
      <c r="J522" s="15" t="s">
        <v>22</v>
      </c>
      <c r="K522" s="15" t="s">
        <v>18</v>
      </c>
      <c r="L522" s="9">
        <f>YEAR(E522)</f>
        <v>2020</v>
      </c>
      <c r="M522" s="11">
        <f t="shared" si="10"/>
        <v>1331978.56</v>
      </c>
    </row>
    <row r="523" spans="1:13" ht="20" customHeight="1" x14ac:dyDescent="0.15">
      <c r="A523" s="12"/>
      <c r="B523" s="13" t="s">
        <v>461</v>
      </c>
      <c r="C523" s="14" t="s">
        <v>14</v>
      </c>
      <c r="D523" s="15" t="s">
        <v>107</v>
      </c>
      <c r="E523" s="15" t="s">
        <v>133</v>
      </c>
      <c r="F523" s="16">
        <v>814</v>
      </c>
      <c r="G523" s="17">
        <v>45418.18</v>
      </c>
      <c r="H523" s="17">
        <v>2352.81</v>
      </c>
      <c r="I523" s="17">
        <v>36970398.520000003</v>
      </c>
      <c r="J523" s="15" t="s">
        <v>17</v>
      </c>
      <c r="K523" s="15" t="s">
        <v>18</v>
      </c>
      <c r="L523" s="9">
        <f>YEAR(E523)</f>
        <v>2020</v>
      </c>
      <c r="M523" s="11">
        <f t="shared" si="10"/>
        <v>1915187.3399999999</v>
      </c>
    </row>
    <row r="524" spans="1:13" ht="20" customHeight="1" x14ac:dyDescent="0.15">
      <c r="A524" s="12"/>
      <c r="B524" s="13" t="s">
        <v>461</v>
      </c>
      <c r="C524" s="14" t="s">
        <v>23</v>
      </c>
      <c r="D524" s="15" t="s">
        <v>89</v>
      </c>
      <c r="E524" s="15" t="s">
        <v>509</v>
      </c>
      <c r="F524" s="16">
        <v>489</v>
      </c>
      <c r="G524" s="17">
        <v>28847.43</v>
      </c>
      <c r="H524" s="17">
        <v>7921.57</v>
      </c>
      <c r="I524" s="17">
        <v>14106393.27</v>
      </c>
      <c r="J524" s="15" t="s">
        <v>17</v>
      </c>
      <c r="K524" s="15" t="s">
        <v>18</v>
      </c>
      <c r="L524" s="9">
        <f>YEAR(E524)</f>
        <v>2020</v>
      </c>
      <c r="M524" s="11">
        <f t="shared" si="10"/>
        <v>3873647.73</v>
      </c>
    </row>
    <row r="525" spans="1:13" ht="20" customHeight="1" x14ac:dyDescent="0.15">
      <c r="A525" s="12"/>
      <c r="B525" s="13" t="s">
        <v>461</v>
      </c>
      <c r="C525" s="14" t="s">
        <v>19</v>
      </c>
      <c r="D525" s="15" t="s">
        <v>89</v>
      </c>
      <c r="E525" s="15" t="s">
        <v>511</v>
      </c>
      <c r="F525" s="16">
        <v>596</v>
      </c>
      <c r="G525" s="17">
        <v>30068.44</v>
      </c>
      <c r="H525" s="17">
        <v>2819.55</v>
      </c>
      <c r="I525" s="17">
        <v>17920790.239999998</v>
      </c>
      <c r="J525" s="15" t="s">
        <v>17</v>
      </c>
      <c r="K525" s="15" t="s">
        <v>18</v>
      </c>
      <c r="L525" s="9">
        <f>YEAR(E525)</f>
        <v>2020</v>
      </c>
      <c r="M525" s="11">
        <f t="shared" si="10"/>
        <v>1680451.8</v>
      </c>
    </row>
    <row r="526" spans="1:13" ht="20" customHeight="1" x14ac:dyDescent="0.15">
      <c r="A526" s="12"/>
      <c r="B526" s="13" t="s">
        <v>461</v>
      </c>
      <c r="C526" s="14" t="s">
        <v>25</v>
      </c>
      <c r="D526" s="15" t="s">
        <v>89</v>
      </c>
      <c r="E526" s="15" t="s">
        <v>512</v>
      </c>
      <c r="F526" s="16">
        <v>641</v>
      </c>
      <c r="G526" s="17">
        <v>36577.96</v>
      </c>
      <c r="H526" s="17">
        <v>7500.75</v>
      </c>
      <c r="I526" s="17">
        <v>23446472.359999999</v>
      </c>
      <c r="J526" s="15" t="s">
        <v>28</v>
      </c>
      <c r="K526" s="15" t="s">
        <v>18</v>
      </c>
      <c r="L526" s="9">
        <f>YEAR(E526)</f>
        <v>2020</v>
      </c>
      <c r="M526" s="11">
        <f t="shared" si="10"/>
        <v>4807980.75</v>
      </c>
    </row>
    <row r="527" spans="1:13" ht="20" customHeight="1" x14ac:dyDescent="0.15">
      <c r="A527" s="12"/>
      <c r="B527" s="13" t="s">
        <v>461</v>
      </c>
      <c r="C527" s="14" t="s">
        <v>25</v>
      </c>
      <c r="D527" s="15" t="s">
        <v>89</v>
      </c>
      <c r="E527" s="15" t="s">
        <v>513</v>
      </c>
      <c r="F527" s="16">
        <v>448</v>
      </c>
      <c r="G527" s="17">
        <v>22088.53</v>
      </c>
      <c r="H527" s="17">
        <v>2968.57</v>
      </c>
      <c r="I527" s="17">
        <v>9895661.4399999995</v>
      </c>
      <c r="J527" s="15" t="s">
        <v>30</v>
      </c>
      <c r="K527" s="15" t="s">
        <v>18</v>
      </c>
      <c r="L527" s="9">
        <f>YEAR(E527)</f>
        <v>2020</v>
      </c>
      <c r="M527" s="11">
        <f t="shared" si="10"/>
        <v>1329919.3600000001</v>
      </c>
    </row>
    <row r="528" spans="1:13" ht="20" customHeight="1" x14ac:dyDescent="0.15">
      <c r="A528" s="12"/>
      <c r="B528" s="13" t="s">
        <v>461</v>
      </c>
      <c r="C528" s="14" t="s">
        <v>31</v>
      </c>
      <c r="D528" s="15" t="s">
        <v>89</v>
      </c>
      <c r="E528" s="15" t="s">
        <v>516</v>
      </c>
      <c r="F528" s="16">
        <v>859</v>
      </c>
      <c r="G528" s="17">
        <v>20798.68</v>
      </c>
      <c r="H528" s="17">
        <v>9677.49</v>
      </c>
      <c r="I528" s="17">
        <v>17866066.120000001</v>
      </c>
      <c r="J528" s="15" t="s">
        <v>22</v>
      </c>
      <c r="K528" s="15" t="s">
        <v>18</v>
      </c>
      <c r="L528" s="9">
        <f>YEAR(E528)</f>
        <v>2020</v>
      </c>
      <c r="M528" s="11">
        <f t="shared" si="10"/>
        <v>8312963.9100000001</v>
      </c>
    </row>
    <row r="529" spans="1:13" ht="20" customHeight="1" x14ac:dyDescent="0.15">
      <c r="A529" s="12"/>
      <c r="B529" s="13" t="s">
        <v>461</v>
      </c>
      <c r="C529" s="14" t="s">
        <v>43</v>
      </c>
      <c r="D529" s="15" t="s">
        <v>139</v>
      </c>
      <c r="E529" s="15" t="s">
        <v>519</v>
      </c>
      <c r="F529" s="16">
        <v>395</v>
      </c>
      <c r="G529" s="19">
        <v>16150.3</v>
      </c>
      <c r="H529" s="17">
        <v>9981.99</v>
      </c>
      <c r="I529" s="19">
        <v>6379368.5</v>
      </c>
      <c r="J529" s="15" t="s">
        <v>17</v>
      </c>
      <c r="K529" s="15" t="s">
        <v>18</v>
      </c>
      <c r="L529" s="9">
        <f>YEAR(E529)</f>
        <v>2020</v>
      </c>
      <c r="M529" s="11">
        <f t="shared" si="10"/>
        <v>3942886.05</v>
      </c>
    </row>
    <row r="530" spans="1:13" ht="20" customHeight="1" x14ac:dyDescent="0.15">
      <c r="A530" s="12"/>
      <c r="B530" s="13" t="s">
        <v>461</v>
      </c>
      <c r="C530" s="14" t="s">
        <v>43</v>
      </c>
      <c r="D530" s="15" t="s">
        <v>139</v>
      </c>
      <c r="E530" s="15" t="s">
        <v>522</v>
      </c>
      <c r="F530" s="16">
        <v>783</v>
      </c>
      <c r="G530" s="17">
        <v>46845.94</v>
      </c>
      <c r="H530" s="17">
        <v>7199.79</v>
      </c>
      <c r="I530" s="17">
        <v>36680371.020000003</v>
      </c>
      <c r="J530" s="15" t="s">
        <v>17</v>
      </c>
      <c r="K530" s="15" t="s">
        <v>18</v>
      </c>
      <c r="L530" s="9">
        <f>YEAR(E530)</f>
        <v>2020</v>
      </c>
      <c r="M530" s="11">
        <f t="shared" si="10"/>
        <v>5637435.5700000003</v>
      </c>
    </row>
    <row r="531" spans="1:13" ht="20" customHeight="1" x14ac:dyDescent="0.15">
      <c r="A531" s="12"/>
      <c r="B531" s="13" t="s">
        <v>461</v>
      </c>
      <c r="C531" s="14" t="s">
        <v>43</v>
      </c>
      <c r="D531" s="15" t="s">
        <v>68</v>
      </c>
      <c r="E531" s="15" t="s">
        <v>120</v>
      </c>
      <c r="F531" s="16">
        <v>586</v>
      </c>
      <c r="G531" s="17">
        <v>11765.54</v>
      </c>
      <c r="H531" s="17">
        <v>6000.81</v>
      </c>
      <c r="I531" s="17">
        <v>6894606.4400000004</v>
      </c>
      <c r="J531" s="15" t="s">
        <v>17</v>
      </c>
      <c r="K531" s="15" t="s">
        <v>18</v>
      </c>
      <c r="L531" s="9">
        <f>YEAR(E531)</f>
        <v>2020</v>
      </c>
      <c r="M531" s="11">
        <f t="shared" si="10"/>
        <v>3516474.66</v>
      </c>
    </row>
    <row r="532" spans="1:13" ht="20" customHeight="1" x14ac:dyDescent="0.15">
      <c r="A532" s="12"/>
      <c r="B532" s="13" t="s">
        <v>461</v>
      </c>
      <c r="C532" s="14" t="s">
        <v>19</v>
      </c>
      <c r="D532" s="15" t="s">
        <v>68</v>
      </c>
      <c r="E532" s="15" t="s">
        <v>528</v>
      </c>
      <c r="F532" s="16">
        <v>656</v>
      </c>
      <c r="G532" s="17">
        <v>15181.46</v>
      </c>
      <c r="H532" s="17">
        <v>8490.1200000000008</v>
      </c>
      <c r="I532" s="17">
        <v>9959037.7599999998</v>
      </c>
      <c r="J532" s="15" t="s">
        <v>22</v>
      </c>
      <c r="K532" s="15" t="s">
        <v>18</v>
      </c>
      <c r="L532" s="9">
        <f>YEAR(E532)</f>
        <v>2020</v>
      </c>
      <c r="M532" s="11">
        <f t="shared" si="10"/>
        <v>5569518.7200000007</v>
      </c>
    </row>
    <row r="533" spans="1:13" ht="20" customHeight="1" x14ac:dyDescent="0.15">
      <c r="A533" s="12"/>
      <c r="B533" s="13" t="s">
        <v>461</v>
      </c>
      <c r="C533" s="14" t="s">
        <v>79</v>
      </c>
      <c r="D533" s="15" t="s">
        <v>68</v>
      </c>
      <c r="E533" s="15" t="s">
        <v>532</v>
      </c>
      <c r="F533" s="16">
        <v>906</v>
      </c>
      <c r="G533" s="17">
        <v>42689.17</v>
      </c>
      <c r="H533" s="17">
        <v>3042.07</v>
      </c>
      <c r="I533" s="17">
        <v>38676388.020000003</v>
      </c>
      <c r="J533" s="15" t="s">
        <v>17</v>
      </c>
      <c r="K533" s="15" t="s">
        <v>18</v>
      </c>
      <c r="L533" s="9">
        <f>YEAR(E533)</f>
        <v>2020</v>
      </c>
      <c r="M533" s="11">
        <f t="shared" si="10"/>
        <v>2756115.42</v>
      </c>
    </row>
    <row r="534" spans="1:13" ht="20" customHeight="1" x14ac:dyDescent="0.15">
      <c r="A534" s="12"/>
      <c r="B534" s="13" t="s">
        <v>461</v>
      </c>
      <c r="C534" s="14" t="s">
        <v>57</v>
      </c>
      <c r="D534" s="15" t="s">
        <v>68</v>
      </c>
      <c r="E534" s="15" t="s">
        <v>535</v>
      </c>
      <c r="F534" s="16">
        <v>797</v>
      </c>
      <c r="G534" s="17">
        <v>44352.82</v>
      </c>
      <c r="H534" s="17">
        <v>8523.69</v>
      </c>
      <c r="I534" s="17">
        <v>35349197.539999999</v>
      </c>
      <c r="J534" s="15" t="s">
        <v>22</v>
      </c>
      <c r="K534" s="15" t="s">
        <v>18</v>
      </c>
      <c r="L534" s="9">
        <f>YEAR(E534)</f>
        <v>2020</v>
      </c>
      <c r="M534" s="11">
        <f t="shared" si="10"/>
        <v>6793380.9300000006</v>
      </c>
    </row>
    <row r="535" spans="1:13" ht="20" customHeight="1" x14ac:dyDescent="0.15">
      <c r="A535" s="12"/>
      <c r="B535" s="13" t="s">
        <v>461</v>
      </c>
      <c r="C535" s="14" t="s">
        <v>35</v>
      </c>
      <c r="D535" s="15" t="s">
        <v>26</v>
      </c>
      <c r="E535" s="15" t="s">
        <v>538</v>
      </c>
      <c r="F535" s="16">
        <v>170</v>
      </c>
      <c r="G535" s="17">
        <v>20351.669999999998</v>
      </c>
      <c r="H535" s="17">
        <v>3702.17</v>
      </c>
      <c r="I535" s="19">
        <v>3459783.9</v>
      </c>
      <c r="J535" s="15" t="s">
        <v>22</v>
      </c>
      <c r="K535" s="15" t="s">
        <v>18</v>
      </c>
      <c r="L535" s="9">
        <f>YEAR(E535)</f>
        <v>2020</v>
      </c>
      <c r="M535" s="11">
        <f t="shared" si="10"/>
        <v>629368.9</v>
      </c>
    </row>
    <row r="536" spans="1:13" ht="20" customHeight="1" x14ac:dyDescent="0.15">
      <c r="A536" s="12"/>
      <c r="B536" s="13" t="s">
        <v>461</v>
      </c>
      <c r="C536" s="14" t="s">
        <v>23</v>
      </c>
      <c r="D536" s="15" t="s">
        <v>26</v>
      </c>
      <c r="E536" s="15" t="s">
        <v>540</v>
      </c>
      <c r="F536" s="16">
        <v>469</v>
      </c>
      <c r="G536" s="17">
        <v>28403.99</v>
      </c>
      <c r="H536" s="17">
        <v>4747.66</v>
      </c>
      <c r="I536" s="17">
        <v>13321471.310000001</v>
      </c>
      <c r="J536" s="15" t="s">
        <v>22</v>
      </c>
      <c r="K536" s="15" t="s">
        <v>18</v>
      </c>
      <c r="L536" s="9">
        <f>YEAR(E536)</f>
        <v>2020</v>
      </c>
      <c r="M536" s="11">
        <f t="shared" si="10"/>
        <v>2226652.54</v>
      </c>
    </row>
    <row r="537" spans="1:13" ht="20" customHeight="1" x14ac:dyDescent="0.15">
      <c r="A537" s="12"/>
      <c r="B537" s="13" t="s">
        <v>461</v>
      </c>
      <c r="C537" s="14" t="s">
        <v>57</v>
      </c>
      <c r="D537" s="15" t="s">
        <v>153</v>
      </c>
      <c r="E537" s="15" t="s">
        <v>547</v>
      </c>
      <c r="F537" s="16">
        <v>289</v>
      </c>
      <c r="G537" s="17">
        <v>42097.15</v>
      </c>
      <c r="H537" s="17">
        <v>6008.62</v>
      </c>
      <c r="I537" s="17">
        <v>12166076.35</v>
      </c>
      <c r="J537" s="15" t="s">
        <v>17</v>
      </c>
      <c r="K537" s="15" t="s">
        <v>18</v>
      </c>
      <c r="L537" s="9">
        <f>YEAR(E537)</f>
        <v>2020</v>
      </c>
      <c r="M537" s="11">
        <f t="shared" si="10"/>
        <v>1736491.18</v>
      </c>
    </row>
    <row r="538" spans="1:13" ht="20" customHeight="1" x14ac:dyDescent="0.15">
      <c r="A538" s="12"/>
      <c r="B538" s="13" t="s">
        <v>461</v>
      </c>
      <c r="C538" s="14" t="s">
        <v>79</v>
      </c>
      <c r="D538" s="15" t="s">
        <v>153</v>
      </c>
      <c r="E538" s="15" t="s">
        <v>549</v>
      </c>
      <c r="F538" s="16">
        <v>193</v>
      </c>
      <c r="G538" s="17">
        <v>31525.279999999999</v>
      </c>
      <c r="H538" s="17">
        <v>7795.99</v>
      </c>
      <c r="I538" s="17">
        <v>6084379.04</v>
      </c>
      <c r="J538" s="15" t="s">
        <v>28</v>
      </c>
      <c r="K538" s="15" t="s">
        <v>18</v>
      </c>
      <c r="L538" s="9">
        <f>YEAR(E538)</f>
        <v>2020</v>
      </c>
      <c r="M538" s="11">
        <f t="shared" si="10"/>
        <v>1504626.07</v>
      </c>
    </row>
    <row r="539" spans="1:13" ht="20" customHeight="1" x14ac:dyDescent="0.15">
      <c r="A539" s="30" t="s">
        <v>461</v>
      </c>
      <c r="B539" s="13" t="s">
        <v>461</v>
      </c>
      <c r="C539" s="14" t="s">
        <v>79</v>
      </c>
      <c r="D539" s="15" t="s">
        <v>114</v>
      </c>
      <c r="E539" s="15" t="s">
        <v>462</v>
      </c>
      <c r="F539" s="16">
        <v>881</v>
      </c>
      <c r="G539" s="17">
        <v>23151.97</v>
      </c>
      <c r="H539" s="17">
        <v>5868.73</v>
      </c>
      <c r="I539" s="17">
        <v>20396885.57</v>
      </c>
      <c r="J539" s="15" t="s">
        <v>17</v>
      </c>
      <c r="K539" s="15" t="s">
        <v>18</v>
      </c>
      <c r="L539" s="9">
        <f>YEAR(E539)</f>
        <v>2021</v>
      </c>
      <c r="M539" s="11">
        <f t="shared" si="10"/>
        <v>5170351.13</v>
      </c>
    </row>
    <row r="540" spans="1:13" ht="20" customHeight="1" x14ac:dyDescent="0.15">
      <c r="A540" s="12"/>
      <c r="B540" s="13" t="s">
        <v>461</v>
      </c>
      <c r="C540" s="14" t="s">
        <v>23</v>
      </c>
      <c r="D540" s="15" t="s">
        <v>15</v>
      </c>
      <c r="E540" s="15" t="s">
        <v>462</v>
      </c>
      <c r="F540" s="16">
        <v>283</v>
      </c>
      <c r="G540" s="17">
        <v>18829.439999999999</v>
      </c>
      <c r="H540" s="17">
        <v>3188.06</v>
      </c>
      <c r="I540" s="17">
        <v>5328731.5199999996</v>
      </c>
      <c r="J540" s="15" t="s">
        <v>17</v>
      </c>
      <c r="K540" s="15" t="s">
        <v>18</v>
      </c>
      <c r="L540" s="9">
        <f>YEAR(E540)</f>
        <v>2021</v>
      </c>
      <c r="M540" s="11">
        <f t="shared" si="10"/>
        <v>902220.98</v>
      </c>
    </row>
    <row r="541" spans="1:13" ht="20" customHeight="1" x14ac:dyDescent="0.15">
      <c r="A541" s="12"/>
      <c r="B541" s="13" t="s">
        <v>461</v>
      </c>
      <c r="C541" s="14" t="s">
        <v>35</v>
      </c>
      <c r="D541" s="15" t="s">
        <v>114</v>
      </c>
      <c r="E541" s="15" t="s">
        <v>421</v>
      </c>
      <c r="F541" s="16">
        <v>840</v>
      </c>
      <c r="G541" s="17">
        <v>49351.45</v>
      </c>
      <c r="H541" s="17">
        <v>4574.66</v>
      </c>
      <c r="I541" s="16">
        <v>41455218</v>
      </c>
      <c r="J541" s="15" t="s">
        <v>17</v>
      </c>
      <c r="K541" s="15" t="s">
        <v>18</v>
      </c>
      <c r="L541" s="9">
        <f>YEAR(E541)</f>
        <v>2021</v>
      </c>
      <c r="M541" s="11">
        <f t="shared" si="10"/>
        <v>3842714.4</v>
      </c>
    </row>
    <row r="542" spans="1:13" ht="20" customHeight="1" x14ac:dyDescent="0.15">
      <c r="A542" s="12"/>
      <c r="B542" s="13" t="s">
        <v>461</v>
      </c>
      <c r="C542" s="14" t="s">
        <v>23</v>
      </c>
      <c r="D542" s="15" t="s">
        <v>114</v>
      </c>
      <c r="E542" s="15" t="s">
        <v>465</v>
      </c>
      <c r="F542" s="16">
        <v>568</v>
      </c>
      <c r="G542" s="17">
        <v>37168.160000000003</v>
      </c>
      <c r="H542" s="17">
        <v>8052.61</v>
      </c>
      <c r="I542" s="17">
        <v>21111514.879999999</v>
      </c>
      <c r="J542" s="15" t="s">
        <v>17</v>
      </c>
      <c r="K542" s="15" t="s">
        <v>18</v>
      </c>
      <c r="L542" s="9">
        <f>YEAR(E542)</f>
        <v>2021</v>
      </c>
      <c r="M542" s="11">
        <f t="shared" si="10"/>
        <v>4573882.4799999995</v>
      </c>
    </row>
    <row r="543" spans="1:13" ht="20" customHeight="1" x14ac:dyDescent="0.15">
      <c r="A543" s="12"/>
      <c r="B543" s="13" t="s">
        <v>461</v>
      </c>
      <c r="C543" s="14" t="s">
        <v>14</v>
      </c>
      <c r="D543" s="15" t="s">
        <v>114</v>
      </c>
      <c r="E543" s="15" t="s">
        <v>467</v>
      </c>
      <c r="F543" s="16">
        <v>169</v>
      </c>
      <c r="G543" s="17">
        <v>36340.15</v>
      </c>
      <c r="H543" s="19">
        <v>4211.5</v>
      </c>
      <c r="I543" s="17">
        <v>6141485.3499999996</v>
      </c>
      <c r="J543" s="15" t="s">
        <v>30</v>
      </c>
      <c r="K543" s="15" t="s">
        <v>18</v>
      </c>
      <c r="L543" s="9">
        <f>YEAR(E543)</f>
        <v>2021</v>
      </c>
      <c r="M543" s="11">
        <f t="shared" si="10"/>
        <v>711743.5</v>
      </c>
    </row>
    <row r="544" spans="1:13" ht="20" customHeight="1" x14ac:dyDescent="0.15">
      <c r="A544" s="12"/>
      <c r="B544" s="13" t="s">
        <v>461</v>
      </c>
      <c r="C544" s="14" t="s">
        <v>23</v>
      </c>
      <c r="D544" s="15" t="s">
        <v>15</v>
      </c>
      <c r="E544" s="15" t="s">
        <v>470</v>
      </c>
      <c r="F544" s="16">
        <v>391</v>
      </c>
      <c r="G544" s="17">
        <v>19901.91</v>
      </c>
      <c r="H544" s="17">
        <v>2594.44</v>
      </c>
      <c r="I544" s="17">
        <v>7781646.8099999996</v>
      </c>
      <c r="J544" s="15" t="s">
        <v>17</v>
      </c>
      <c r="K544" s="15" t="s">
        <v>18</v>
      </c>
      <c r="L544" s="9">
        <f>YEAR(E544)</f>
        <v>2021</v>
      </c>
      <c r="M544" s="11">
        <f t="shared" si="10"/>
        <v>1014426.04</v>
      </c>
    </row>
    <row r="545" spans="1:13" ht="20" customHeight="1" x14ac:dyDescent="0.15">
      <c r="A545" s="12"/>
      <c r="B545" s="13" t="s">
        <v>461</v>
      </c>
      <c r="C545" s="14" t="s">
        <v>43</v>
      </c>
      <c r="D545" s="15" t="s">
        <v>15</v>
      </c>
      <c r="E545" s="15" t="s">
        <v>471</v>
      </c>
      <c r="F545" s="16">
        <v>428</v>
      </c>
      <c r="G545" s="17">
        <v>33222.480000000003</v>
      </c>
      <c r="H545" s="17">
        <v>9269.51</v>
      </c>
      <c r="I545" s="17">
        <v>14219221.439999999</v>
      </c>
      <c r="J545" s="15" t="s">
        <v>28</v>
      </c>
      <c r="K545" s="15" t="s">
        <v>18</v>
      </c>
      <c r="L545" s="9">
        <f>YEAR(E545)</f>
        <v>2021</v>
      </c>
      <c r="M545" s="11">
        <f t="shared" si="10"/>
        <v>3967350.2800000003</v>
      </c>
    </row>
    <row r="546" spans="1:13" ht="20" customHeight="1" x14ac:dyDescent="0.15">
      <c r="A546" s="12"/>
      <c r="B546" s="13" t="s">
        <v>461</v>
      </c>
      <c r="C546" s="14" t="s">
        <v>25</v>
      </c>
      <c r="D546" s="15" t="s">
        <v>15</v>
      </c>
      <c r="E546" s="15" t="s">
        <v>475</v>
      </c>
      <c r="F546" s="16">
        <v>375</v>
      </c>
      <c r="G546" s="17">
        <v>47026.19</v>
      </c>
      <c r="H546" s="17">
        <v>3721.51</v>
      </c>
      <c r="I546" s="17">
        <v>17634821.25</v>
      </c>
      <c r="J546" s="15" t="s">
        <v>28</v>
      </c>
      <c r="K546" s="15" t="s">
        <v>18</v>
      </c>
      <c r="L546" s="9">
        <f>YEAR(E546)</f>
        <v>2021</v>
      </c>
      <c r="M546" s="11">
        <f t="shared" si="10"/>
        <v>1395566.25</v>
      </c>
    </row>
    <row r="547" spans="1:13" ht="20" customHeight="1" x14ac:dyDescent="0.15">
      <c r="A547" s="12"/>
      <c r="B547" s="13" t="s">
        <v>461</v>
      </c>
      <c r="C547" s="14" t="s">
        <v>14</v>
      </c>
      <c r="D547" s="15" t="s">
        <v>15</v>
      </c>
      <c r="E547" s="15" t="s">
        <v>428</v>
      </c>
      <c r="F547" s="16">
        <v>593</v>
      </c>
      <c r="G547" s="17">
        <v>44749.95</v>
      </c>
      <c r="H547" s="17">
        <v>4498.4799999999996</v>
      </c>
      <c r="I547" s="17">
        <v>26536720.350000001</v>
      </c>
      <c r="J547" s="15" t="s">
        <v>17</v>
      </c>
      <c r="K547" s="15" t="s">
        <v>18</v>
      </c>
      <c r="L547" s="9">
        <f>YEAR(E547)</f>
        <v>2021</v>
      </c>
      <c r="M547" s="11">
        <f t="shared" si="10"/>
        <v>2667598.6399999997</v>
      </c>
    </row>
    <row r="548" spans="1:13" ht="20" customHeight="1" x14ac:dyDescent="0.15">
      <c r="A548" s="12"/>
      <c r="B548" s="13" t="s">
        <v>461</v>
      </c>
      <c r="C548" s="14" t="s">
        <v>79</v>
      </c>
      <c r="D548" s="15" t="s">
        <v>15</v>
      </c>
      <c r="E548" s="15" t="s">
        <v>479</v>
      </c>
      <c r="F548" s="16">
        <v>248</v>
      </c>
      <c r="G548" s="19">
        <v>49335.1</v>
      </c>
      <c r="H548" s="17">
        <v>4909.96</v>
      </c>
      <c r="I548" s="19">
        <v>12235104.800000001</v>
      </c>
      <c r="J548" s="15" t="s">
        <v>17</v>
      </c>
      <c r="K548" s="15" t="s">
        <v>18</v>
      </c>
      <c r="L548" s="9">
        <f>YEAR(E548)</f>
        <v>2021</v>
      </c>
      <c r="M548" s="11">
        <f t="shared" si="10"/>
        <v>1217670.08</v>
      </c>
    </row>
    <row r="549" spans="1:13" ht="20" customHeight="1" x14ac:dyDescent="0.15">
      <c r="A549" s="12"/>
      <c r="B549" s="13" t="s">
        <v>461</v>
      </c>
      <c r="C549" s="14" t="s">
        <v>19</v>
      </c>
      <c r="D549" s="15" t="s">
        <v>70</v>
      </c>
      <c r="E549" s="15" t="s">
        <v>481</v>
      </c>
      <c r="F549" s="16">
        <v>873</v>
      </c>
      <c r="G549" s="17">
        <v>35948.04</v>
      </c>
      <c r="H549" s="19">
        <v>8000.9</v>
      </c>
      <c r="I549" s="17">
        <v>31382638.920000002</v>
      </c>
      <c r="J549" s="15" t="s">
        <v>17</v>
      </c>
      <c r="K549" s="15" t="s">
        <v>18</v>
      </c>
      <c r="L549" s="9">
        <f>YEAR(E549)</f>
        <v>2021</v>
      </c>
      <c r="M549" s="11">
        <f t="shared" si="10"/>
        <v>6984785.6999999993</v>
      </c>
    </row>
    <row r="550" spans="1:13" ht="20" customHeight="1" x14ac:dyDescent="0.15">
      <c r="A550" s="12"/>
      <c r="B550" s="13" t="s">
        <v>461</v>
      </c>
      <c r="C550" s="14" t="s">
        <v>35</v>
      </c>
      <c r="D550" s="15" t="s">
        <v>53</v>
      </c>
      <c r="E550" s="15" t="s">
        <v>489</v>
      </c>
      <c r="F550" s="16">
        <v>726</v>
      </c>
      <c r="G550" s="17">
        <v>24759.94</v>
      </c>
      <c r="H550" s="17">
        <v>3878.78</v>
      </c>
      <c r="I550" s="17">
        <v>17975716.440000001</v>
      </c>
      <c r="J550" s="15" t="s">
        <v>17</v>
      </c>
      <c r="K550" s="15" t="s">
        <v>18</v>
      </c>
      <c r="L550" s="9">
        <f>YEAR(E550)</f>
        <v>2021</v>
      </c>
      <c r="M550" s="11">
        <f t="shared" si="10"/>
        <v>2815994.2800000003</v>
      </c>
    </row>
    <row r="551" spans="1:13" ht="20" customHeight="1" x14ac:dyDescent="0.15">
      <c r="A551" s="12"/>
      <c r="B551" s="13" t="s">
        <v>461</v>
      </c>
      <c r="C551" s="14" t="s">
        <v>79</v>
      </c>
      <c r="D551" s="15" t="s">
        <v>53</v>
      </c>
      <c r="E551" s="15" t="s">
        <v>492</v>
      </c>
      <c r="F551" s="16">
        <v>397</v>
      </c>
      <c r="G551" s="17">
        <v>22969.040000000001</v>
      </c>
      <c r="H551" s="17">
        <v>2260.4499999999998</v>
      </c>
      <c r="I551" s="17">
        <v>9118708.8800000008</v>
      </c>
      <c r="J551" s="15" t="s">
        <v>17</v>
      </c>
      <c r="K551" s="15" t="s">
        <v>18</v>
      </c>
      <c r="L551" s="9">
        <f>YEAR(E551)</f>
        <v>2021</v>
      </c>
      <c r="M551" s="11">
        <f t="shared" si="10"/>
        <v>897398.64999999991</v>
      </c>
    </row>
    <row r="552" spans="1:13" ht="20" customHeight="1" x14ac:dyDescent="0.15">
      <c r="A552" s="12"/>
      <c r="B552" s="13" t="s">
        <v>461</v>
      </c>
      <c r="C552" s="14" t="s">
        <v>79</v>
      </c>
      <c r="D552" s="15" t="s">
        <v>53</v>
      </c>
      <c r="E552" s="15" t="s">
        <v>493</v>
      </c>
      <c r="F552" s="16">
        <v>676</v>
      </c>
      <c r="G552" s="17">
        <v>22251.72</v>
      </c>
      <c r="H552" s="17">
        <v>5992.39</v>
      </c>
      <c r="I552" s="17">
        <v>15042162.720000001</v>
      </c>
      <c r="J552" s="15" t="s">
        <v>17</v>
      </c>
      <c r="K552" s="15" t="s">
        <v>18</v>
      </c>
      <c r="L552" s="9">
        <f>YEAR(E552)</f>
        <v>2021</v>
      </c>
      <c r="M552" s="11">
        <f t="shared" si="10"/>
        <v>4050855.64</v>
      </c>
    </row>
    <row r="553" spans="1:13" ht="20" customHeight="1" x14ac:dyDescent="0.15">
      <c r="A553" s="12"/>
      <c r="B553" s="13" t="s">
        <v>461</v>
      </c>
      <c r="C553" s="14" t="s">
        <v>43</v>
      </c>
      <c r="D553" s="15" t="s">
        <v>107</v>
      </c>
      <c r="E553" s="15" t="s">
        <v>497</v>
      </c>
      <c r="F553" s="16">
        <v>537</v>
      </c>
      <c r="G553" s="17">
        <v>48105.59</v>
      </c>
      <c r="H553" s="17">
        <v>5191.38</v>
      </c>
      <c r="I553" s="17">
        <v>25832701.829999998</v>
      </c>
      <c r="J553" s="15" t="s">
        <v>17</v>
      </c>
      <c r="K553" s="15" t="s">
        <v>18</v>
      </c>
      <c r="L553" s="9">
        <f>YEAR(E553)</f>
        <v>2021</v>
      </c>
      <c r="M553" s="11">
        <f t="shared" si="10"/>
        <v>2787771.06</v>
      </c>
    </row>
    <row r="554" spans="1:13" ht="20" customHeight="1" x14ac:dyDescent="0.15">
      <c r="A554" s="12"/>
      <c r="B554" s="13" t="s">
        <v>461</v>
      </c>
      <c r="C554" s="14" t="s">
        <v>35</v>
      </c>
      <c r="D554" s="15" t="s">
        <v>107</v>
      </c>
      <c r="E554" s="15" t="s">
        <v>499</v>
      </c>
      <c r="F554" s="16">
        <v>487</v>
      </c>
      <c r="G554" s="17">
        <v>48839.39</v>
      </c>
      <c r="H554" s="17">
        <v>6529.26</v>
      </c>
      <c r="I554" s="17">
        <v>23784782.93</v>
      </c>
      <c r="J554" s="15" t="s">
        <v>30</v>
      </c>
      <c r="K554" s="15" t="s">
        <v>18</v>
      </c>
      <c r="L554" s="9">
        <f>YEAR(E554)</f>
        <v>2021</v>
      </c>
      <c r="M554" s="11">
        <f t="shared" si="10"/>
        <v>3179749.62</v>
      </c>
    </row>
    <row r="555" spans="1:13" ht="20" customHeight="1" x14ac:dyDescent="0.15">
      <c r="A555" s="12"/>
      <c r="B555" s="13" t="s">
        <v>461</v>
      </c>
      <c r="C555" s="14" t="s">
        <v>23</v>
      </c>
      <c r="D555" s="15" t="s">
        <v>107</v>
      </c>
      <c r="E555" s="15" t="s">
        <v>502</v>
      </c>
      <c r="F555" s="16">
        <v>326</v>
      </c>
      <c r="G555" s="17">
        <v>13973.69</v>
      </c>
      <c r="H555" s="17">
        <v>7279.87</v>
      </c>
      <c r="I555" s="17">
        <v>4555422.9400000004</v>
      </c>
      <c r="J555" s="15" t="s">
        <v>17</v>
      </c>
      <c r="K555" s="15" t="s">
        <v>18</v>
      </c>
      <c r="L555" s="9">
        <f>YEAR(E555)</f>
        <v>2021</v>
      </c>
      <c r="M555" s="11">
        <f t="shared" si="10"/>
        <v>2373237.62</v>
      </c>
    </row>
    <row r="556" spans="1:13" ht="20" customHeight="1" x14ac:dyDescent="0.15">
      <c r="A556" s="12"/>
      <c r="B556" s="13" t="s">
        <v>461</v>
      </c>
      <c r="C556" s="14" t="s">
        <v>35</v>
      </c>
      <c r="D556" s="15" t="s">
        <v>89</v>
      </c>
      <c r="E556" s="15" t="s">
        <v>514</v>
      </c>
      <c r="F556" s="16">
        <v>292</v>
      </c>
      <c r="G556" s="17">
        <v>27482.77</v>
      </c>
      <c r="H556" s="17">
        <v>3727.66</v>
      </c>
      <c r="I556" s="17">
        <v>8024968.8399999999</v>
      </c>
      <c r="J556" s="15" t="s">
        <v>17</v>
      </c>
      <c r="K556" s="15" t="s">
        <v>18</v>
      </c>
      <c r="L556" s="9">
        <f>YEAR(E556)</f>
        <v>2021</v>
      </c>
      <c r="M556" s="11">
        <f t="shared" si="10"/>
        <v>1088476.72</v>
      </c>
    </row>
    <row r="557" spans="1:13" ht="20" customHeight="1" x14ac:dyDescent="0.15">
      <c r="A557" s="12"/>
      <c r="B557" s="13" t="s">
        <v>461</v>
      </c>
      <c r="C557" s="14" t="s">
        <v>14</v>
      </c>
      <c r="D557" s="15" t="s">
        <v>89</v>
      </c>
      <c r="E557" s="15" t="s">
        <v>515</v>
      </c>
      <c r="F557" s="16">
        <v>586</v>
      </c>
      <c r="G557" s="17">
        <v>24919.56</v>
      </c>
      <c r="H557" s="17">
        <v>9611.18</v>
      </c>
      <c r="I557" s="17">
        <v>14602862.16</v>
      </c>
      <c r="J557" s="15" t="s">
        <v>28</v>
      </c>
      <c r="K557" s="15" t="s">
        <v>18</v>
      </c>
      <c r="L557" s="9">
        <f>YEAR(E557)</f>
        <v>2021</v>
      </c>
      <c r="M557" s="11">
        <f t="shared" si="10"/>
        <v>5632151.4800000004</v>
      </c>
    </row>
    <row r="558" spans="1:13" ht="20" customHeight="1" x14ac:dyDescent="0.15">
      <c r="A558" s="12"/>
      <c r="B558" s="13" t="s">
        <v>461</v>
      </c>
      <c r="C558" s="14" t="s">
        <v>38</v>
      </c>
      <c r="D558" s="15" t="s">
        <v>89</v>
      </c>
      <c r="E558" s="15" t="s">
        <v>517</v>
      </c>
      <c r="F558" s="16">
        <v>655</v>
      </c>
      <c r="G558" s="17">
        <v>45931.66</v>
      </c>
      <c r="H558" s="17">
        <v>6251.45</v>
      </c>
      <c r="I558" s="19">
        <v>30085237.300000001</v>
      </c>
      <c r="J558" s="15" t="s">
        <v>17</v>
      </c>
      <c r="K558" s="15" t="s">
        <v>18</v>
      </c>
      <c r="L558" s="9">
        <f>YEAR(E558)</f>
        <v>2021</v>
      </c>
      <c r="M558" s="11">
        <f t="shared" si="10"/>
        <v>4094699.75</v>
      </c>
    </row>
    <row r="559" spans="1:13" ht="20" customHeight="1" x14ac:dyDescent="0.15">
      <c r="A559" s="12"/>
      <c r="B559" s="13" t="s">
        <v>461</v>
      </c>
      <c r="C559" s="14" t="s">
        <v>31</v>
      </c>
      <c r="D559" s="15" t="s">
        <v>139</v>
      </c>
      <c r="E559" s="15" t="s">
        <v>521</v>
      </c>
      <c r="F559" s="16">
        <v>795</v>
      </c>
      <c r="G559" s="17">
        <v>39866.44</v>
      </c>
      <c r="H559" s="17">
        <v>8970.09</v>
      </c>
      <c r="I559" s="19">
        <v>31693819.800000001</v>
      </c>
      <c r="J559" s="15" t="s">
        <v>22</v>
      </c>
      <c r="K559" s="15" t="s">
        <v>18</v>
      </c>
      <c r="L559" s="9">
        <f>YEAR(E559)</f>
        <v>2021</v>
      </c>
      <c r="M559" s="11">
        <f t="shared" si="10"/>
        <v>7131221.5499999998</v>
      </c>
    </row>
    <row r="560" spans="1:13" ht="20" customHeight="1" x14ac:dyDescent="0.15">
      <c r="A560" s="12"/>
      <c r="B560" s="13" t="s">
        <v>461</v>
      </c>
      <c r="C560" s="14" t="s">
        <v>25</v>
      </c>
      <c r="D560" s="15" t="s">
        <v>139</v>
      </c>
      <c r="E560" s="15" t="s">
        <v>524</v>
      </c>
      <c r="F560" s="16">
        <v>498</v>
      </c>
      <c r="G560" s="17">
        <v>10454.43</v>
      </c>
      <c r="H560" s="19">
        <v>7341.9</v>
      </c>
      <c r="I560" s="17">
        <v>5206306.1399999997</v>
      </c>
      <c r="J560" s="15" t="s">
        <v>17</v>
      </c>
      <c r="K560" s="15" t="s">
        <v>18</v>
      </c>
      <c r="L560" s="9">
        <f>YEAR(E560)</f>
        <v>2021</v>
      </c>
      <c r="M560" s="11">
        <f t="shared" si="10"/>
        <v>3656266.1999999997</v>
      </c>
    </row>
    <row r="561" spans="1:13" ht="20" customHeight="1" x14ac:dyDescent="0.15">
      <c r="A561" s="12"/>
      <c r="B561" s="13" t="s">
        <v>461</v>
      </c>
      <c r="C561" s="14" t="s">
        <v>43</v>
      </c>
      <c r="D561" s="15" t="s">
        <v>139</v>
      </c>
      <c r="E561" s="15" t="s">
        <v>525</v>
      </c>
      <c r="F561" s="16">
        <v>437</v>
      </c>
      <c r="G561" s="17">
        <v>34043.56</v>
      </c>
      <c r="H561" s="17">
        <v>9211.58</v>
      </c>
      <c r="I561" s="17">
        <v>14877035.720000001</v>
      </c>
      <c r="J561" s="15" t="s">
        <v>17</v>
      </c>
      <c r="K561" s="15" t="s">
        <v>18</v>
      </c>
      <c r="L561" s="9">
        <f>YEAR(E561)</f>
        <v>2021</v>
      </c>
      <c r="M561" s="11">
        <f t="shared" si="10"/>
        <v>4025460.46</v>
      </c>
    </row>
    <row r="562" spans="1:13" ht="20" customHeight="1" x14ac:dyDescent="0.15">
      <c r="A562" s="12"/>
      <c r="B562" s="13" t="s">
        <v>461</v>
      </c>
      <c r="C562" s="14" t="s">
        <v>57</v>
      </c>
      <c r="D562" s="15" t="s">
        <v>139</v>
      </c>
      <c r="E562" s="15" t="s">
        <v>449</v>
      </c>
      <c r="F562" s="16">
        <v>367</v>
      </c>
      <c r="G562" s="17">
        <v>41045.83</v>
      </c>
      <c r="H562" s="17">
        <v>2057.84</v>
      </c>
      <c r="I562" s="17">
        <v>15063819.609999999</v>
      </c>
      <c r="J562" s="15" t="s">
        <v>22</v>
      </c>
      <c r="K562" s="15" t="s">
        <v>18</v>
      </c>
      <c r="L562" s="9">
        <f>YEAR(E562)</f>
        <v>2021</v>
      </c>
      <c r="M562" s="11">
        <f t="shared" si="10"/>
        <v>755227.28</v>
      </c>
    </row>
    <row r="563" spans="1:13" ht="20" customHeight="1" x14ac:dyDescent="0.15">
      <c r="A563" s="12"/>
      <c r="B563" s="13" t="s">
        <v>461</v>
      </c>
      <c r="C563" s="14" t="s">
        <v>38</v>
      </c>
      <c r="D563" s="15" t="s">
        <v>68</v>
      </c>
      <c r="E563" s="15" t="s">
        <v>92</v>
      </c>
      <c r="F563" s="16">
        <v>535</v>
      </c>
      <c r="G563" s="17">
        <v>48301.99</v>
      </c>
      <c r="H563" s="17">
        <v>9496.39</v>
      </c>
      <c r="I563" s="17">
        <v>25841564.649999999</v>
      </c>
      <c r="J563" s="15" t="s">
        <v>30</v>
      </c>
      <c r="K563" s="15" t="s">
        <v>18</v>
      </c>
      <c r="L563" s="9">
        <f>YEAR(E563)</f>
        <v>2021</v>
      </c>
      <c r="M563" s="11">
        <f t="shared" si="10"/>
        <v>5080568.6499999994</v>
      </c>
    </row>
    <row r="564" spans="1:13" ht="20" customHeight="1" x14ac:dyDescent="0.15">
      <c r="A564" s="12"/>
      <c r="B564" s="13" t="s">
        <v>461</v>
      </c>
      <c r="C564" s="14" t="s">
        <v>19</v>
      </c>
      <c r="D564" s="15" t="s">
        <v>68</v>
      </c>
      <c r="E564" s="15" t="s">
        <v>530</v>
      </c>
      <c r="F564" s="16">
        <v>323</v>
      </c>
      <c r="G564" s="17">
        <v>17650.490000000002</v>
      </c>
      <c r="H564" s="17">
        <v>7102.23</v>
      </c>
      <c r="I564" s="17">
        <v>5701108.2699999996</v>
      </c>
      <c r="J564" s="15" t="s">
        <v>17</v>
      </c>
      <c r="K564" s="15" t="s">
        <v>18</v>
      </c>
      <c r="L564" s="9">
        <f>YEAR(E564)</f>
        <v>2021</v>
      </c>
      <c r="M564" s="11">
        <f t="shared" si="10"/>
        <v>2294020.29</v>
      </c>
    </row>
    <row r="565" spans="1:13" ht="20" customHeight="1" x14ac:dyDescent="0.15">
      <c r="A565" s="12"/>
      <c r="B565" s="13" t="s">
        <v>461</v>
      </c>
      <c r="C565" s="14" t="s">
        <v>43</v>
      </c>
      <c r="D565" s="15" t="s">
        <v>68</v>
      </c>
      <c r="E565" s="15" t="s">
        <v>531</v>
      </c>
      <c r="F565" s="16">
        <v>809</v>
      </c>
      <c r="G565" s="19">
        <v>22118.5</v>
      </c>
      <c r="H565" s="17">
        <v>3485.39</v>
      </c>
      <c r="I565" s="19">
        <v>17893866.5</v>
      </c>
      <c r="J565" s="15" t="s">
        <v>22</v>
      </c>
      <c r="K565" s="15" t="s">
        <v>18</v>
      </c>
      <c r="L565" s="9">
        <f>YEAR(E565)</f>
        <v>2021</v>
      </c>
      <c r="M565" s="11">
        <f t="shared" si="10"/>
        <v>2819680.51</v>
      </c>
    </row>
    <row r="566" spans="1:13" ht="20" customHeight="1" x14ac:dyDescent="0.15">
      <c r="A566" s="12"/>
      <c r="B566" s="13" t="s">
        <v>461</v>
      </c>
      <c r="C566" s="14" t="s">
        <v>31</v>
      </c>
      <c r="D566" s="15" t="s">
        <v>68</v>
      </c>
      <c r="E566" s="15" t="s">
        <v>536</v>
      </c>
      <c r="F566" s="16">
        <v>407</v>
      </c>
      <c r="G566" s="17">
        <v>46822.22</v>
      </c>
      <c r="H566" s="17">
        <v>6834.45</v>
      </c>
      <c r="I566" s="17">
        <v>19056643.539999999</v>
      </c>
      <c r="J566" s="15" t="s">
        <v>30</v>
      </c>
      <c r="K566" s="15" t="s">
        <v>18</v>
      </c>
      <c r="L566" s="9">
        <f>YEAR(E566)</f>
        <v>2021</v>
      </c>
      <c r="M566" s="11">
        <f t="shared" si="10"/>
        <v>2781621.15</v>
      </c>
    </row>
    <row r="567" spans="1:13" ht="20" customHeight="1" x14ac:dyDescent="0.15">
      <c r="A567" s="12"/>
      <c r="B567" s="13" t="s">
        <v>461</v>
      </c>
      <c r="C567" s="14" t="s">
        <v>25</v>
      </c>
      <c r="D567" s="15" t="s">
        <v>26</v>
      </c>
      <c r="E567" s="15" t="s">
        <v>45</v>
      </c>
      <c r="F567" s="16">
        <v>517</v>
      </c>
      <c r="G567" s="17">
        <v>35729.89</v>
      </c>
      <c r="H567" s="17">
        <v>7932.64</v>
      </c>
      <c r="I567" s="17">
        <v>18472353.129999999</v>
      </c>
      <c r="J567" s="15" t="s">
        <v>17</v>
      </c>
      <c r="K567" s="15" t="s">
        <v>18</v>
      </c>
      <c r="L567" s="9">
        <f>YEAR(E567)</f>
        <v>2021</v>
      </c>
      <c r="M567" s="11">
        <f t="shared" si="10"/>
        <v>4101174.8800000004</v>
      </c>
    </row>
    <row r="568" spans="1:13" ht="20" customHeight="1" x14ac:dyDescent="0.15">
      <c r="A568" s="12"/>
      <c r="B568" s="13" t="s">
        <v>461</v>
      </c>
      <c r="C568" s="14" t="s">
        <v>57</v>
      </c>
      <c r="D568" s="15" t="s">
        <v>26</v>
      </c>
      <c r="E568" s="15" t="s">
        <v>543</v>
      </c>
      <c r="F568" s="16">
        <v>919</v>
      </c>
      <c r="G568" s="17">
        <v>12736.81</v>
      </c>
      <c r="H568" s="17">
        <v>5369.17</v>
      </c>
      <c r="I568" s="17">
        <v>11705128.390000001</v>
      </c>
      <c r="J568" s="15" t="s">
        <v>17</v>
      </c>
      <c r="K568" s="15" t="s">
        <v>18</v>
      </c>
      <c r="L568" s="9">
        <f>YEAR(E568)</f>
        <v>2021</v>
      </c>
      <c r="M568" s="11">
        <f t="shared" si="10"/>
        <v>4934267.2300000004</v>
      </c>
    </row>
    <row r="569" spans="1:13" ht="20" customHeight="1" x14ac:dyDescent="0.15">
      <c r="A569" s="12"/>
      <c r="B569" s="13" t="s">
        <v>461</v>
      </c>
      <c r="C569" s="14" t="s">
        <v>23</v>
      </c>
      <c r="D569" s="15" t="s">
        <v>26</v>
      </c>
      <c r="E569" s="15" t="s">
        <v>400</v>
      </c>
      <c r="F569" s="16">
        <v>215</v>
      </c>
      <c r="G569" s="17">
        <v>17273.349999999999</v>
      </c>
      <c r="H569" s="17">
        <v>8601.77</v>
      </c>
      <c r="I569" s="17">
        <v>3713770.25</v>
      </c>
      <c r="J569" s="15" t="s">
        <v>17</v>
      </c>
      <c r="K569" s="15" t="s">
        <v>18</v>
      </c>
      <c r="L569" s="9">
        <f>YEAR(E569)</f>
        <v>2021</v>
      </c>
      <c r="M569" s="11">
        <f t="shared" si="10"/>
        <v>1849380.55</v>
      </c>
    </row>
    <row r="570" spans="1:13" ht="20" customHeight="1" x14ac:dyDescent="0.15">
      <c r="A570" s="12"/>
      <c r="B570" s="13" t="s">
        <v>461</v>
      </c>
      <c r="C570" s="14" t="s">
        <v>57</v>
      </c>
      <c r="D570" s="15" t="s">
        <v>26</v>
      </c>
      <c r="E570" s="15" t="s">
        <v>545</v>
      </c>
      <c r="F570" s="16">
        <v>474</v>
      </c>
      <c r="G570" s="17">
        <v>18544.439999999999</v>
      </c>
      <c r="H570" s="17">
        <v>5802.97</v>
      </c>
      <c r="I570" s="17">
        <v>8790064.5600000005</v>
      </c>
      <c r="J570" s="15" t="s">
        <v>17</v>
      </c>
      <c r="K570" s="15" t="s">
        <v>18</v>
      </c>
      <c r="L570" s="9">
        <f>YEAR(E570)</f>
        <v>2021</v>
      </c>
      <c r="M570" s="11">
        <f t="shared" si="10"/>
        <v>2750607.7800000003</v>
      </c>
    </row>
    <row r="571" spans="1:13" ht="20" customHeight="1" x14ac:dyDescent="0.15">
      <c r="A571" s="12"/>
      <c r="B571" s="13" t="s">
        <v>461</v>
      </c>
      <c r="C571" s="14" t="s">
        <v>43</v>
      </c>
      <c r="D571" s="15" t="s">
        <v>153</v>
      </c>
      <c r="E571" s="15" t="s">
        <v>188</v>
      </c>
      <c r="F571" s="16">
        <v>666</v>
      </c>
      <c r="G571" s="17">
        <v>16418.88</v>
      </c>
      <c r="H571" s="17">
        <v>5763.85</v>
      </c>
      <c r="I571" s="17">
        <v>10934974.08</v>
      </c>
      <c r="J571" s="15" t="s">
        <v>17</v>
      </c>
      <c r="K571" s="15" t="s">
        <v>18</v>
      </c>
      <c r="L571" s="9">
        <f>YEAR(E571)</f>
        <v>2021</v>
      </c>
      <c r="M571" s="11">
        <f t="shared" si="10"/>
        <v>3838724.1</v>
      </c>
    </row>
    <row r="572" spans="1:13" ht="20" customHeight="1" x14ac:dyDescent="0.15">
      <c r="A572" s="12"/>
      <c r="B572" s="13" t="s">
        <v>461</v>
      </c>
      <c r="C572" s="14" t="s">
        <v>35</v>
      </c>
      <c r="D572" s="15" t="s">
        <v>153</v>
      </c>
      <c r="E572" s="15" t="s">
        <v>550</v>
      </c>
      <c r="F572" s="16">
        <v>493</v>
      </c>
      <c r="G572" s="19">
        <v>40539.5</v>
      </c>
      <c r="H572" s="17">
        <v>2449.86</v>
      </c>
      <c r="I572" s="19">
        <v>19985973.5</v>
      </c>
      <c r="J572" s="15" t="s">
        <v>17</v>
      </c>
      <c r="K572" s="15" t="s">
        <v>18</v>
      </c>
      <c r="L572" s="9">
        <f>YEAR(E572)</f>
        <v>2021</v>
      </c>
      <c r="M572" s="11">
        <f t="shared" si="10"/>
        <v>1207780.98</v>
      </c>
    </row>
    <row r="573" spans="1:13" ht="20" customHeight="1" x14ac:dyDescent="0.15">
      <c r="A573" s="12"/>
      <c r="B573" s="13" t="s">
        <v>461</v>
      </c>
      <c r="C573" s="14" t="s">
        <v>31</v>
      </c>
      <c r="D573" s="15" t="s">
        <v>114</v>
      </c>
      <c r="E573" s="15" t="s">
        <v>463</v>
      </c>
      <c r="F573" s="16">
        <v>184</v>
      </c>
      <c r="G573" s="17">
        <v>13442.51</v>
      </c>
      <c r="H573" s="17">
        <v>6666.22</v>
      </c>
      <c r="I573" s="17">
        <v>2473421.84</v>
      </c>
      <c r="J573" s="15" t="s">
        <v>17</v>
      </c>
      <c r="K573" s="15" t="s">
        <v>18</v>
      </c>
      <c r="L573" s="9">
        <f>YEAR(E573)</f>
        <v>2022</v>
      </c>
      <c r="M573" s="11">
        <f t="shared" si="10"/>
        <v>1226584.48</v>
      </c>
    </row>
    <row r="574" spans="1:13" ht="20" customHeight="1" x14ac:dyDescent="0.15">
      <c r="A574" s="12"/>
      <c r="B574" s="13" t="s">
        <v>461</v>
      </c>
      <c r="C574" s="14" t="s">
        <v>79</v>
      </c>
      <c r="D574" s="15" t="s">
        <v>114</v>
      </c>
      <c r="E574" s="15" t="s">
        <v>464</v>
      </c>
      <c r="F574" s="16">
        <v>387</v>
      </c>
      <c r="G574" s="17">
        <v>48052.05</v>
      </c>
      <c r="H574" s="17">
        <v>4922.24</v>
      </c>
      <c r="I574" s="17">
        <v>18596143.350000001</v>
      </c>
      <c r="J574" s="15" t="s">
        <v>28</v>
      </c>
      <c r="K574" s="15" t="s">
        <v>18</v>
      </c>
      <c r="L574" s="9">
        <f>YEAR(E574)</f>
        <v>2022</v>
      </c>
      <c r="M574" s="11">
        <f t="shared" si="10"/>
        <v>1904906.88</v>
      </c>
    </row>
    <row r="575" spans="1:13" ht="20" customHeight="1" x14ac:dyDescent="0.15">
      <c r="A575" s="12"/>
      <c r="B575" s="13" t="s">
        <v>461</v>
      </c>
      <c r="C575" s="14" t="s">
        <v>31</v>
      </c>
      <c r="D575" s="15" t="s">
        <v>15</v>
      </c>
      <c r="E575" s="15" t="s">
        <v>476</v>
      </c>
      <c r="F575" s="16">
        <v>324</v>
      </c>
      <c r="G575" s="17">
        <v>21715.79</v>
      </c>
      <c r="H575" s="17">
        <v>5623.25</v>
      </c>
      <c r="I575" s="17">
        <v>7035915.96</v>
      </c>
      <c r="J575" s="15" t="s">
        <v>28</v>
      </c>
      <c r="K575" s="15" t="s">
        <v>18</v>
      </c>
      <c r="L575" s="9">
        <f>YEAR(E575)</f>
        <v>2022</v>
      </c>
      <c r="M575" s="11">
        <f t="shared" si="10"/>
        <v>1821933</v>
      </c>
    </row>
    <row r="576" spans="1:13" ht="20" customHeight="1" x14ac:dyDescent="0.15">
      <c r="A576" s="12"/>
      <c r="B576" s="13" t="s">
        <v>461</v>
      </c>
      <c r="C576" s="14" t="s">
        <v>14</v>
      </c>
      <c r="D576" s="15" t="s">
        <v>70</v>
      </c>
      <c r="E576" s="15" t="s">
        <v>476</v>
      </c>
      <c r="F576" s="16">
        <v>305</v>
      </c>
      <c r="G576" s="17">
        <v>11804.84</v>
      </c>
      <c r="H576" s="17">
        <v>5226.45</v>
      </c>
      <c r="I576" s="19">
        <v>3600476.2</v>
      </c>
      <c r="J576" s="15" t="s">
        <v>17</v>
      </c>
      <c r="K576" s="15" t="s">
        <v>18</v>
      </c>
      <c r="L576" s="9">
        <f>YEAR(E576)</f>
        <v>2022</v>
      </c>
      <c r="M576" s="11">
        <f t="shared" si="10"/>
        <v>1594067.25</v>
      </c>
    </row>
    <row r="577" spans="1:13" ht="20" customHeight="1" x14ac:dyDescent="0.15">
      <c r="A577" s="12"/>
      <c r="B577" s="13" t="s">
        <v>461</v>
      </c>
      <c r="C577" s="14" t="s">
        <v>79</v>
      </c>
      <c r="D577" s="15" t="s">
        <v>70</v>
      </c>
      <c r="E577" s="15" t="s">
        <v>485</v>
      </c>
      <c r="F577" s="16">
        <v>485</v>
      </c>
      <c r="G577" s="19">
        <v>25387.8</v>
      </c>
      <c r="H577" s="17">
        <v>8532.36</v>
      </c>
      <c r="I577" s="16">
        <v>12313083</v>
      </c>
      <c r="J577" s="15" t="s">
        <v>17</v>
      </c>
      <c r="K577" s="15" t="s">
        <v>18</v>
      </c>
      <c r="L577" s="9">
        <f>YEAR(E577)</f>
        <v>2022</v>
      </c>
      <c r="M577" s="11">
        <f t="shared" si="10"/>
        <v>4138194.6</v>
      </c>
    </row>
    <row r="578" spans="1:13" ht="20" customHeight="1" x14ac:dyDescent="0.15">
      <c r="A578" s="12"/>
      <c r="B578" s="13" t="s">
        <v>461</v>
      </c>
      <c r="C578" s="14" t="s">
        <v>57</v>
      </c>
      <c r="D578" s="15" t="s">
        <v>70</v>
      </c>
      <c r="E578" s="15" t="s">
        <v>486</v>
      </c>
      <c r="F578" s="16">
        <v>194</v>
      </c>
      <c r="G578" s="17">
        <v>24659.84</v>
      </c>
      <c r="H578" s="17">
        <v>5943.96</v>
      </c>
      <c r="I578" s="17">
        <v>4784008.96</v>
      </c>
      <c r="J578" s="15" t="s">
        <v>22</v>
      </c>
      <c r="K578" s="15" t="s">
        <v>18</v>
      </c>
      <c r="L578" s="9">
        <f>YEAR(E578)</f>
        <v>2022</v>
      </c>
      <c r="M578" s="11">
        <f t="shared" si="10"/>
        <v>1153128.24</v>
      </c>
    </row>
    <row r="579" spans="1:13" ht="20" customHeight="1" x14ac:dyDescent="0.15">
      <c r="A579" s="12"/>
      <c r="B579" s="13" t="s">
        <v>461</v>
      </c>
      <c r="C579" s="14" t="s">
        <v>23</v>
      </c>
      <c r="D579" s="15" t="s">
        <v>53</v>
      </c>
      <c r="E579" s="15" t="s">
        <v>491</v>
      </c>
      <c r="F579" s="16">
        <v>421</v>
      </c>
      <c r="G579" s="17">
        <v>30096.76</v>
      </c>
      <c r="H579" s="17">
        <v>2841.69</v>
      </c>
      <c r="I579" s="17">
        <v>12670735.960000001</v>
      </c>
      <c r="J579" s="15" t="s">
        <v>17</v>
      </c>
      <c r="K579" s="15" t="s">
        <v>18</v>
      </c>
      <c r="L579" s="9">
        <f>YEAR(E579)</f>
        <v>2022</v>
      </c>
      <c r="M579" s="11">
        <f t="shared" si="10"/>
        <v>1196351.49</v>
      </c>
    </row>
    <row r="580" spans="1:13" ht="20" customHeight="1" x14ac:dyDescent="0.15">
      <c r="A580" s="12"/>
      <c r="B580" s="13" t="s">
        <v>461</v>
      </c>
      <c r="C580" s="14" t="s">
        <v>57</v>
      </c>
      <c r="D580" s="15" t="s">
        <v>53</v>
      </c>
      <c r="E580" s="15" t="s">
        <v>287</v>
      </c>
      <c r="F580" s="16">
        <v>322</v>
      </c>
      <c r="G580" s="17">
        <v>24656.86</v>
      </c>
      <c r="H580" s="17">
        <v>9823.39</v>
      </c>
      <c r="I580" s="17">
        <v>7939508.9199999999</v>
      </c>
      <c r="J580" s="15" t="s">
        <v>17</v>
      </c>
      <c r="K580" s="15" t="s">
        <v>18</v>
      </c>
      <c r="L580" s="9">
        <f>YEAR(E580)</f>
        <v>2022</v>
      </c>
      <c r="M580" s="11">
        <f t="shared" si="10"/>
        <v>3163131.5799999996</v>
      </c>
    </row>
    <row r="581" spans="1:13" ht="20" customHeight="1" x14ac:dyDescent="0.15">
      <c r="A581" s="12"/>
      <c r="B581" s="13" t="s">
        <v>461</v>
      </c>
      <c r="C581" s="14" t="s">
        <v>43</v>
      </c>
      <c r="D581" s="15" t="s">
        <v>53</v>
      </c>
      <c r="E581" s="15" t="s">
        <v>496</v>
      </c>
      <c r="F581" s="16">
        <v>595</v>
      </c>
      <c r="G581" s="17">
        <v>33805.15</v>
      </c>
      <c r="H581" s="17">
        <v>8217.57</v>
      </c>
      <c r="I581" s="17">
        <v>20114064.25</v>
      </c>
      <c r="J581" s="15" t="s">
        <v>17</v>
      </c>
      <c r="K581" s="15" t="s">
        <v>18</v>
      </c>
      <c r="L581" s="9">
        <f>YEAR(E581)</f>
        <v>2022</v>
      </c>
      <c r="M581" s="11">
        <f t="shared" ref="M581:M644" si="11">H581*F581</f>
        <v>4889454.1499999994</v>
      </c>
    </row>
    <row r="582" spans="1:13" ht="20" customHeight="1" x14ac:dyDescent="0.15">
      <c r="A582" s="12"/>
      <c r="B582" s="13" t="s">
        <v>461</v>
      </c>
      <c r="C582" s="14" t="s">
        <v>31</v>
      </c>
      <c r="D582" s="15" t="s">
        <v>107</v>
      </c>
      <c r="E582" s="15" t="s">
        <v>498</v>
      </c>
      <c r="F582" s="16">
        <v>565</v>
      </c>
      <c r="G582" s="19">
        <v>39969.300000000003</v>
      </c>
      <c r="H582" s="17">
        <v>7847.11</v>
      </c>
      <c r="I582" s="19">
        <v>22582654.5</v>
      </c>
      <c r="J582" s="15" t="s">
        <v>17</v>
      </c>
      <c r="K582" s="15" t="s">
        <v>18</v>
      </c>
      <c r="L582" s="9">
        <f>YEAR(E582)</f>
        <v>2022</v>
      </c>
      <c r="M582" s="11">
        <f t="shared" si="11"/>
        <v>4433617.1499999994</v>
      </c>
    </row>
    <row r="583" spans="1:13" ht="20" customHeight="1" x14ac:dyDescent="0.15">
      <c r="A583" s="12"/>
      <c r="B583" s="13" t="s">
        <v>461</v>
      </c>
      <c r="C583" s="14" t="s">
        <v>43</v>
      </c>
      <c r="D583" s="15" t="s">
        <v>107</v>
      </c>
      <c r="E583" s="15" t="s">
        <v>182</v>
      </c>
      <c r="F583" s="16">
        <v>922</v>
      </c>
      <c r="G583" s="17">
        <v>41854.17</v>
      </c>
      <c r="H583" s="17">
        <v>4970.7299999999996</v>
      </c>
      <c r="I583" s="17">
        <v>38589544.740000002</v>
      </c>
      <c r="J583" s="15" t="s">
        <v>17</v>
      </c>
      <c r="K583" s="15" t="s">
        <v>18</v>
      </c>
      <c r="L583" s="9">
        <f>YEAR(E583)</f>
        <v>2022</v>
      </c>
      <c r="M583" s="11">
        <f t="shared" si="11"/>
        <v>4583013.0599999996</v>
      </c>
    </row>
    <row r="584" spans="1:13" ht="20" customHeight="1" x14ac:dyDescent="0.15">
      <c r="A584" s="12"/>
      <c r="B584" s="13" t="s">
        <v>461</v>
      </c>
      <c r="C584" s="14" t="s">
        <v>19</v>
      </c>
      <c r="D584" s="15" t="s">
        <v>107</v>
      </c>
      <c r="E584" s="15" t="s">
        <v>505</v>
      </c>
      <c r="F584" s="16">
        <v>493</v>
      </c>
      <c r="G584" s="17">
        <v>39934.19</v>
      </c>
      <c r="H584" s="17">
        <v>4981.33</v>
      </c>
      <c r="I584" s="17">
        <v>19687555.670000002</v>
      </c>
      <c r="J584" s="15" t="s">
        <v>30</v>
      </c>
      <c r="K584" s="15" t="s">
        <v>18</v>
      </c>
      <c r="L584" s="9">
        <f>YEAR(E584)</f>
        <v>2022</v>
      </c>
      <c r="M584" s="11">
        <f t="shared" si="11"/>
        <v>2455795.69</v>
      </c>
    </row>
    <row r="585" spans="1:13" ht="20" customHeight="1" x14ac:dyDescent="0.15">
      <c r="A585" s="12"/>
      <c r="B585" s="13" t="s">
        <v>461</v>
      </c>
      <c r="C585" s="14" t="s">
        <v>35</v>
      </c>
      <c r="D585" s="15" t="s">
        <v>107</v>
      </c>
      <c r="E585" s="15" t="s">
        <v>316</v>
      </c>
      <c r="F585" s="16">
        <v>282</v>
      </c>
      <c r="G585" s="17">
        <v>44740.94</v>
      </c>
      <c r="H585" s="17">
        <v>5574.34</v>
      </c>
      <c r="I585" s="17">
        <v>12616945.08</v>
      </c>
      <c r="J585" s="15" t="s">
        <v>17</v>
      </c>
      <c r="K585" s="15" t="s">
        <v>18</v>
      </c>
      <c r="L585" s="9">
        <f>YEAR(E585)</f>
        <v>2022</v>
      </c>
      <c r="M585" s="11">
        <f t="shared" si="11"/>
        <v>1571963.8800000001</v>
      </c>
    </row>
    <row r="586" spans="1:13" ht="20" customHeight="1" x14ac:dyDescent="0.15">
      <c r="A586" s="12"/>
      <c r="B586" s="13" t="s">
        <v>461</v>
      </c>
      <c r="C586" s="14" t="s">
        <v>79</v>
      </c>
      <c r="D586" s="15" t="s">
        <v>107</v>
      </c>
      <c r="E586" s="15" t="s">
        <v>508</v>
      </c>
      <c r="F586" s="16">
        <v>796</v>
      </c>
      <c r="G586" s="17">
        <v>49695.31</v>
      </c>
      <c r="H586" s="17">
        <v>6588.39</v>
      </c>
      <c r="I586" s="17">
        <v>39557466.759999998</v>
      </c>
      <c r="J586" s="15" t="s">
        <v>28</v>
      </c>
      <c r="K586" s="15" t="s">
        <v>18</v>
      </c>
      <c r="L586" s="9">
        <f>YEAR(E586)</f>
        <v>2022</v>
      </c>
      <c r="M586" s="11">
        <f t="shared" si="11"/>
        <v>5244358.4400000004</v>
      </c>
    </row>
    <row r="587" spans="1:13" ht="20" customHeight="1" x14ac:dyDescent="0.15">
      <c r="A587" s="12"/>
      <c r="B587" s="13" t="s">
        <v>461</v>
      </c>
      <c r="C587" s="14" t="s">
        <v>35</v>
      </c>
      <c r="D587" s="15" t="s">
        <v>89</v>
      </c>
      <c r="E587" s="15" t="s">
        <v>510</v>
      </c>
      <c r="F587" s="16">
        <v>301</v>
      </c>
      <c r="G587" s="17">
        <v>15004.45</v>
      </c>
      <c r="H587" s="17">
        <v>9281.36</v>
      </c>
      <c r="I587" s="17">
        <v>4516339.45</v>
      </c>
      <c r="J587" s="15" t="s">
        <v>17</v>
      </c>
      <c r="K587" s="15" t="s">
        <v>18</v>
      </c>
      <c r="L587" s="9">
        <f>YEAR(E587)</f>
        <v>2022</v>
      </c>
      <c r="M587" s="11">
        <f t="shared" si="11"/>
        <v>2793689.3600000003</v>
      </c>
    </row>
    <row r="588" spans="1:13" ht="20" customHeight="1" x14ac:dyDescent="0.15">
      <c r="A588" s="12"/>
      <c r="B588" s="13" t="s">
        <v>461</v>
      </c>
      <c r="C588" s="14" t="s">
        <v>14</v>
      </c>
      <c r="D588" s="15" t="s">
        <v>139</v>
      </c>
      <c r="E588" s="15" t="s">
        <v>520</v>
      </c>
      <c r="F588" s="16">
        <v>485</v>
      </c>
      <c r="G588" s="17">
        <v>21156.93</v>
      </c>
      <c r="H588" s="17">
        <v>3688.43</v>
      </c>
      <c r="I588" s="17">
        <v>10261111.050000001</v>
      </c>
      <c r="J588" s="15" t="s">
        <v>30</v>
      </c>
      <c r="K588" s="15" t="s">
        <v>18</v>
      </c>
      <c r="L588" s="9">
        <f>YEAR(E588)</f>
        <v>2022</v>
      </c>
      <c r="M588" s="11">
        <f t="shared" si="11"/>
        <v>1788888.5499999998</v>
      </c>
    </row>
    <row r="589" spans="1:13" ht="20" customHeight="1" x14ac:dyDescent="0.15">
      <c r="A589" s="12"/>
      <c r="B589" s="13" t="s">
        <v>461</v>
      </c>
      <c r="C589" s="14" t="s">
        <v>19</v>
      </c>
      <c r="D589" s="15" t="s">
        <v>139</v>
      </c>
      <c r="E589" s="15" t="s">
        <v>526</v>
      </c>
      <c r="F589" s="16">
        <v>708</v>
      </c>
      <c r="G589" s="17">
        <v>45286.58</v>
      </c>
      <c r="H589" s="17">
        <v>5659.91</v>
      </c>
      <c r="I589" s="17">
        <v>32062898.640000001</v>
      </c>
      <c r="J589" s="15" t="s">
        <v>17</v>
      </c>
      <c r="K589" s="15" t="s">
        <v>18</v>
      </c>
      <c r="L589" s="9">
        <f>YEAR(E589)</f>
        <v>2022</v>
      </c>
      <c r="M589" s="11">
        <f t="shared" si="11"/>
        <v>4007216.28</v>
      </c>
    </row>
    <row r="590" spans="1:13" ht="20" customHeight="1" x14ac:dyDescent="0.15">
      <c r="A590" s="12"/>
      <c r="B590" s="13" t="s">
        <v>461</v>
      </c>
      <c r="C590" s="14" t="s">
        <v>79</v>
      </c>
      <c r="D590" s="15" t="s">
        <v>68</v>
      </c>
      <c r="E590" s="15" t="s">
        <v>527</v>
      </c>
      <c r="F590" s="16">
        <v>304</v>
      </c>
      <c r="G590" s="17">
        <v>41022.879999999997</v>
      </c>
      <c r="H590" s="17">
        <v>3565.88</v>
      </c>
      <c r="I590" s="17">
        <v>12470955.52</v>
      </c>
      <c r="J590" s="15" t="s">
        <v>22</v>
      </c>
      <c r="K590" s="15" t="s">
        <v>18</v>
      </c>
      <c r="L590" s="9">
        <f>YEAR(E590)</f>
        <v>2022</v>
      </c>
      <c r="M590" s="11">
        <f t="shared" si="11"/>
        <v>1084027.52</v>
      </c>
    </row>
    <row r="591" spans="1:13" ht="20" customHeight="1" x14ac:dyDescent="0.15">
      <c r="A591" s="12"/>
      <c r="B591" s="13" t="s">
        <v>461</v>
      </c>
      <c r="C591" s="14" t="s">
        <v>38</v>
      </c>
      <c r="D591" s="15" t="s">
        <v>68</v>
      </c>
      <c r="E591" s="15" t="s">
        <v>529</v>
      </c>
      <c r="F591" s="16">
        <v>461</v>
      </c>
      <c r="G591" s="17">
        <v>17111.71</v>
      </c>
      <c r="H591" s="17">
        <v>4498.67</v>
      </c>
      <c r="I591" s="17">
        <v>7888498.3099999996</v>
      </c>
      <c r="J591" s="15" t="s">
        <v>17</v>
      </c>
      <c r="K591" s="15" t="s">
        <v>18</v>
      </c>
      <c r="L591" s="9">
        <f>YEAR(E591)</f>
        <v>2022</v>
      </c>
      <c r="M591" s="11">
        <f t="shared" si="11"/>
        <v>2073886.87</v>
      </c>
    </row>
    <row r="592" spans="1:13" ht="20" customHeight="1" x14ac:dyDescent="0.15">
      <c r="A592" s="12"/>
      <c r="B592" s="13" t="s">
        <v>461</v>
      </c>
      <c r="C592" s="14" t="s">
        <v>31</v>
      </c>
      <c r="D592" s="15" t="s">
        <v>68</v>
      </c>
      <c r="E592" s="15" t="s">
        <v>534</v>
      </c>
      <c r="F592" s="16">
        <v>659</v>
      </c>
      <c r="G592" s="17">
        <v>49156.21</v>
      </c>
      <c r="H592" s="17">
        <v>8159.59</v>
      </c>
      <c r="I592" s="17">
        <v>32393942.390000001</v>
      </c>
      <c r="J592" s="15" t="s">
        <v>17</v>
      </c>
      <c r="K592" s="15" t="s">
        <v>18</v>
      </c>
      <c r="L592" s="9">
        <f>YEAR(E592)</f>
        <v>2022</v>
      </c>
      <c r="M592" s="11">
        <f t="shared" si="11"/>
        <v>5377169.8100000005</v>
      </c>
    </row>
    <row r="593" spans="1:13" ht="20" customHeight="1" x14ac:dyDescent="0.15">
      <c r="A593" s="12"/>
      <c r="B593" s="13" t="s">
        <v>461</v>
      </c>
      <c r="C593" s="14" t="s">
        <v>31</v>
      </c>
      <c r="D593" s="15" t="s">
        <v>26</v>
      </c>
      <c r="E593" s="15" t="s">
        <v>158</v>
      </c>
      <c r="F593" s="16">
        <v>807</v>
      </c>
      <c r="G593" s="17">
        <v>26045.19</v>
      </c>
      <c r="H593" s="17">
        <v>3752.77</v>
      </c>
      <c r="I593" s="17">
        <v>21018468.329999998</v>
      </c>
      <c r="J593" s="15" t="s">
        <v>17</v>
      </c>
      <c r="K593" s="15" t="s">
        <v>18</v>
      </c>
      <c r="L593" s="9">
        <f>YEAR(E593)</f>
        <v>2022</v>
      </c>
      <c r="M593" s="11">
        <f t="shared" si="11"/>
        <v>3028485.39</v>
      </c>
    </row>
    <row r="594" spans="1:13" ht="20" customHeight="1" x14ac:dyDescent="0.15">
      <c r="A594" s="12"/>
      <c r="B594" s="13" t="s">
        <v>461</v>
      </c>
      <c r="C594" s="14" t="s">
        <v>19</v>
      </c>
      <c r="D594" s="15" t="s">
        <v>26</v>
      </c>
      <c r="E594" s="15" t="s">
        <v>158</v>
      </c>
      <c r="F594" s="16">
        <v>519</v>
      </c>
      <c r="G594" s="17">
        <v>10348.61</v>
      </c>
      <c r="H594" s="17">
        <v>4190.3100000000004</v>
      </c>
      <c r="I594" s="17">
        <v>5370928.5899999999</v>
      </c>
      <c r="J594" s="15" t="s">
        <v>17</v>
      </c>
      <c r="K594" s="15" t="s">
        <v>18</v>
      </c>
      <c r="L594" s="9">
        <f>YEAR(E594)</f>
        <v>2022</v>
      </c>
      <c r="M594" s="11">
        <f t="shared" si="11"/>
        <v>2174770.89</v>
      </c>
    </row>
    <row r="595" spans="1:13" ht="20" customHeight="1" x14ac:dyDescent="0.15">
      <c r="A595" s="12"/>
      <c r="B595" s="13" t="s">
        <v>461</v>
      </c>
      <c r="C595" s="14" t="s">
        <v>19</v>
      </c>
      <c r="D595" s="15" t="s">
        <v>26</v>
      </c>
      <c r="E595" s="15" t="s">
        <v>178</v>
      </c>
      <c r="F595" s="16">
        <v>357</v>
      </c>
      <c r="G595" s="17">
        <v>18747.68</v>
      </c>
      <c r="H595" s="17">
        <v>6313.93</v>
      </c>
      <c r="I595" s="17">
        <v>6692921.7599999998</v>
      </c>
      <c r="J595" s="15" t="s">
        <v>17</v>
      </c>
      <c r="K595" s="15" t="s">
        <v>18</v>
      </c>
      <c r="L595" s="9">
        <f>YEAR(E595)</f>
        <v>2022</v>
      </c>
      <c r="M595" s="11">
        <f t="shared" si="11"/>
        <v>2254073.0100000002</v>
      </c>
    </row>
    <row r="596" spans="1:13" ht="20" customHeight="1" x14ac:dyDescent="0.15">
      <c r="A596" s="12"/>
      <c r="B596" s="13" t="s">
        <v>461</v>
      </c>
      <c r="C596" s="14" t="s">
        <v>23</v>
      </c>
      <c r="D596" s="15" t="s">
        <v>26</v>
      </c>
      <c r="E596" s="15" t="s">
        <v>541</v>
      </c>
      <c r="F596" s="16">
        <v>508</v>
      </c>
      <c r="G596" s="19">
        <v>31225.599999999999</v>
      </c>
      <c r="H596" s="17">
        <v>8159.69</v>
      </c>
      <c r="I596" s="19">
        <v>15862604.800000001</v>
      </c>
      <c r="J596" s="15" t="s">
        <v>28</v>
      </c>
      <c r="K596" s="15" t="s">
        <v>18</v>
      </c>
      <c r="L596" s="9">
        <f>YEAR(E596)</f>
        <v>2022</v>
      </c>
      <c r="M596" s="11">
        <f t="shared" si="11"/>
        <v>4145122.52</v>
      </c>
    </row>
    <row r="597" spans="1:13" ht="20" customHeight="1" x14ac:dyDescent="0.15">
      <c r="A597" s="12"/>
      <c r="B597" s="13" t="s">
        <v>461</v>
      </c>
      <c r="C597" s="14" t="s">
        <v>25</v>
      </c>
      <c r="D597" s="15" t="s">
        <v>153</v>
      </c>
      <c r="E597" s="15" t="s">
        <v>422</v>
      </c>
      <c r="F597" s="16">
        <v>961</v>
      </c>
      <c r="G597" s="17">
        <v>35793.54</v>
      </c>
      <c r="H597" s="17">
        <v>2956.63</v>
      </c>
      <c r="I597" s="17">
        <v>34397591.939999998</v>
      </c>
      <c r="J597" s="15" t="s">
        <v>17</v>
      </c>
      <c r="K597" s="15" t="s">
        <v>18</v>
      </c>
      <c r="L597" s="9">
        <f>YEAR(E597)</f>
        <v>2022</v>
      </c>
      <c r="M597" s="11">
        <f t="shared" si="11"/>
        <v>2841321.43</v>
      </c>
    </row>
    <row r="598" spans="1:13" ht="20" customHeight="1" x14ac:dyDescent="0.15">
      <c r="A598" s="12"/>
      <c r="B598" s="13" t="s">
        <v>461</v>
      </c>
      <c r="C598" s="14" t="s">
        <v>38</v>
      </c>
      <c r="D598" s="15" t="s">
        <v>153</v>
      </c>
      <c r="E598" s="15" t="s">
        <v>266</v>
      </c>
      <c r="F598" s="16">
        <v>229</v>
      </c>
      <c r="G598" s="17">
        <v>10532.67</v>
      </c>
      <c r="H598" s="17">
        <v>8592.31</v>
      </c>
      <c r="I598" s="17">
        <v>2411981.4300000002</v>
      </c>
      <c r="J598" s="15" t="s">
        <v>17</v>
      </c>
      <c r="K598" s="15" t="s">
        <v>18</v>
      </c>
      <c r="L598" s="9">
        <f>YEAR(E598)</f>
        <v>2022</v>
      </c>
      <c r="M598" s="11">
        <f t="shared" si="11"/>
        <v>1967638.99</v>
      </c>
    </row>
    <row r="599" spans="1:13" ht="20" customHeight="1" x14ac:dyDescent="0.15">
      <c r="A599" s="12"/>
      <c r="B599" s="13" t="s">
        <v>461</v>
      </c>
      <c r="C599" s="14" t="s">
        <v>79</v>
      </c>
      <c r="D599" s="15" t="s">
        <v>114</v>
      </c>
      <c r="E599" s="15" t="s">
        <v>466</v>
      </c>
      <c r="F599" s="16">
        <v>569</v>
      </c>
      <c r="G599" s="17">
        <v>45141.75</v>
      </c>
      <c r="H599" s="17">
        <v>8810.6299999999992</v>
      </c>
      <c r="I599" s="17">
        <v>25685655.75</v>
      </c>
      <c r="J599" s="15" t="s">
        <v>22</v>
      </c>
      <c r="K599" s="15" t="s">
        <v>18</v>
      </c>
      <c r="L599" s="9">
        <f>YEAR(E599)</f>
        <v>2023</v>
      </c>
      <c r="M599" s="11">
        <f t="shared" si="11"/>
        <v>5013248.47</v>
      </c>
    </row>
    <row r="600" spans="1:13" ht="20" customHeight="1" x14ac:dyDescent="0.15">
      <c r="A600" s="12"/>
      <c r="B600" s="13" t="s">
        <v>461</v>
      </c>
      <c r="C600" s="14" t="s">
        <v>14</v>
      </c>
      <c r="D600" s="15" t="s">
        <v>114</v>
      </c>
      <c r="E600" s="15" t="s">
        <v>468</v>
      </c>
      <c r="F600" s="16">
        <v>606</v>
      </c>
      <c r="G600" s="17">
        <v>13144.69</v>
      </c>
      <c r="H600" s="17">
        <v>5052.79</v>
      </c>
      <c r="I600" s="17">
        <v>7965682.1399999997</v>
      </c>
      <c r="J600" s="15" t="s">
        <v>17</v>
      </c>
      <c r="K600" s="15" t="s">
        <v>18</v>
      </c>
      <c r="L600" s="9">
        <f>YEAR(E600)</f>
        <v>2023</v>
      </c>
      <c r="M600" s="11">
        <f t="shared" si="11"/>
        <v>3061990.7399999998</v>
      </c>
    </row>
    <row r="601" spans="1:13" ht="20" customHeight="1" x14ac:dyDescent="0.15">
      <c r="A601" s="12"/>
      <c r="B601" s="13" t="s">
        <v>461</v>
      </c>
      <c r="C601" s="14" t="s">
        <v>38</v>
      </c>
      <c r="D601" s="15" t="s">
        <v>15</v>
      </c>
      <c r="E601" s="15" t="s">
        <v>313</v>
      </c>
      <c r="F601" s="16">
        <v>180</v>
      </c>
      <c r="G601" s="17">
        <v>22060.92</v>
      </c>
      <c r="H601" s="17">
        <v>3219.94</v>
      </c>
      <c r="I601" s="19">
        <v>3970965.6</v>
      </c>
      <c r="J601" s="15" t="s">
        <v>28</v>
      </c>
      <c r="K601" s="15" t="s">
        <v>18</v>
      </c>
      <c r="L601" s="9">
        <f>YEAR(E601)</f>
        <v>2023</v>
      </c>
      <c r="M601" s="11">
        <f t="shared" si="11"/>
        <v>579589.19999999995</v>
      </c>
    </row>
    <row r="602" spans="1:13" ht="20" customHeight="1" x14ac:dyDescent="0.15">
      <c r="A602" s="12"/>
      <c r="B602" s="13" t="s">
        <v>461</v>
      </c>
      <c r="C602" s="14" t="s">
        <v>23</v>
      </c>
      <c r="D602" s="15" t="s">
        <v>70</v>
      </c>
      <c r="E602" s="15" t="s">
        <v>201</v>
      </c>
      <c r="F602" s="16">
        <v>420</v>
      </c>
      <c r="G602" s="17">
        <v>28193.75</v>
      </c>
      <c r="H602" s="17">
        <v>6419.32</v>
      </c>
      <c r="I602" s="16">
        <v>11841375</v>
      </c>
      <c r="J602" s="15" t="s">
        <v>28</v>
      </c>
      <c r="K602" s="15" t="s">
        <v>18</v>
      </c>
      <c r="L602" s="9">
        <f>YEAR(E602)</f>
        <v>2023</v>
      </c>
      <c r="M602" s="11">
        <f t="shared" si="11"/>
        <v>2696114.4</v>
      </c>
    </row>
    <row r="603" spans="1:13" ht="20" customHeight="1" x14ac:dyDescent="0.15">
      <c r="A603" s="12"/>
      <c r="B603" s="13" t="s">
        <v>461</v>
      </c>
      <c r="C603" s="14" t="s">
        <v>31</v>
      </c>
      <c r="D603" s="15" t="s">
        <v>70</v>
      </c>
      <c r="E603" s="15" t="s">
        <v>480</v>
      </c>
      <c r="F603" s="16">
        <v>936</v>
      </c>
      <c r="G603" s="17">
        <v>17721.41</v>
      </c>
      <c r="H603" s="17">
        <v>9564.42</v>
      </c>
      <c r="I603" s="17">
        <v>16587239.76</v>
      </c>
      <c r="J603" s="15" t="s">
        <v>17</v>
      </c>
      <c r="K603" s="15" t="s">
        <v>18</v>
      </c>
      <c r="L603" s="9">
        <f>YEAR(E603)</f>
        <v>2023</v>
      </c>
      <c r="M603" s="11">
        <f t="shared" si="11"/>
        <v>8952297.1199999992</v>
      </c>
    </row>
    <row r="604" spans="1:13" ht="20" customHeight="1" x14ac:dyDescent="0.15">
      <c r="A604" s="12"/>
      <c r="B604" s="13" t="s">
        <v>461</v>
      </c>
      <c r="C604" s="14" t="s">
        <v>38</v>
      </c>
      <c r="D604" s="15" t="s">
        <v>70</v>
      </c>
      <c r="E604" s="15" t="s">
        <v>161</v>
      </c>
      <c r="F604" s="16">
        <v>567</v>
      </c>
      <c r="G604" s="17">
        <v>35646.93</v>
      </c>
      <c r="H604" s="17">
        <v>2499.84</v>
      </c>
      <c r="I604" s="17">
        <v>20211809.309999999</v>
      </c>
      <c r="J604" s="15" t="s">
        <v>17</v>
      </c>
      <c r="K604" s="15" t="s">
        <v>18</v>
      </c>
      <c r="L604" s="9">
        <f>YEAR(E604)</f>
        <v>2023</v>
      </c>
      <c r="M604" s="11">
        <f t="shared" si="11"/>
        <v>1417409.28</v>
      </c>
    </row>
    <row r="605" spans="1:13" ht="20" customHeight="1" x14ac:dyDescent="0.15">
      <c r="A605" s="12"/>
      <c r="B605" s="13" t="s">
        <v>461</v>
      </c>
      <c r="C605" s="14" t="s">
        <v>31</v>
      </c>
      <c r="D605" s="15" t="s">
        <v>70</v>
      </c>
      <c r="E605" s="15" t="s">
        <v>482</v>
      </c>
      <c r="F605" s="16">
        <v>234</v>
      </c>
      <c r="G605" s="17">
        <v>30962.68</v>
      </c>
      <c r="H605" s="17">
        <v>6008.63</v>
      </c>
      <c r="I605" s="17">
        <v>7245267.1200000001</v>
      </c>
      <c r="J605" s="15" t="s">
        <v>22</v>
      </c>
      <c r="K605" s="15" t="s">
        <v>18</v>
      </c>
      <c r="L605" s="9">
        <f>YEAR(E605)</f>
        <v>2023</v>
      </c>
      <c r="M605" s="11">
        <f t="shared" si="11"/>
        <v>1406019.42</v>
      </c>
    </row>
    <row r="606" spans="1:13" ht="20" customHeight="1" x14ac:dyDescent="0.15">
      <c r="A606" s="12"/>
      <c r="B606" s="13" t="s">
        <v>461</v>
      </c>
      <c r="C606" s="14" t="s">
        <v>14</v>
      </c>
      <c r="D606" s="15" t="s">
        <v>26</v>
      </c>
      <c r="E606" s="15" t="s">
        <v>482</v>
      </c>
      <c r="F606" s="16">
        <v>474</v>
      </c>
      <c r="G606" s="17">
        <v>30841.13</v>
      </c>
      <c r="H606" s="17">
        <v>4757.91</v>
      </c>
      <c r="I606" s="17">
        <v>14618695.619999999</v>
      </c>
      <c r="J606" s="15" t="s">
        <v>28</v>
      </c>
      <c r="K606" s="15" t="s">
        <v>18</v>
      </c>
      <c r="L606" s="9">
        <f>YEAR(E606)</f>
        <v>2023</v>
      </c>
      <c r="M606" s="11">
        <f t="shared" si="11"/>
        <v>2255249.34</v>
      </c>
    </row>
    <row r="607" spans="1:13" ht="20" customHeight="1" x14ac:dyDescent="0.15">
      <c r="A607" s="12"/>
      <c r="B607" s="13" t="s">
        <v>461</v>
      </c>
      <c r="C607" s="14" t="s">
        <v>43</v>
      </c>
      <c r="D607" s="15" t="s">
        <v>70</v>
      </c>
      <c r="E607" s="15" t="s">
        <v>484</v>
      </c>
      <c r="F607" s="16">
        <v>278</v>
      </c>
      <c r="G607" s="17">
        <v>20419.169999999998</v>
      </c>
      <c r="H607" s="17">
        <v>5664.55</v>
      </c>
      <c r="I607" s="17">
        <v>5676529.2599999998</v>
      </c>
      <c r="J607" s="15" t="s">
        <v>28</v>
      </c>
      <c r="K607" s="15" t="s">
        <v>18</v>
      </c>
      <c r="L607" s="9">
        <f>YEAR(E607)</f>
        <v>2023</v>
      </c>
      <c r="M607" s="11">
        <f t="shared" si="11"/>
        <v>1574744.9000000001</v>
      </c>
    </row>
    <row r="608" spans="1:13" ht="20" customHeight="1" x14ac:dyDescent="0.15">
      <c r="A608" s="12"/>
      <c r="B608" s="13" t="s">
        <v>461</v>
      </c>
      <c r="C608" s="14" t="s">
        <v>23</v>
      </c>
      <c r="D608" s="15" t="s">
        <v>53</v>
      </c>
      <c r="E608" s="15" t="s">
        <v>484</v>
      </c>
      <c r="F608" s="16">
        <v>354</v>
      </c>
      <c r="G608" s="17">
        <v>31027.21</v>
      </c>
      <c r="H608" s="17">
        <v>9520.25</v>
      </c>
      <c r="I608" s="17">
        <v>10983632.34</v>
      </c>
      <c r="J608" s="15" t="s">
        <v>28</v>
      </c>
      <c r="K608" s="15" t="s">
        <v>18</v>
      </c>
      <c r="L608" s="9">
        <f>YEAR(E608)</f>
        <v>2023</v>
      </c>
      <c r="M608" s="11">
        <f t="shared" si="11"/>
        <v>3370168.5</v>
      </c>
    </row>
    <row r="609" spans="1:13" ht="20" customHeight="1" x14ac:dyDescent="0.15">
      <c r="A609" s="12"/>
      <c r="B609" s="13" t="s">
        <v>461</v>
      </c>
      <c r="C609" s="14" t="s">
        <v>79</v>
      </c>
      <c r="D609" s="15" t="s">
        <v>53</v>
      </c>
      <c r="E609" s="15" t="s">
        <v>488</v>
      </c>
      <c r="F609" s="16">
        <v>988</v>
      </c>
      <c r="G609" s="19">
        <v>28860.1</v>
      </c>
      <c r="H609" s="17">
        <v>3599.16</v>
      </c>
      <c r="I609" s="19">
        <v>28513778.800000001</v>
      </c>
      <c r="J609" s="15" t="s">
        <v>22</v>
      </c>
      <c r="K609" s="15" t="s">
        <v>18</v>
      </c>
      <c r="L609" s="9">
        <f>YEAR(E609)</f>
        <v>2023</v>
      </c>
      <c r="M609" s="11">
        <f t="shared" si="11"/>
        <v>3555970.08</v>
      </c>
    </row>
    <row r="610" spans="1:13" ht="20" customHeight="1" x14ac:dyDescent="0.15">
      <c r="A610" s="12"/>
      <c r="B610" s="13" t="s">
        <v>461</v>
      </c>
      <c r="C610" s="14" t="s">
        <v>57</v>
      </c>
      <c r="D610" s="15" t="s">
        <v>53</v>
      </c>
      <c r="E610" s="15" t="s">
        <v>495</v>
      </c>
      <c r="F610" s="16">
        <v>218</v>
      </c>
      <c r="G610" s="17">
        <v>34380.18</v>
      </c>
      <c r="H610" s="17">
        <v>5264.59</v>
      </c>
      <c r="I610" s="17">
        <v>7494879.2400000002</v>
      </c>
      <c r="J610" s="15" t="s">
        <v>17</v>
      </c>
      <c r="K610" s="15" t="s">
        <v>18</v>
      </c>
      <c r="L610" s="9">
        <f>YEAR(E610)</f>
        <v>2023</v>
      </c>
      <c r="M610" s="11">
        <f t="shared" si="11"/>
        <v>1147680.6200000001</v>
      </c>
    </row>
    <row r="611" spans="1:13" ht="20" customHeight="1" x14ac:dyDescent="0.15">
      <c r="A611" s="12"/>
      <c r="B611" s="13" t="s">
        <v>461</v>
      </c>
      <c r="C611" s="14" t="s">
        <v>38</v>
      </c>
      <c r="D611" s="15" t="s">
        <v>107</v>
      </c>
      <c r="E611" s="15" t="s">
        <v>500</v>
      </c>
      <c r="F611" s="16">
        <v>610</v>
      </c>
      <c r="G611" s="17">
        <v>39943.949999999997</v>
      </c>
      <c r="H611" s="19">
        <v>7608.7</v>
      </c>
      <c r="I611" s="19">
        <v>24365809.5</v>
      </c>
      <c r="J611" s="15" t="s">
        <v>17</v>
      </c>
      <c r="K611" s="15" t="s">
        <v>18</v>
      </c>
      <c r="L611" s="9">
        <f>YEAR(E611)</f>
        <v>2023</v>
      </c>
      <c r="M611" s="11">
        <f t="shared" si="11"/>
        <v>4641307</v>
      </c>
    </row>
    <row r="612" spans="1:13" ht="20" customHeight="1" x14ac:dyDescent="0.15">
      <c r="A612" s="12"/>
      <c r="B612" s="13" t="s">
        <v>461</v>
      </c>
      <c r="C612" s="14" t="s">
        <v>25</v>
      </c>
      <c r="D612" s="15" t="s">
        <v>107</v>
      </c>
      <c r="E612" s="15" t="s">
        <v>501</v>
      </c>
      <c r="F612" s="16">
        <v>147</v>
      </c>
      <c r="G612" s="17">
        <v>21580.37</v>
      </c>
      <c r="H612" s="17">
        <v>5867.99</v>
      </c>
      <c r="I612" s="17">
        <v>3172314.39</v>
      </c>
      <c r="J612" s="15" t="s">
        <v>17</v>
      </c>
      <c r="K612" s="15" t="s">
        <v>18</v>
      </c>
      <c r="L612" s="9">
        <f>YEAR(E612)</f>
        <v>2023</v>
      </c>
      <c r="M612" s="11">
        <f t="shared" si="11"/>
        <v>862594.52999999991</v>
      </c>
    </row>
    <row r="613" spans="1:13" ht="20" customHeight="1" x14ac:dyDescent="0.15">
      <c r="A613" s="12"/>
      <c r="B613" s="13" t="s">
        <v>461</v>
      </c>
      <c r="C613" s="14" t="s">
        <v>23</v>
      </c>
      <c r="D613" s="15" t="s">
        <v>107</v>
      </c>
      <c r="E613" s="15" t="s">
        <v>503</v>
      </c>
      <c r="F613" s="16">
        <v>671</v>
      </c>
      <c r="G613" s="17">
        <v>28843.84</v>
      </c>
      <c r="H613" s="17">
        <v>8442.44</v>
      </c>
      <c r="I613" s="17">
        <v>19354216.640000001</v>
      </c>
      <c r="J613" s="15" t="s">
        <v>17</v>
      </c>
      <c r="K613" s="15" t="s">
        <v>18</v>
      </c>
      <c r="L613" s="9">
        <f>YEAR(E613)</f>
        <v>2023</v>
      </c>
      <c r="M613" s="11">
        <f t="shared" si="11"/>
        <v>5664877.2400000002</v>
      </c>
    </row>
    <row r="614" spans="1:13" ht="20" customHeight="1" x14ac:dyDescent="0.15">
      <c r="A614" s="12"/>
      <c r="B614" s="13" t="s">
        <v>461</v>
      </c>
      <c r="C614" s="14" t="s">
        <v>25</v>
      </c>
      <c r="D614" s="15" t="s">
        <v>153</v>
      </c>
      <c r="E614" s="15" t="s">
        <v>503</v>
      </c>
      <c r="F614" s="16">
        <v>109</v>
      </c>
      <c r="G614" s="17">
        <v>46963.79</v>
      </c>
      <c r="H614" s="17">
        <v>2316.44</v>
      </c>
      <c r="I614" s="17">
        <v>5119053.1100000003</v>
      </c>
      <c r="J614" s="15" t="s">
        <v>22</v>
      </c>
      <c r="K614" s="15" t="s">
        <v>18</v>
      </c>
      <c r="L614" s="9">
        <f>YEAR(E614)</f>
        <v>2023</v>
      </c>
      <c r="M614" s="11">
        <f t="shared" si="11"/>
        <v>252491.96</v>
      </c>
    </row>
    <row r="615" spans="1:13" ht="20" customHeight="1" x14ac:dyDescent="0.15">
      <c r="A615" s="12"/>
      <c r="B615" s="13" t="s">
        <v>461</v>
      </c>
      <c r="C615" s="14" t="s">
        <v>35</v>
      </c>
      <c r="D615" s="15" t="s">
        <v>107</v>
      </c>
      <c r="E615" s="15" t="s">
        <v>504</v>
      </c>
      <c r="F615" s="16">
        <v>883</v>
      </c>
      <c r="G615" s="17">
        <v>14518.98</v>
      </c>
      <c r="H615" s="17">
        <v>2316.41</v>
      </c>
      <c r="I615" s="17">
        <v>12820259.34</v>
      </c>
      <c r="J615" s="15" t="s">
        <v>28</v>
      </c>
      <c r="K615" s="15" t="s">
        <v>18</v>
      </c>
      <c r="L615" s="9">
        <f>YEAR(E615)</f>
        <v>2023</v>
      </c>
      <c r="M615" s="11">
        <f t="shared" si="11"/>
        <v>2045390.0299999998</v>
      </c>
    </row>
    <row r="616" spans="1:13" ht="20" customHeight="1" x14ac:dyDescent="0.15">
      <c r="A616" s="12"/>
      <c r="B616" s="13" t="s">
        <v>461</v>
      </c>
      <c r="C616" s="14" t="s">
        <v>19</v>
      </c>
      <c r="D616" s="15" t="s">
        <v>107</v>
      </c>
      <c r="E616" s="15" t="s">
        <v>506</v>
      </c>
      <c r="F616" s="16">
        <v>459</v>
      </c>
      <c r="G616" s="17">
        <v>46065.87</v>
      </c>
      <c r="H616" s="17">
        <v>9128.74</v>
      </c>
      <c r="I616" s="17">
        <v>21144234.329999998</v>
      </c>
      <c r="J616" s="15" t="s">
        <v>17</v>
      </c>
      <c r="K616" s="15" t="s">
        <v>18</v>
      </c>
      <c r="L616" s="9">
        <f>YEAR(E616)</f>
        <v>2023</v>
      </c>
      <c r="M616" s="11">
        <f t="shared" si="11"/>
        <v>4190091.6599999997</v>
      </c>
    </row>
    <row r="617" spans="1:13" ht="20" customHeight="1" x14ac:dyDescent="0.15">
      <c r="A617" s="12"/>
      <c r="B617" s="13" t="s">
        <v>461</v>
      </c>
      <c r="C617" s="14" t="s">
        <v>43</v>
      </c>
      <c r="D617" s="15" t="s">
        <v>107</v>
      </c>
      <c r="E617" s="15" t="s">
        <v>507</v>
      </c>
      <c r="F617" s="16">
        <v>597</v>
      </c>
      <c r="G617" s="17">
        <v>41654.949999999997</v>
      </c>
      <c r="H617" s="17">
        <v>3911.88</v>
      </c>
      <c r="I617" s="17">
        <v>24868005.149999999</v>
      </c>
      <c r="J617" s="15" t="s">
        <v>17</v>
      </c>
      <c r="K617" s="15" t="s">
        <v>18</v>
      </c>
      <c r="L617" s="9">
        <f>YEAR(E617)</f>
        <v>2023</v>
      </c>
      <c r="M617" s="11">
        <f t="shared" si="11"/>
        <v>2335392.36</v>
      </c>
    </row>
    <row r="618" spans="1:13" ht="20" customHeight="1" x14ac:dyDescent="0.15">
      <c r="A618" s="12"/>
      <c r="B618" s="13" t="s">
        <v>461</v>
      </c>
      <c r="C618" s="14" t="s">
        <v>57</v>
      </c>
      <c r="D618" s="15" t="s">
        <v>139</v>
      </c>
      <c r="E618" s="15" t="s">
        <v>507</v>
      </c>
      <c r="F618" s="16">
        <v>863</v>
      </c>
      <c r="G618" s="17">
        <v>49549.96</v>
      </c>
      <c r="H618" s="17">
        <v>4979.97</v>
      </c>
      <c r="I618" s="17">
        <v>42761615.479999997</v>
      </c>
      <c r="J618" s="15" t="s">
        <v>17</v>
      </c>
      <c r="K618" s="15" t="s">
        <v>18</v>
      </c>
      <c r="L618" s="9">
        <f>YEAR(E618)</f>
        <v>2023</v>
      </c>
      <c r="M618" s="11">
        <f t="shared" si="11"/>
        <v>4297714.1100000003</v>
      </c>
    </row>
    <row r="619" spans="1:13" ht="20" customHeight="1" x14ac:dyDescent="0.15">
      <c r="A619" s="12"/>
      <c r="B619" s="13" t="s">
        <v>461</v>
      </c>
      <c r="C619" s="14" t="s">
        <v>25</v>
      </c>
      <c r="D619" s="15" t="s">
        <v>89</v>
      </c>
      <c r="E619" s="15" t="s">
        <v>518</v>
      </c>
      <c r="F619" s="16">
        <v>227</v>
      </c>
      <c r="G619" s="17">
        <v>18867.009999999998</v>
      </c>
      <c r="H619" s="17">
        <v>9051.2900000000009</v>
      </c>
      <c r="I619" s="17">
        <v>4282811.2699999996</v>
      </c>
      <c r="J619" s="15" t="s">
        <v>17</v>
      </c>
      <c r="K619" s="15" t="s">
        <v>18</v>
      </c>
      <c r="L619" s="9">
        <f>YEAR(E619)</f>
        <v>2023</v>
      </c>
      <c r="M619" s="11">
        <f t="shared" si="11"/>
        <v>2054642.8300000003</v>
      </c>
    </row>
    <row r="620" spans="1:13" ht="20" customHeight="1" x14ac:dyDescent="0.15">
      <c r="A620" s="12"/>
      <c r="B620" s="13" t="s">
        <v>461</v>
      </c>
      <c r="C620" s="14" t="s">
        <v>35</v>
      </c>
      <c r="D620" s="15" t="s">
        <v>139</v>
      </c>
      <c r="E620" s="15" t="s">
        <v>280</v>
      </c>
      <c r="F620" s="16">
        <v>627</v>
      </c>
      <c r="G620" s="17">
        <v>15178.04</v>
      </c>
      <c r="H620" s="17">
        <v>9884.25</v>
      </c>
      <c r="I620" s="17">
        <v>9516631.0800000001</v>
      </c>
      <c r="J620" s="15" t="s">
        <v>22</v>
      </c>
      <c r="K620" s="15" t="s">
        <v>18</v>
      </c>
      <c r="L620" s="9">
        <f>YEAR(E620)</f>
        <v>2023</v>
      </c>
      <c r="M620" s="11">
        <f t="shared" si="11"/>
        <v>6197424.75</v>
      </c>
    </row>
    <row r="621" spans="1:13" ht="20" customHeight="1" x14ac:dyDescent="0.15">
      <c r="A621" s="12"/>
      <c r="B621" s="13" t="s">
        <v>461</v>
      </c>
      <c r="C621" s="14" t="s">
        <v>38</v>
      </c>
      <c r="D621" s="15" t="s">
        <v>139</v>
      </c>
      <c r="E621" s="15" t="s">
        <v>523</v>
      </c>
      <c r="F621" s="16">
        <v>913</v>
      </c>
      <c r="G621" s="17">
        <v>30290.13</v>
      </c>
      <c r="H621" s="17">
        <v>9751.19</v>
      </c>
      <c r="I621" s="17">
        <v>27654888.690000001</v>
      </c>
      <c r="J621" s="15" t="s">
        <v>17</v>
      </c>
      <c r="K621" s="15" t="s">
        <v>18</v>
      </c>
      <c r="L621" s="9">
        <f>YEAR(E621)</f>
        <v>2023</v>
      </c>
      <c r="M621" s="11">
        <f t="shared" si="11"/>
        <v>8902836.4700000007</v>
      </c>
    </row>
    <row r="622" spans="1:13" ht="20" customHeight="1" x14ac:dyDescent="0.15">
      <c r="A622" s="12"/>
      <c r="B622" s="13" t="s">
        <v>461</v>
      </c>
      <c r="C622" s="14" t="s">
        <v>31</v>
      </c>
      <c r="D622" s="15" t="s">
        <v>139</v>
      </c>
      <c r="E622" s="15" t="s">
        <v>247</v>
      </c>
      <c r="F622" s="16">
        <v>338</v>
      </c>
      <c r="G622" s="17">
        <v>10969.85</v>
      </c>
      <c r="H622" s="17">
        <v>9711.49</v>
      </c>
      <c r="I622" s="19">
        <v>3707809.3</v>
      </c>
      <c r="J622" s="15" t="s">
        <v>30</v>
      </c>
      <c r="K622" s="15" t="s">
        <v>18</v>
      </c>
      <c r="L622" s="9">
        <f>YEAR(E622)</f>
        <v>2023</v>
      </c>
      <c r="M622" s="11">
        <f t="shared" si="11"/>
        <v>3282483.62</v>
      </c>
    </row>
    <row r="623" spans="1:13" ht="20" customHeight="1" x14ac:dyDescent="0.15">
      <c r="A623" s="12"/>
      <c r="B623" s="13" t="s">
        <v>461</v>
      </c>
      <c r="C623" s="14" t="s">
        <v>31</v>
      </c>
      <c r="D623" s="15" t="s">
        <v>68</v>
      </c>
      <c r="E623" s="15" t="s">
        <v>533</v>
      </c>
      <c r="F623" s="16">
        <v>733</v>
      </c>
      <c r="G623" s="17">
        <v>33421.870000000003</v>
      </c>
      <c r="H623" s="17">
        <v>2554.29</v>
      </c>
      <c r="I623" s="17">
        <v>24498230.710000001</v>
      </c>
      <c r="J623" s="15" t="s">
        <v>22</v>
      </c>
      <c r="K623" s="15" t="s">
        <v>18</v>
      </c>
      <c r="L623" s="9">
        <f>YEAR(E623)</f>
        <v>2023</v>
      </c>
      <c r="M623" s="11">
        <f t="shared" si="11"/>
        <v>1872294.57</v>
      </c>
    </row>
    <row r="624" spans="1:13" ht="20" customHeight="1" x14ac:dyDescent="0.15">
      <c r="A624" s="12"/>
      <c r="B624" s="13" t="s">
        <v>461</v>
      </c>
      <c r="C624" s="14" t="s">
        <v>14</v>
      </c>
      <c r="D624" s="15" t="s">
        <v>68</v>
      </c>
      <c r="E624" s="15" t="s">
        <v>537</v>
      </c>
      <c r="F624" s="16">
        <v>662</v>
      </c>
      <c r="G624" s="17">
        <v>29217.41</v>
      </c>
      <c r="H624" s="17">
        <v>4929.24</v>
      </c>
      <c r="I624" s="17">
        <v>19341925.420000002</v>
      </c>
      <c r="J624" s="15" t="s">
        <v>28</v>
      </c>
      <c r="K624" s="15" t="s">
        <v>18</v>
      </c>
      <c r="L624" s="9">
        <f>YEAR(E624)</f>
        <v>2023</v>
      </c>
      <c r="M624" s="11">
        <f t="shared" si="11"/>
        <v>3263156.88</v>
      </c>
    </row>
    <row r="625" spans="1:13" ht="20" customHeight="1" x14ac:dyDescent="0.15">
      <c r="A625" s="12"/>
      <c r="B625" s="13" t="s">
        <v>461</v>
      </c>
      <c r="C625" s="14" t="s">
        <v>25</v>
      </c>
      <c r="D625" s="15" t="s">
        <v>26</v>
      </c>
      <c r="E625" s="15" t="s">
        <v>375</v>
      </c>
      <c r="F625" s="16">
        <v>530</v>
      </c>
      <c r="G625" s="17">
        <v>14332.67</v>
      </c>
      <c r="H625" s="17">
        <v>8759.32</v>
      </c>
      <c r="I625" s="19">
        <v>7596315.0999999996</v>
      </c>
      <c r="J625" s="15" t="s">
        <v>17</v>
      </c>
      <c r="K625" s="15" t="s">
        <v>18</v>
      </c>
      <c r="L625" s="9">
        <f>YEAR(E625)</f>
        <v>2023</v>
      </c>
      <c r="M625" s="11">
        <f t="shared" si="11"/>
        <v>4642439.5999999996</v>
      </c>
    </row>
    <row r="626" spans="1:13" ht="20" customHeight="1" x14ac:dyDescent="0.15">
      <c r="A626" s="12"/>
      <c r="B626" s="13" t="s">
        <v>461</v>
      </c>
      <c r="C626" s="14" t="s">
        <v>38</v>
      </c>
      <c r="D626" s="15" t="s">
        <v>26</v>
      </c>
      <c r="E626" s="15" t="s">
        <v>539</v>
      </c>
      <c r="F626" s="16">
        <v>869</v>
      </c>
      <c r="G626" s="17">
        <v>25911.15</v>
      </c>
      <c r="H626" s="19">
        <v>6977.8</v>
      </c>
      <c r="I626" s="17">
        <v>22516789.350000001</v>
      </c>
      <c r="J626" s="15" t="s">
        <v>30</v>
      </c>
      <c r="K626" s="15" t="s">
        <v>18</v>
      </c>
      <c r="L626" s="9">
        <f>YEAR(E626)</f>
        <v>2023</v>
      </c>
      <c r="M626" s="11">
        <f t="shared" si="11"/>
        <v>6063708.2000000002</v>
      </c>
    </row>
    <row r="627" spans="1:13" ht="20" customHeight="1" x14ac:dyDescent="0.15">
      <c r="A627" s="12"/>
      <c r="B627" s="13" t="s">
        <v>461</v>
      </c>
      <c r="C627" s="14" t="s">
        <v>79</v>
      </c>
      <c r="D627" s="15" t="s">
        <v>26</v>
      </c>
      <c r="E627" s="15" t="s">
        <v>542</v>
      </c>
      <c r="F627" s="16">
        <v>315</v>
      </c>
      <c r="G627" s="17">
        <v>41679.019999999997</v>
      </c>
      <c r="H627" s="17">
        <v>9014.24</v>
      </c>
      <c r="I627" s="19">
        <v>13128891.300000001</v>
      </c>
      <c r="J627" s="15" t="s">
        <v>28</v>
      </c>
      <c r="K627" s="15" t="s">
        <v>18</v>
      </c>
      <c r="L627" s="9">
        <f>YEAR(E627)</f>
        <v>2023</v>
      </c>
      <c r="M627" s="11">
        <f t="shared" si="11"/>
        <v>2839485.6</v>
      </c>
    </row>
    <row r="628" spans="1:13" ht="20.75" customHeight="1" x14ac:dyDescent="0.15">
      <c r="A628" s="12"/>
      <c r="B628" s="13" t="s">
        <v>461</v>
      </c>
      <c r="C628" s="14" t="s">
        <v>31</v>
      </c>
      <c r="D628" s="15" t="s">
        <v>26</v>
      </c>
      <c r="E628" s="15" t="s">
        <v>544</v>
      </c>
      <c r="F628" s="16">
        <v>211</v>
      </c>
      <c r="G628" s="19">
        <v>16085.4</v>
      </c>
      <c r="H628" s="17">
        <v>7668.27</v>
      </c>
      <c r="I628" s="19">
        <v>3394019.4</v>
      </c>
      <c r="J628" s="15" t="s">
        <v>22</v>
      </c>
      <c r="K628" s="15" t="s">
        <v>18</v>
      </c>
      <c r="L628" s="9">
        <f>YEAR(E628)</f>
        <v>2023</v>
      </c>
      <c r="M628" s="11">
        <f t="shared" si="11"/>
        <v>1618004.9700000002</v>
      </c>
    </row>
    <row r="629" spans="1:13" ht="21" customHeight="1" x14ac:dyDescent="0.15">
      <c r="A629" s="12"/>
      <c r="B629" s="13" t="s">
        <v>461</v>
      </c>
      <c r="C629" s="14" t="s">
        <v>57</v>
      </c>
      <c r="D629" s="15" t="s">
        <v>26</v>
      </c>
      <c r="E629" s="15" t="s">
        <v>211</v>
      </c>
      <c r="F629" s="16">
        <v>486</v>
      </c>
      <c r="G629" s="17">
        <v>31281.06</v>
      </c>
      <c r="H629" s="17">
        <v>3986.65</v>
      </c>
      <c r="I629" s="17">
        <v>15202595.16</v>
      </c>
      <c r="J629" s="15" t="s">
        <v>17</v>
      </c>
      <c r="K629" s="15" t="s">
        <v>18</v>
      </c>
      <c r="L629" s="9">
        <f>YEAR(E629)</f>
        <v>2023</v>
      </c>
      <c r="M629" s="11">
        <f t="shared" si="11"/>
        <v>1937511.9000000001</v>
      </c>
    </row>
    <row r="630" spans="1:13" ht="20.25" customHeight="1" x14ac:dyDescent="0.15">
      <c r="A630" s="12"/>
      <c r="B630" s="13" t="s">
        <v>461</v>
      </c>
      <c r="C630" s="14" t="s">
        <v>25</v>
      </c>
      <c r="D630" s="15" t="s">
        <v>26</v>
      </c>
      <c r="E630" s="15" t="s">
        <v>546</v>
      </c>
      <c r="F630" s="16">
        <v>614</v>
      </c>
      <c r="G630" s="19">
        <v>28806.400000000001</v>
      </c>
      <c r="H630" s="17">
        <v>3097.77</v>
      </c>
      <c r="I630" s="19">
        <v>17687129.600000001</v>
      </c>
      <c r="J630" s="15" t="s">
        <v>17</v>
      </c>
      <c r="K630" s="15" t="s">
        <v>18</v>
      </c>
      <c r="L630" s="9">
        <f>YEAR(E630)</f>
        <v>2023</v>
      </c>
      <c r="M630" s="11">
        <f t="shared" si="11"/>
        <v>1902030.78</v>
      </c>
    </row>
    <row r="631" spans="1:13" ht="20" customHeight="1" thickBot="1" x14ac:dyDescent="0.2">
      <c r="A631" s="12"/>
      <c r="B631" s="21" t="s">
        <v>461</v>
      </c>
      <c r="C631" s="22" t="s">
        <v>38</v>
      </c>
      <c r="D631" s="23" t="s">
        <v>153</v>
      </c>
      <c r="E631" s="23" t="s">
        <v>548</v>
      </c>
      <c r="F631" s="24">
        <v>336</v>
      </c>
      <c r="G631" s="25">
        <v>35609.269999999997</v>
      </c>
      <c r="H631" s="25">
        <v>7905.08</v>
      </c>
      <c r="I631" s="25">
        <v>11964714.720000001</v>
      </c>
      <c r="J631" s="23" t="s">
        <v>22</v>
      </c>
      <c r="K631" s="23" t="s">
        <v>18</v>
      </c>
      <c r="L631" s="9">
        <f>YEAR(E631)</f>
        <v>2023</v>
      </c>
      <c r="M631" s="11">
        <f t="shared" si="11"/>
        <v>2656106.88</v>
      </c>
    </row>
    <row r="632" spans="1:13" ht="20" customHeight="1" x14ac:dyDescent="0.15">
      <c r="A632" s="50"/>
      <c r="B632" s="52"/>
      <c r="C632" s="53"/>
      <c r="D632" s="54"/>
      <c r="E632" s="54"/>
      <c r="F632" s="55"/>
      <c r="G632" s="56"/>
      <c r="H632" s="56"/>
      <c r="I632" s="56"/>
      <c r="J632" s="54"/>
      <c r="K632" s="54"/>
      <c r="L632" s="9"/>
      <c r="M632" s="11"/>
    </row>
    <row r="633" spans="1:13" ht="20" customHeight="1" thickBot="1" x14ac:dyDescent="0.2">
      <c r="A633" s="20"/>
      <c r="B633" s="2" t="s">
        <v>2</v>
      </c>
      <c r="C633" s="2" t="s">
        <v>3</v>
      </c>
      <c r="D633" s="2" t="s">
        <v>4</v>
      </c>
      <c r="E633" s="2" t="s">
        <v>5</v>
      </c>
      <c r="F633" s="2" t="s">
        <v>6</v>
      </c>
      <c r="G633" s="2" t="s">
        <v>7</v>
      </c>
      <c r="H633" s="2" t="s">
        <v>8</v>
      </c>
      <c r="I633" s="2" t="s">
        <v>9</v>
      </c>
      <c r="J633" s="2" t="s">
        <v>10</v>
      </c>
      <c r="K633" s="2" t="s">
        <v>11</v>
      </c>
      <c r="L633" s="31" t="s">
        <v>12</v>
      </c>
      <c r="M633" s="64" t="s">
        <v>793</v>
      </c>
    </row>
    <row r="634" spans="1:13" ht="20" customHeight="1" x14ac:dyDescent="0.15">
      <c r="A634" s="29"/>
      <c r="B634" s="6" t="s">
        <v>551</v>
      </c>
      <c r="C634" s="7" t="s">
        <v>23</v>
      </c>
      <c r="D634" s="8" t="s">
        <v>107</v>
      </c>
      <c r="E634" s="8" t="s">
        <v>557</v>
      </c>
      <c r="F634" s="9">
        <v>121</v>
      </c>
      <c r="G634" s="10">
        <v>49472.480000000003</v>
      </c>
      <c r="H634" s="10">
        <v>2772.91</v>
      </c>
      <c r="I634" s="10">
        <v>5986170.0800000001</v>
      </c>
      <c r="J634" s="8" t="s">
        <v>30</v>
      </c>
      <c r="K634" s="8" t="s">
        <v>18</v>
      </c>
      <c r="L634" s="9">
        <f>YEAR(E634)</f>
        <v>2020</v>
      </c>
      <c r="M634" s="11">
        <f t="shared" si="11"/>
        <v>335522.11</v>
      </c>
    </row>
    <row r="635" spans="1:13" ht="20" customHeight="1" x14ac:dyDescent="0.15">
      <c r="A635" s="5"/>
      <c r="B635" s="13" t="s">
        <v>551</v>
      </c>
      <c r="C635" s="14" t="s">
        <v>57</v>
      </c>
      <c r="D635" s="15" t="s">
        <v>107</v>
      </c>
      <c r="E635" s="15" t="s">
        <v>558</v>
      </c>
      <c r="F635" s="16">
        <v>368</v>
      </c>
      <c r="G635" s="17">
        <v>30048.91</v>
      </c>
      <c r="H635" s="17">
        <v>2336.56</v>
      </c>
      <c r="I635" s="17">
        <v>11057998.880000001</v>
      </c>
      <c r="J635" s="15" t="s">
        <v>17</v>
      </c>
      <c r="K635" s="15" t="s">
        <v>18</v>
      </c>
      <c r="L635" s="9">
        <f>YEAR(E635)</f>
        <v>2020</v>
      </c>
      <c r="M635" s="11">
        <f t="shared" si="11"/>
        <v>859854.08</v>
      </c>
    </row>
    <row r="636" spans="1:13" ht="20" customHeight="1" x14ac:dyDescent="0.15">
      <c r="A636" s="12"/>
      <c r="B636" s="13" t="s">
        <v>551</v>
      </c>
      <c r="C636" s="14" t="s">
        <v>14</v>
      </c>
      <c r="D636" s="15" t="s">
        <v>107</v>
      </c>
      <c r="E636" s="15" t="s">
        <v>564</v>
      </c>
      <c r="F636" s="16">
        <v>430</v>
      </c>
      <c r="G636" s="19">
        <v>18902.8</v>
      </c>
      <c r="H636" s="17">
        <v>5916.22</v>
      </c>
      <c r="I636" s="16">
        <v>8128204</v>
      </c>
      <c r="J636" s="15" t="s">
        <v>22</v>
      </c>
      <c r="K636" s="15" t="s">
        <v>18</v>
      </c>
      <c r="L636" s="9">
        <f>YEAR(E636)</f>
        <v>2020</v>
      </c>
      <c r="M636" s="11">
        <f t="shared" si="11"/>
        <v>2543974.6</v>
      </c>
    </row>
    <row r="637" spans="1:13" ht="20" customHeight="1" x14ac:dyDescent="0.15">
      <c r="A637" s="12"/>
      <c r="B637" s="13" t="s">
        <v>551</v>
      </c>
      <c r="C637" s="14" t="s">
        <v>19</v>
      </c>
      <c r="D637" s="15" t="s">
        <v>107</v>
      </c>
      <c r="E637" s="15" t="s">
        <v>565</v>
      </c>
      <c r="F637" s="16">
        <v>617</v>
      </c>
      <c r="G637" s="17">
        <v>11446.76</v>
      </c>
      <c r="H637" s="17">
        <v>6752.01</v>
      </c>
      <c r="I637" s="17">
        <v>7062650.9199999999</v>
      </c>
      <c r="J637" s="15" t="s">
        <v>30</v>
      </c>
      <c r="K637" s="15" t="s">
        <v>18</v>
      </c>
      <c r="L637" s="9">
        <f>YEAR(E637)</f>
        <v>2020</v>
      </c>
      <c r="M637" s="11">
        <f t="shared" si="11"/>
        <v>4165990.17</v>
      </c>
    </row>
    <row r="638" spans="1:13" ht="20" customHeight="1" x14ac:dyDescent="0.15">
      <c r="A638" s="12"/>
      <c r="B638" s="13" t="s">
        <v>551</v>
      </c>
      <c r="C638" s="14" t="s">
        <v>79</v>
      </c>
      <c r="D638" s="15" t="s">
        <v>53</v>
      </c>
      <c r="E638" s="15" t="s">
        <v>109</v>
      </c>
      <c r="F638" s="16">
        <v>910</v>
      </c>
      <c r="G638" s="17">
        <v>34668.65</v>
      </c>
      <c r="H638" s="17">
        <v>3347.95</v>
      </c>
      <c r="I638" s="19">
        <v>31548471.5</v>
      </c>
      <c r="J638" s="15" t="s">
        <v>30</v>
      </c>
      <c r="K638" s="15" t="s">
        <v>18</v>
      </c>
      <c r="L638" s="9">
        <f>YEAR(E638)</f>
        <v>2020</v>
      </c>
      <c r="M638" s="11">
        <f t="shared" si="11"/>
        <v>3046634.5</v>
      </c>
    </row>
    <row r="639" spans="1:13" ht="20" customHeight="1" x14ac:dyDescent="0.15">
      <c r="A639" s="12"/>
      <c r="B639" s="13" t="s">
        <v>551</v>
      </c>
      <c r="C639" s="14" t="s">
        <v>25</v>
      </c>
      <c r="D639" s="15" t="s">
        <v>53</v>
      </c>
      <c r="E639" s="15" t="s">
        <v>572</v>
      </c>
      <c r="F639" s="16">
        <v>498</v>
      </c>
      <c r="G639" s="17">
        <v>15043.56</v>
      </c>
      <c r="H639" s="19">
        <v>2367.6</v>
      </c>
      <c r="I639" s="17">
        <v>7491692.8799999999</v>
      </c>
      <c r="J639" s="15" t="s">
        <v>17</v>
      </c>
      <c r="K639" s="15" t="s">
        <v>18</v>
      </c>
      <c r="L639" s="9">
        <f>YEAR(E639)</f>
        <v>2020</v>
      </c>
      <c r="M639" s="11">
        <f t="shared" si="11"/>
        <v>1179064.8</v>
      </c>
    </row>
    <row r="640" spans="1:13" ht="20" customHeight="1" x14ac:dyDescent="0.15">
      <c r="A640" s="12"/>
      <c r="B640" s="13" t="s">
        <v>551</v>
      </c>
      <c r="C640" s="14" t="s">
        <v>79</v>
      </c>
      <c r="D640" s="15" t="s">
        <v>53</v>
      </c>
      <c r="E640" s="15" t="s">
        <v>573</v>
      </c>
      <c r="F640" s="16">
        <v>631</v>
      </c>
      <c r="G640" s="17">
        <v>30503.360000000001</v>
      </c>
      <c r="H640" s="17">
        <v>9796.94</v>
      </c>
      <c r="I640" s="17">
        <v>19247620.16</v>
      </c>
      <c r="J640" s="15" t="s">
        <v>17</v>
      </c>
      <c r="K640" s="15" t="s">
        <v>18</v>
      </c>
      <c r="L640" s="9">
        <f>YEAR(E640)</f>
        <v>2020</v>
      </c>
      <c r="M640" s="11">
        <f t="shared" si="11"/>
        <v>6181869.1400000006</v>
      </c>
    </row>
    <row r="641" spans="1:13" ht="20" customHeight="1" x14ac:dyDescent="0.15">
      <c r="A641" s="12"/>
      <c r="B641" s="13" t="s">
        <v>551</v>
      </c>
      <c r="C641" s="14" t="s">
        <v>14</v>
      </c>
      <c r="D641" s="15" t="s">
        <v>15</v>
      </c>
      <c r="E641" s="15" t="s">
        <v>469</v>
      </c>
      <c r="F641" s="16">
        <v>458</v>
      </c>
      <c r="G641" s="17">
        <v>13812.54</v>
      </c>
      <c r="H641" s="17">
        <v>3177.15</v>
      </c>
      <c r="I641" s="17">
        <v>6326143.3200000003</v>
      </c>
      <c r="J641" s="15" t="s">
        <v>17</v>
      </c>
      <c r="K641" s="15" t="s">
        <v>18</v>
      </c>
      <c r="L641" s="9">
        <f>YEAR(E641)</f>
        <v>2020</v>
      </c>
      <c r="M641" s="11">
        <f t="shared" si="11"/>
        <v>1455134.7</v>
      </c>
    </row>
    <row r="642" spans="1:13" ht="20" customHeight="1" x14ac:dyDescent="0.15">
      <c r="A642" s="12"/>
      <c r="B642" s="13" t="s">
        <v>551</v>
      </c>
      <c r="C642" s="14" t="s">
        <v>38</v>
      </c>
      <c r="D642" s="15" t="s">
        <v>15</v>
      </c>
      <c r="E642" s="15" t="s">
        <v>574</v>
      </c>
      <c r="F642" s="16">
        <v>223</v>
      </c>
      <c r="G642" s="17">
        <v>32345.62</v>
      </c>
      <c r="H642" s="17">
        <v>8780.61</v>
      </c>
      <c r="I642" s="17">
        <v>7213073.2599999998</v>
      </c>
      <c r="J642" s="15" t="s">
        <v>17</v>
      </c>
      <c r="K642" s="15" t="s">
        <v>18</v>
      </c>
      <c r="L642" s="9">
        <f>YEAR(E642)</f>
        <v>2020</v>
      </c>
      <c r="M642" s="11">
        <f t="shared" si="11"/>
        <v>1958076.03</v>
      </c>
    </row>
    <row r="643" spans="1:13" ht="20" customHeight="1" x14ac:dyDescent="0.15">
      <c r="A643" s="12"/>
      <c r="B643" s="13" t="s">
        <v>551</v>
      </c>
      <c r="C643" s="14" t="s">
        <v>35</v>
      </c>
      <c r="D643" s="15" t="s">
        <v>15</v>
      </c>
      <c r="E643" s="15" t="s">
        <v>577</v>
      </c>
      <c r="F643" s="16">
        <v>574</v>
      </c>
      <c r="G643" s="17">
        <v>13194.29</v>
      </c>
      <c r="H643" s="17">
        <v>8175.79</v>
      </c>
      <c r="I643" s="17">
        <v>7573522.46</v>
      </c>
      <c r="J643" s="15" t="s">
        <v>28</v>
      </c>
      <c r="K643" s="15" t="s">
        <v>18</v>
      </c>
      <c r="L643" s="9">
        <f>YEAR(E643)</f>
        <v>2020</v>
      </c>
      <c r="M643" s="11">
        <f t="shared" si="11"/>
        <v>4692903.46</v>
      </c>
    </row>
    <row r="644" spans="1:13" ht="20" customHeight="1" x14ac:dyDescent="0.15">
      <c r="A644" s="12"/>
      <c r="B644" s="13" t="s">
        <v>551</v>
      </c>
      <c r="C644" s="14" t="s">
        <v>23</v>
      </c>
      <c r="D644" s="15" t="s">
        <v>139</v>
      </c>
      <c r="E644" s="15" t="s">
        <v>424</v>
      </c>
      <c r="F644" s="16">
        <v>363</v>
      </c>
      <c r="G644" s="17">
        <v>21256.720000000001</v>
      </c>
      <c r="H644" s="17">
        <v>4413.29</v>
      </c>
      <c r="I644" s="17">
        <v>7716189.3600000003</v>
      </c>
      <c r="J644" s="15" t="s">
        <v>17</v>
      </c>
      <c r="K644" s="15" t="s">
        <v>18</v>
      </c>
      <c r="L644" s="9">
        <f>YEAR(E644)</f>
        <v>2020</v>
      </c>
      <c r="M644" s="11">
        <f t="shared" si="11"/>
        <v>1602024.27</v>
      </c>
    </row>
    <row r="645" spans="1:13" ht="20" customHeight="1" x14ac:dyDescent="0.15">
      <c r="A645" s="12"/>
      <c r="B645" s="13" t="s">
        <v>551</v>
      </c>
      <c r="C645" s="14" t="s">
        <v>23</v>
      </c>
      <c r="D645" s="15" t="s">
        <v>139</v>
      </c>
      <c r="E645" s="15" t="s">
        <v>333</v>
      </c>
      <c r="F645" s="16">
        <v>298</v>
      </c>
      <c r="G645" s="17">
        <v>48711.59</v>
      </c>
      <c r="H645" s="17">
        <v>8683.01</v>
      </c>
      <c r="I645" s="17">
        <v>14516053.82</v>
      </c>
      <c r="J645" s="15" t="s">
        <v>28</v>
      </c>
      <c r="K645" s="15" t="s">
        <v>18</v>
      </c>
      <c r="L645" s="9">
        <f>YEAR(E645)</f>
        <v>2020</v>
      </c>
      <c r="M645" s="11">
        <f t="shared" ref="M645:M708" si="12">H645*F645</f>
        <v>2587536.98</v>
      </c>
    </row>
    <row r="646" spans="1:13" ht="20" customHeight="1" x14ac:dyDescent="0.15">
      <c r="A646" s="12"/>
      <c r="B646" s="13" t="s">
        <v>551</v>
      </c>
      <c r="C646" s="14" t="s">
        <v>31</v>
      </c>
      <c r="D646" s="15" t="s">
        <v>139</v>
      </c>
      <c r="E646" s="15" t="s">
        <v>582</v>
      </c>
      <c r="F646" s="16">
        <v>347</v>
      </c>
      <c r="G646" s="17">
        <v>23501.68</v>
      </c>
      <c r="H646" s="17">
        <v>4710.34</v>
      </c>
      <c r="I646" s="17">
        <v>8155082.96</v>
      </c>
      <c r="J646" s="15" t="s">
        <v>17</v>
      </c>
      <c r="K646" s="15" t="s">
        <v>18</v>
      </c>
      <c r="L646" s="9">
        <f>YEAR(E646)</f>
        <v>2020</v>
      </c>
      <c r="M646" s="11">
        <f t="shared" si="12"/>
        <v>1634487.98</v>
      </c>
    </row>
    <row r="647" spans="1:13" ht="20" customHeight="1" x14ac:dyDescent="0.15">
      <c r="A647" s="12"/>
      <c r="B647" s="13" t="s">
        <v>551</v>
      </c>
      <c r="C647" s="14" t="s">
        <v>23</v>
      </c>
      <c r="D647" s="15" t="s">
        <v>139</v>
      </c>
      <c r="E647" s="15" t="s">
        <v>587</v>
      </c>
      <c r="F647" s="16">
        <v>743</v>
      </c>
      <c r="G647" s="17">
        <v>26050.959999999999</v>
      </c>
      <c r="H647" s="17">
        <v>3800.89</v>
      </c>
      <c r="I647" s="17">
        <v>19355863.280000001</v>
      </c>
      <c r="J647" s="15" t="s">
        <v>17</v>
      </c>
      <c r="K647" s="15" t="s">
        <v>18</v>
      </c>
      <c r="L647" s="9">
        <f>YEAR(E647)</f>
        <v>2020</v>
      </c>
      <c r="M647" s="11">
        <f t="shared" si="12"/>
        <v>2824061.27</v>
      </c>
    </row>
    <row r="648" spans="1:13" ht="20" customHeight="1" x14ac:dyDescent="0.15">
      <c r="A648" s="12"/>
      <c r="B648" s="13" t="s">
        <v>551</v>
      </c>
      <c r="C648" s="14" t="s">
        <v>38</v>
      </c>
      <c r="D648" s="15" t="s">
        <v>114</v>
      </c>
      <c r="E648" s="15" t="s">
        <v>588</v>
      </c>
      <c r="F648" s="16">
        <v>870</v>
      </c>
      <c r="G648" s="19">
        <v>28422.6</v>
      </c>
      <c r="H648" s="17">
        <v>7385.82</v>
      </c>
      <c r="I648" s="16">
        <v>24727662</v>
      </c>
      <c r="J648" s="15" t="s">
        <v>22</v>
      </c>
      <c r="K648" s="15" t="s">
        <v>18</v>
      </c>
      <c r="L648" s="9">
        <f>YEAR(E648)</f>
        <v>2020</v>
      </c>
      <c r="M648" s="11">
        <f t="shared" si="12"/>
        <v>6425663.3999999994</v>
      </c>
    </row>
    <row r="649" spans="1:13" ht="20" customHeight="1" x14ac:dyDescent="0.15">
      <c r="A649" s="12"/>
      <c r="B649" s="13" t="s">
        <v>551</v>
      </c>
      <c r="C649" s="14" t="s">
        <v>79</v>
      </c>
      <c r="D649" s="15" t="s">
        <v>114</v>
      </c>
      <c r="E649" s="15" t="s">
        <v>596</v>
      </c>
      <c r="F649" s="16">
        <v>141</v>
      </c>
      <c r="G649" s="17">
        <v>46391.24</v>
      </c>
      <c r="H649" s="17">
        <v>5976.25</v>
      </c>
      <c r="I649" s="17">
        <v>6541164.8399999999</v>
      </c>
      <c r="J649" s="15" t="s">
        <v>22</v>
      </c>
      <c r="K649" s="15" t="s">
        <v>18</v>
      </c>
      <c r="L649" s="9">
        <f>YEAR(E649)</f>
        <v>2020</v>
      </c>
      <c r="M649" s="11">
        <f t="shared" si="12"/>
        <v>842651.25</v>
      </c>
    </row>
    <row r="650" spans="1:13" ht="20" customHeight="1" x14ac:dyDescent="0.15">
      <c r="A650" s="12"/>
      <c r="B650" s="13" t="s">
        <v>551</v>
      </c>
      <c r="C650" s="14" t="s">
        <v>57</v>
      </c>
      <c r="D650" s="15" t="s">
        <v>153</v>
      </c>
      <c r="E650" s="15" t="s">
        <v>596</v>
      </c>
      <c r="F650" s="16">
        <v>844</v>
      </c>
      <c r="G650" s="17">
        <v>34836.78</v>
      </c>
      <c r="H650" s="17">
        <v>2564.4299999999998</v>
      </c>
      <c r="I650" s="17">
        <v>29402242.32</v>
      </c>
      <c r="J650" s="15" t="s">
        <v>17</v>
      </c>
      <c r="K650" s="15" t="s">
        <v>18</v>
      </c>
      <c r="L650" s="9">
        <f>YEAR(E650)</f>
        <v>2020</v>
      </c>
      <c r="M650" s="11">
        <f t="shared" si="12"/>
        <v>2164378.92</v>
      </c>
    </row>
    <row r="651" spans="1:13" ht="20" customHeight="1" x14ac:dyDescent="0.15">
      <c r="A651" s="12"/>
      <c r="B651" s="13" t="s">
        <v>551</v>
      </c>
      <c r="C651" s="14" t="s">
        <v>35</v>
      </c>
      <c r="D651" s="15" t="s">
        <v>114</v>
      </c>
      <c r="E651" s="15" t="s">
        <v>137</v>
      </c>
      <c r="F651" s="16">
        <v>463</v>
      </c>
      <c r="G651" s="17">
        <v>21324.19</v>
      </c>
      <c r="H651" s="17">
        <v>5651.94</v>
      </c>
      <c r="I651" s="17">
        <v>9873099.9700000007</v>
      </c>
      <c r="J651" s="15" t="s">
        <v>17</v>
      </c>
      <c r="K651" s="15" t="s">
        <v>18</v>
      </c>
      <c r="L651" s="9">
        <f>YEAR(E651)</f>
        <v>2020</v>
      </c>
      <c r="M651" s="11">
        <f t="shared" si="12"/>
        <v>2616848.2199999997</v>
      </c>
    </row>
    <row r="652" spans="1:13" ht="20" customHeight="1" x14ac:dyDescent="0.15">
      <c r="A652" s="12"/>
      <c r="B652" s="13" t="s">
        <v>551</v>
      </c>
      <c r="C652" s="14" t="s">
        <v>14</v>
      </c>
      <c r="D652" s="15" t="s">
        <v>70</v>
      </c>
      <c r="E652" s="15" t="s">
        <v>602</v>
      </c>
      <c r="F652" s="16">
        <v>230</v>
      </c>
      <c r="G652" s="17">
        <v>33065.69</v>
      </c>
      <c r="H652" s="17">
        <v>7570.06</v>
      </c>
      <c r="I652" s="19">
        <v>7605108.7000000002</v>
      </c>
      <c r="J652" s="15" t="s">
        <v>17</v>
      </c>
      <c r="K652" s="15" t="s">
        <v>18</v>
      </c>
      <c r="L652" s="9">
        <f>YEAR(E652)</f>
        <v>2020</v>
      </c>
      <c r="M652" s="11">
        <f t="shared" si="12"/>
        <v>1741113.8</v>
      </c>
    </row>
    <row r="653" spans="1:13" ht="20" customHeight="1" x14ac:dyDescent="0.15">
      <c r="A653" s="12"/>
      <c r="B653" s="13" t="s">
        <v>551</v>
      </c>
      <c r="C653" s="14" t="s">
        <v>14</v>
      </c>
      <c r="D653" s="15" t="s">
        <v>89</v>
      </c>
      <c r="E653" s="15" t="s">
        <v>391</v>
      </c>
      <c r="F653" s="16">
        <v>619</v>
      </c>
      <c r="G653" s="17">
        <v>13079.61</v>
      </c>
      <c r="H653" s="17">
        <v>2337.4299999999998</v>
      </c>
      <c r="I653" s="17">
        <v>8096278.5899999999</v>
      </c>
      <c r="J653" s="15" t="s">
        <v>17</v>
      </c>
      <c r="K653" s="15" t="s">
        <v>18</v>
      </c>
      <c r="L653" s="9">
        <f>YEAR(E653)</f>
        <v>2020</v>
      </c>
      <c r="M653" s="11">
        <f t="shared" si="12"/>
        <v>1446869.17</v>
      </c>
    </row>
    <row r="654" spans="1:13" ht="20" customHeight="1" x14ac:dyDescent="0.15">
      <c r="A654" s="12"/>
      <c r="B654" s="13" t="s">
        <v>551</v>
      </c>
      <c r="C654" s="14" t="s">
        <v>57</v>
      </c>
      <c r="D654" s="15" t="s">
        <v>89</v>
      </c>
      <c r="E654" s="15" t="s">
        <v>124</v>
      </c>
      <c r="F654" s="16">
        <v>161</v>
      </c>
      <c r="G654" s="17">
        <v>22984.27</v>
      </c>
      <c r="H654" s="17">
        <v>7018.74</v>
      </c>
      <c r="I654" s="17">
        <v>3700467.47</v>
      </c>
      <c r="J654" s="15" t="s">
        <v>17</v>
      </c>
      <c r="K654" s="15" t="s">
        <v>18</v>
      </c>
      <c r="L654" s="9">
        <f>YEAR(E654)</f>
        <v>2020</v>
      </c>
      <c r="M654" s="11">
        <f t="shared" si="12"/>
        <v>1130017.1399999999</v>
      </c>
    </row>
    <row r="655" spans="1:13" ht="20" customHeight="1" x14ac:dyDescent="0.15">
      <c r="A655" s="12"/>
      <c r="B655" s="13" t="s">
        <v>551</v>
      </c>
      <c r="C655" s="14" t="s">
        <v>23</v>
      </c>
      <c r="D655" s="15" t="s">
        <v>153</v>
      </c>
      <c r="E655" s="15" t="s">
        <v>611</v>
      </c>
      <c r="F655" s="16">
        <v>909</v>
      </c>
      <c r="G655" s="17">
        <v>19171.77</v>
      </c>
      <c r="H655" s="17">
        <v>5159.22</v>
      </c>
      <c r="I655" s="17">
        <v>17427138.93</v>
      </c>
      <c r="J655" s="15" t="s">
        <v>28</v>
      </c>
      <c r="K655" s="15" t="s">
        <v>18</v>
      </c>
      <c r="L655" s="9">
        <f>YEAR(E655)</f>
        <v>2020</v>
      </c>
      <c r="M655" s="11">
        <f t="shared" si="12"/>
        <v>4689730.9800000004</v>
      </c>
    </row>
    <row r="656" spans="1:13" ht="20" customHeight="1" x14ac:dyDescent="0.15">
      <c r="A656" s="12"/>
      <c r="B656" s="13" t="s">
        <v>551</v>
      </c>
      <c r="C656" s="14" t="s">
        <v>57</v>
      </c>
      <c r="D656" s="15" t="s">
        <v>153</v>
      </c>
      <c r="E656" s="15" t="s">
        <v>612</v>
      </c>
      <c r="F656" s="16">
        <v>222</v>
      </c>
      <c r="G656" s="17">
        <v>17101.55</v>
      </c>
      <c r="H656" s="17">
        <v>9701.85</v>
      </c>
      <c r="I656" s="19">
        <v>3796544.1</v>
      </c>
      <c r="J656" s="15" t="s">
        <v>30</v>
      </c>
      <c r="K656" s="15" t="s">
        <v>18</v>
      </c>
      <c r="L656" s="9">
        <f>YEAR(E656)</f>
        <v>2020</v>
      </c>
      <c r="M656" s="11">
        <f t="shared" si="12"/>
        <v>2153810.7000000002</v>
      </c>
    </row>
    <row r="657" spans="1:13" ht="20" customHeight="1" x14ac:dyDescent="0.15">
      <c r="A657" s="12"/>
      <c r="B657" s="13" t="s">
        <v>551</v>
      </c>
      <c r="C657" s="14" t="s">
        <v>57</v>
      </c>
      <c r="D657" s="15" t="s">
        <v>68</v>
      </c>
      <c r="E657" s="15" t="s">
        <v>621</v>
      </c>
      <c r="F657" s="16">
        <v>292</v>
      </c>
      <c r="G657" s="17">
        <v>39681.370000000003</v>
      </c>
      <c r="H657" s="17">
        <v>9990.57</v>
      </c>
      <c r="I657" s="17">
        <v>11586960.039999999</v>
      </c>
      <c r="J657" s="15" t="s">
        <v>17</v>
      </c>
      <c r="K657" s="15" t="s">
        <v>18</v>
      </c>
      <c r="L657" s="9">
        <f>YEAR(E657)</f>
        <v>2020</v>
      </c>
      <c r="M657" s="11">
        <f t="shared" si="12"/>
        <v>2917246.44</v>
      </c>
    </row>
    <row r="658" spans="1:13" ht="20" customHeight="1" x14ac:dyDescent="0.15">
      <c r="A658" s="12"/>
      <c r="B658" s="13" t="s">
        <v>551</v>
      </c>
      <c r="C658" s="14" t="s">
        <v>31</v>
      </c>
      <c r="D658" s="15" t="s">
        <v>68</v>
      </c>
      <c r="E658" s="15" t="s">
        <v>622</v>
      </c>
      <c r="F658" s="16">
        <v>462</v>
      </c>
      <c r="G658" s="19">
        <v>32503.8</v>
      </c>
      <c r="H658" s="17">
        <v>8516.9699999999993</v>
      </c>
      <c r="I658" s="19">
        <v>15016755.6</v>
      </c>
      <c r="J658" s="15" t="s">
        <v>17</v>
      </c>
      <c r="K658" s="15" t="s">
        <v>18</v>
      </c>
      <c r="L658" s="9">
        <f>YEAR(E658)</f>
        <v>2020</v>
      </c>
      <c r="M658" s="11">
        <f t="shared" si="12"/>
        <v>3934840.1399999997</v>
      </c>
    </row>
    <row r="659" spans="1:13" ht="20" customHeight="1" x14ac:dyDescent="0.15">
      <c r="A659" s="12"/>
      <c r="B659" s="13" t="s">
        <v>551</v>
      </c>
      <c r="C659" s="14" t="s">
        <v>57</v>
      </c>
      <c r="D659" s="15" t="s">
        <v>68</v>
      </c>
      <c r="E659" s="15" t="s">
        <v>623</v>
      </c>
      <c r="F659" s="16">
        <v>883</v>
      </c>
      <c r="G659" s="17">
        <v>31735.91</v>
      </c>
      <c r="H659" s="17">
        <v>8581.08</v>
      </c>
      <c r="I659" s="17">
        <v>28022808.530000001</v>
      </c>
      <c r="J659" s="15" t="s">
        <v>28</v>
      </c>
      <c r="K659" s="15" t="s">
        <v>18</v>
      </c>
      <c r="L659" s="9">
        <f>YEAR(E659)</f>
        <v>2020</v>
      </c>
      <c r="M659" s="11">
        <f t="shared" si="12"/>
        <v>7577093.6399999997</v>
      </c>
    </row>
    <row r="660" spans="1:13" ht="20" customHeight="1" x14ac:dyDescent="0.15">
      <c r="A660" s="12"/>
      <c r="B660" s="13" t="s">
        <v>551</v>
      </c>
      <c r="C660" s="14" t="s">
        <v>38</v>
      </c>
      <c r="D660" s="15" t="s">
        <v>68</v>
      </c>
      <c r="E660" s="15" t="s">
        <v>535</v>
      </c>
      <c r="F660" s="16">
        <v>250</v>
      </c>
      <c r="G660" s="17">
        <v>19006.96</v>
      </c>
      <c r="H660" s="17">
        <v>8307.68</v>
      </c>
      <c r="I660" s="16">
        <v>4751740</v>
      </c>
      <c r="J660" s="15" t="s">
        <v>22</v>
      </c>
      <c r="K660" s="15" t="s">
        <v>18</v>
      </c>
      <c r="L660" s="9">
        <f>YEAR(E660)</f>
        <v>2020</v>
      </c>
      <c r="M660" s="11">
        <f t="shared" si="12"/>
        <v>2076920</v>
      </c>
    </row>
    <row r="661" spans="1:13" ht="20" customHeight="1" x14ac:dyDescent="0.15">
      <c r="A661" s="12"/>
      <c r="B661" s="13" t="s">
        <v>551</v>
      </c>
      <c r="C661" s="14" t="s">
        <v>79</v>
      </c>
      <c r="D661" s="15" t="s">
        <v>26</v>
      </c>
      <c r="E661" s="15" t="s">
        <v>628</v>
      </c>
      <c r="F661" s="16">
        <v>274</v>
      </c>
      <c r="G661" s="17">
        <v>46080.72</v>
      </c>
      <c r="H661" s="17">
        <v>5147.67</v>
      </c>
      <c r="I661" s="17">
        <v>12626117.279999999</v>
      </c>
      <c r="J661" s="15" t="s">
        <v>28</v>
      </c>
      <c r="K661" s="15" t="s">
        <v>18</v>
      </c>
      <c r="L661" s="9">
        <f>YEAR(E661)</f>
        <v>2020</v>
      </c>
      <c r="M661" s="11">
        <f t="shared" si="12"/>
        <v>1410461.58</v>
      </c>
    </row>
    <row r="662" spans="1:13" ht="20" customHeight="1" x14ac:dyDescent="0.15">
      <c r="A662" s="12"/>
      <c r="B662" s="13" t="s">
        <v>551</v>
      </c>
      <c r="C662" s="14" t="s">
        <v>79</v>
      </c>
      <c r="D662" s="15" t="s">
        <v>26</v>
      </c>
      <c r="E662" s="15" t="s">
        <v>305</v>
      </c>
      <c r="F662" s="16">
        <v>492</v>
      </c>
      <c r="G662" s="17">
        <v>23415.71</v>
      </c>
      <c r="H662" s="17">
        <v>3262.88</v>
      </c>
      <c r="I662" s="17">
        <v>11520529.32</v>
      </c>
      <c r="J662" s="15" t="s">
        <v>22</v>
      </c>
      <c r="K662" s="15" t="s">
        <v>18</v>
      </c>
      <c r="L662" s="9">
        <f>YEAR(E662)</f>
        <v>2020</v>
      </c>
      <c r="M662" s="11">
        <f t="shared" si="12"/>
        <v>1605336.96</v>
      </c>
    </row>
    <row r="663" spans="1:13" ht="20" customHeight="1" x14ac:dyDescent="0.15">
      <c r="A663" s="12"/>
      <c r="B663" s="13" t="s">
        <v>551</v>
      </c>
      <c r="C663" s="14" t="s">
        <v>38</v>
      </c>
      <c r="D663" s="15" t="s">
        <v>26</v>
      </c>
      <c r="E663" s="15" t="s">
        <v>222</v>
      </c>
      <c r="F663" s="16">
        <v>578</v>
      </c>
      <c r="G663" s="17">
        <v>48791.16</v>
      </c>
      <c r="H663" s="17">
        <v>6835.16</v>
      </c>
      <c r="I663" s="17">
        <v>28201290.48</v>
      </c>
      <c r="J663" s="15" t="s">
        <v>17</v>
      </c>
      <c r="K663" s="15" t="s">
        <v>18</v>
      </c>
      <c r="L663" s="9">
        <f>YEAR(E663)</f>
        <v>2020</v>
      </c>
      <c r="M663" s="11">
        <f t="shared" si="12"/>
        <v>3950722.48</v>
      </c>
    </row>
    <row r="664" spans="1:13" ht="20" customHeight="1" x14ac:dyDescent="0.15">
      <c r="A664" s="12"/>
      <c r="B664" s="13" t="s">
        <v>551</v>
      </c>
      <c r="C664" s="14" t="s">
        <v>43</v>
      </c>
      <c r="D664" s="15" t="s">
        <v>26</v>
      </c>
      <c r="E664" s="15" t="s">
        <v>152</v>
      </c>
      <c r="F664" s="16">
        <v>646</v>
      </c>
      <c r="G664" s="17">
        <v>10338.09</v>
      </c>
      <c r="H664" s="17">
        <v>8152.32</v>
      </c>
      <c r="I664" s="17">
        <v>6678406.1399999997</v>
      </c>
      <c r="J664" s="15" t="s">
        <v>17</v>
      </c>
      <c r="K664" s="15" t="s">
        <v>18</v>
      </c>
      <c r="L664" s="9">
        <f>YEAR(E664)</f>
        <v>2020</v>
      </c>
      <c r="M664" s="11">
        <f t="shared" si="12"/>
        <v>5266398.72</v>
      </c>
    </row>
    <row r="665" spans="1:13" ht="20" customHeight="1" x14ac:dyDescent="0.15">
      <c r="A665" s="12"/>
      <c r="B665" s="13" t="s">
        <v>551</v>
      </c>
      <c r="C665" s="14" t="s">
        <v>31</v>
      </c>
      <c r="D665" s="15" t="s">
        <v>107</v>
      </c>
      <c r="E665" s="15" t="s">
        <v>553</v>
      </c>
      <c r="F665" s="16">
        <v>171</v>
      </c>
      <c r="G665" s="17">
        <v>33855.64</v>
      </c>
      <c r="H665" s="17">
        <v>2088.86</v>
      </c>
      <c r="I665" s="17">
        <v>5789314.4400000004</v>
      </c>
      <c r="J665" s="15" t="s">
        <v>17</v>
      </c>
      <c r="K665" s="15" t="s">
        <v>18</v>
      </c>
      <c r="L665" s="9">
        <f>YEAR(E665)</f>
        <v>2021</v>
      </c>
      <c r="M665" s="11">
        <f t="shared" si="12"/>
        <v>357195.06</v>
      </c>
    </row>
    <row r="666" spans="1:13" ht="20" customHeight="1" x14ac:dyDescent="0.15">
      <c r="A666" s="12"/>
      <c r="B666" s="13" t="s">
        <v>551</v>
      </c>
      <c r="C666" s="14" t="s">
        <v>79</v>
      </c>
      <c r="D666" s="15" t="s">
        <v>107</v>
      </c>
      <c r="E666" s="15" t="s">
        <v>554</v>
      </c>
      <c r="F666" s="16">
        <v>360</v>
      </c>
      <c r="G666" s="17">
        <v>25745.26</v>
      </c>
      <c r="H666" s="17">
        <v>6592.49</v>
      </c>
      <c r="I666" s="19">
        <v>9268293.5999999996</v>
      </c>
      <c r="J666" s="15" t="s">
        <v>17</v>
      </c>
      <c r="K666" s="15" t="s">
        <v>18</v>
      </c>
      <c r="L666" s="9">
        <f>YEAR(E666)</f>
        <v>2021</v>
      </c>
      <c r="M666" s="11">
        <f t="shared" si="12"/>
        <v>2373296.4</v>
      </c>
    </row>
    <row r="667" spans="1:13" ht="20" customHeight="1" x14ac:dyDescent="0.15">
      <c r="A667" s="12"/>
      <c r="B667" s="13" t="s">
        <v>551</v>
      </c>
      <c r="C667" s="14" t="s">
        <v>25</v>
      </c>
      <c r="D667" s="15" t="s">
        <v>107</v>
      </c>
      <c r="E667" s="15" t="s">
        <v>555</v>
      </c>
      <c r="F667" s="16">
        <v>662</v>
      </c>
      <c r="G667" s="19">
        <v>48735.7</v>
      </c>
      <c r="H667" s="17">
        <v>3116.32</v>
      </c>
      <c r="I667" s="19">
        <v>32263033.399999999</v>
      </c>
      <c r="J667" s="15" t="s">
        <v>28</v>
      </c>
      <c r="K667" s="15" t="s">
        <v>18</v>
      </c>
      <c r="L667" s="9">
        <f>YEAR(E667)</f>
        <v>2021</v>
      </c>
      <c r="M667" s="11">
        <f t="shared" si="12"/>
        <v>2063003.84</v>
      </c>
    </row>
    <row r="668" spans="1:13" ht="20" customHeight="1" x14ac:dyDescent="0.15">
      <c r="A668" s="12"/>
      <c r="B668" s="13" t="s">
        <v>551</v>
      </c>
      <c r="C668" s="14" t="s">
        <v>23</v>
      </c>
      <c r="D668" s="15" t="s">
        <v>107</v>
      </c>
      <c r="E668" s="15" t="s">
        <v>320</v>
      </c>
      <c r="F668" s="16">
        <v>376</v>
      </c>
      <c r="G668" s="17">
        <v>35980.93</v>
      </c>
      <c r="H668" s="17">
        <v>7571.43</v>
      </c>
      <c r="I668" s="17">
        <v>13528829.68</v>
      </c>
      <c r="J668" s="15" t="s">
        <v>17</v>
      </c>
      <c r="K668" s="15" t="s">
        <v>18</v>
      </c>
      <c r="L668" s="9">
        <f>YEAR(E668)</f>
        <v>2021</v>
      </c>
      <c r="M668" s="11">
        <f t="shared" si="12"/>
        <v>2846857.68</v>
      </c>
    </row>
    <row r="669" spans="1:13" ht="20" customHeight="1" x14ac:dyDescent="0.15">
      <c r="A669" s="12"/>
      <c r="B669" s="13" t="s">
        <v>551</v>
      </c>
      <c r="C669" s="14" t="s">
        <v>43</v>
      </c>
      <c r="D669" s="15" t="s">
        <v>107</v>
      </c>
      <c r="E669" s="15" t="s">
        <v>560</v>
      </c>
      <c r="F669" s="16">
        <v>337</v>
      </c>
      <c r="G669" s="19">
        <v>46796.4</v>
      </c>
      <c r="H669" s="17">
        <v>3985.16</v>
      </c>
      <c r="I669" s="19">
        <v>15770386.800000001</v>
      </c>
      <c r="J669" s="15" t="s">
        <v>22</v>
      </c>
      <c r="K669" s="15" t="s">
        <v>18</v>
      </c>
      <c r="L669" s="9">
        <f>YEAR(E669)</f>
        <v>2021</v>
      </c>
      <c r="M669" s="11">
        <f t="shared" si="12"/>
        <v>1342998.92</v>
      </c>
    </row>
    <row r="670" spans="1:13" ht="20" customHeight="1" x14ac:dyDescent="0.15">
      <c r="A670" s="12"/>
      <c r="B670" s="13" t="s">
        <v>551</v>
      </c>
      <c r="C670" s="14" t="s">
        <v>31</v>
      </c>
      <c r="D670" s="15" t="s">
        <v>53</v>
      </c>
      <c r="E670" s="15" t="s">
        <v>569</v>
      </c>
      <c r="F670" s="16">
        <v>359</v>
      </c>
      <c r="G670" s="17">
        <v>38635.31</v>
      </c>
      <c r="H670" s="17">
        <v>6945.16</v>
      </c>
      <c r="I670" s="17">
        <v>13870076.289999999</v>
      </c>
      <c r="J670" s="15" t="s">
        <v>17</v>
      </c>
      <c r="K670" s="15" t="s">
        <v>18</v>
      </c>
      <c r="L670" s="9">
        <f>YEAR(E670)</f>
        <v>2021</v>
      </c>
      <c r="M670" s="11">
        <f t="shared" si="12"/>
        <v>2493312.44</v>
      </c>
    </row>
    <row r="671" spans="1:13" ht="20" customHeight="1" x14ac:dyDescent="0.15">
      <c r="A671" s="12"/>
      <c r="B671" s="13" t="s">
        <v>551</v>
      </c>
      <c r="C671" s="14" t="s">
        <v>19</v>
      </c>
      <c r="D671" s="15" t="s">
        <v>53</v>
      </c>
      <c r="E671" s="15" t="s">
        <v>570</v>
      </c>
      <c r="F671" s="16">
        <v>341</v>
      </c>
      <c r="G671" s="17">
        <v>20126.79</v>
      </c>
      <c r="H671" s="17">
        <v>5442.89</v>
      </c>
      <c r="I671" s="17">
        <v>6863235.3899999997</v>
      </c>
      <c r="J671" s="15" t="s">
        <v>30</v>
      </c>
      <c r="K671" s="15" t="s">
        <v>18</v>
      </c>
      <c r="L671" s="9">
        <f>YEAR(E671)</f>
        <v>2021</v>
      </c>
      <c r="M671" s="11">
        <f t="shared" si="12"/>
        <v>1856025.4900000002</v>
      </c>
    </row>
    <row r="672" spans="1:13" ht="20" customHeight="1" x14ac:dyDescent="0.15">
      <c r="A672" s="12"/>
      <c r="B672" s="13" t="s">
        <v>551</v>
      </c>
      <c r="C672" s="14" t="s">
        <v>19</v>
      </c>
      <c r="D672" s="15" t="s">
        <v>15</v>
      </c>
      <c r="E672" s="15" t="s">
        <v>575</v>
      </c>
      <c r="F672" s="16">
        <v>630</v>
      </c>
      <c r="G672" s="17">
        <v>33495.61</v>
      </c>
      <c r="H672" s="17">
        <v>4141.3100000000004</v>
      </c>
      <c r="I672" s="19">
        <v>21102234.300000001</v>
      </c>
      <c r="J672" s="15" t="s">
        <v>17</v>
      </c>
      <c r="K672" s="15" t="s">
        <v>18</v>
      </c>
      <c r="L672" s="9">
        <f>YEAR(E672)</f>
        <v>2021</v>
      </c>
      <c r="M672" s="11">
        <f t="shared" si="12"/>
        <v>2609025.3000000003</v>
      </c>
    </row>
    <row r="673" spans="1:13" ht="20" customHeight="1" x14ac:dyDescent="0.15">
      <c r="A673" s="12"/>
      <c r="B673" s="13" t="s">
        <v>551</v>
      </c>
      <c r="C673" s="14" t="s">
        <v>31</v>
      </c>
      <c r="D673" s="15" t="s">
        <v>15</v>
      </c>
      <c r="E673" s="15" t="s">
        <v>578</v>
      </c>
      <c r="F673" s="16">
        <v>522</v>
      </c>
      <c r="G673" s="17">
        <v>22143.33</v>
      </c>
      <c r="H673" s="17">
        <v>3932.05</v>
      </c>
      <c r="I673" s="17">
        <v>11558818.26</v>
      </c>
      <c r="J673" s="15" t="s">
        <v>28</v>
      </c>
      <c r="K673" s="15" t="s">
        <v>18</v>
      </c>
      <c r="L673" s="9">
        <f>YEAR(E673)</f>
        <v>2021</v>
      </c>
      <c r="M673" s="11">
        <f t="shared" si="12"/>
        <v>2052530.1</v>
      </c>
    </row>
    <row r="674" spans="1:13" ht="20" customHeight="1" x14ac:dyDescent="0.15">
      <c r="A674" s="12"/>
      <c r="B674" s="13" t="s">
        <v>551</v>
      </c>
      <c r="C674" s="14" t="s">
        <v>35</v>
      </c>
      <c r="D674" s="15" t="s">
        <v>15</v>
      </c>
      <c r="E674" s="15" t="s">
        <v>349</v>
      </c>
      <c r="F674" s="16">
        <v>794</v>
      </c>
      <c r="G674" s="17">
        <v>38459.71</v>
      </c>
      <c r="H674" s="17">
        <v>6427.82</v>
      </c>
      <c r="I674" s="17">
        <v>30537009.739999998</v>
      </c>
      <c r="J674" s="15" t="s">
        <v>17</v>
      </c>
      <c r="K674" s="15" t="s">
        <v>18</v>
      </c>
      <c r="L674" s="9">
        <f>YEAR(E674)</f>
        <v>2021</v>
      </c>
      <c r="M674" s="11">
        <f t="shared" si="12"/>
        <v>5103689.08</v>
      </c>
    </row>
    <row r="675" spans="1:13" ht="20" customHeight="1" x14ac:dyDescent="0.15">
      <c r="A675" s="12"/>
      <c r="B675" s="13" t="s">
        <v>551</v>
      </c>
      <c r="C675" s="14" t="s">
        <v>25</v>
      </c>
      <c r="D675" s="15" t="s">
        <v>139</v>
      </c>
      <c r="E675" s="15" t="s">
        <v>581</v>
      </c>
      <c r="F675" s="16">
        <v>617</v>
      </c>
      <c r="G675" s="17">
        <v>12552.78</v>
      </c>
      <c r="H675" s="17">
        <v>3859.98</v>
      </c>
      <c r="I675" s="17">
        <v>7745065.2599999998</v>
      </c>
      <c r="J675" s="15" t="s">
        <v>22</v>
      </c>
      <c r="K675" s="15" t="s">
        <v>18</v>
      </c>
      <c r="L675" s="9">
        <f>YEAR(E675)</f>
        <v>2021</v>
      </c>
      <c r="M675" s="11">
        <f t="shared" si="12"/>
        <v>2381607.66</v>
      </c>
    </row>
    <row r="676" spans="1:13" ht="20" customHeight="1" x14ac:dyDescent="0.15">
      <c r="A676" s="12"/>
      <c r="B676" s="13" t="s">
        <v>551</v>
      </c>
      <c r="C676" s="14" t="s">
        <v>57</v>
      </c>
      <c r="D676" s="15" t="s">
        <v>139</v>
      </c>
      <c r="E676" s="15" t="s">
        <v>583</v>
      </c>
      <c r="F676" s="16">
        <v>474</v>
      </c>
      <c r="G676" s="17">
        <v>10811.43</v>
      </c>
      <c r="H676" s="17">
        <v>3362.61</v>
      </c>
      <c r="I676" s="17">
        <v>5124617.82</v>
      </c>
      <c r="J676" s="15" t="s">
        <v>17</v>
      </c>
      <c r="K676" s="15" t="s">
        <v>18</v>
      </c>
      <c r="L676" s="9">
        <f>YEAR(E676)</f>
        <v>2021</v>
      </c>
      <c r="M676" s="11">
        <f t="shared" si="12"/>
        <v>1593877.1400000001</v>
      </c>
    </row>
    <row r="677" spans="1:13" ht="20" customHeight="1" x14ac:dyDescent="0.15">
      <c r="A677" s="12"/>
      <c r="B677" s="13" t="s">
        <v>551</v>
      </c>
      <c r="C677" s="14" t="s">
        <v>38</v>
      </c>
      <c r="D677" s="15" t="s">
        <v>114</v>
      </c>
      <c r="E677" s="15" t="s">
        <v>589</v>
      </c>
      <c r="F677" s="16">
        <v>999</v>
      </c>
      <c r="G677" s="17">
        <v>20493.759999999998</v>
      </c>
      <c r="H677" s="17">
        <v>8990.8700000000008</v>
      </c>
      <c r="I677" s="17">
        <v>20473266.239999998</v>
      </c>
      <c r="J677" s="15" t="s">
        <v>28</v>
      </c>
      <c r="K677" s="15" t="s">
        <v>18</v>
      </c>
      <c r="L677" s="9">
        <f>YEAR(E677)</f>
        <v>2021</v>
      </c>
      <c r="M677" s="11">
        <f t="shared" si="12"/>
        <v>8981879.1300000008</v>
      </c>
    </row>
    <row r="678" spans="1:13" ht="20" customHeight="1" x14ac:dyDescent="0.15">
      <c r="A678" s="12"/>
      <c r="B678" s="13" t="s">
        <v>551</v>
      </c>
      <c r="C678" s="14" t="s">
        <v>25</v>
      </c>
      <c r="D678" s="15" t="s">
        <v>114</v>
      </c>
      <c r="E678" s="15" t="s">
        <v>590</v>
      </c>
      <c r="F678" s="16">
        <v>914</v>
      </c>
      <c r="G678" s="17">
        <v>34678.879999999997</v>
      </c>
      <c r="H678" s="17">
        <v>3227.13</v>
      </c>
      <c r="I678" s="17">
        <v>31696496.32</v>
      </c>
      <c r="J678" s="15" t="s">
        <v>17</v>
      </c>
      <c r="K678" s="15" t="s">
        <v>18</v>
      </c>
      <c r="L678" s="9">
        <f>YEAR(E678)</f>
        <v>2021</v>
      </c>
      <c r="M678" s="11">
        <f t="shared" si="12"/>
        <v>2949596.8200000003</v>
      </c>
    </row>
    <row r="679" spans="1:13" ht="20" customHeight="1" x14ac:dyDescent="0.15">
      <c r="A679" s="12"/>
      <c r="B679" s="13" t="s">
        <v>551</v>
      </c>
      <c r="C679" s="14" t="s">
        <v>23</v>
      </c>
      <c r="D679" s="15" t="s">
        <v>114</v>
      </c>
      <c r="E679" s="15" t="s">
        <v>591</v>
      </c>
      <c r="F679" s="16">
        <v>673</v>
      </c>
      <c r="G679" s="17">
        <v>43898.69</v>
      </c>
      <c r="H679" s="17">
        <v>2563.04</v>
      </c>
      <c r="I679" s="17">
        <v>29543818.370000001</v>
      </c>
      <c r="J679" s="15" t="s">
        <v>17</v>
      </c>
      <c r="K679" s="15" t="s">
        <v>18</v>
      </c>
      <c r="L679" s="9">
        <f>YEAR(E679)</f>
        <v>2021</v>
      </c>
      <c r="M679" s="11">
        <f t="shared" si="12"/>
        <v>1724925.92</v>
      </c>
    </row>
    <row r="680" spans="1:13" ht="20" customHeight="1" x14ac:dyDescent="0.15">
      <c r="A680" s="12"/>
      <c r="B680" s="13" t="s">
        <v>551</v>
      </c>
      <c r="C680" s="14" t="s">
        <v>19</v>
      </c>
      <c r="D680" s="15" t="s">
        <v>70</v>
      </c>
      <c r="E680" s="15" t="s">
        <v>73</v>
      </c>
      <c r="F680" s="16">
        <v>957</v>
      </c>
      <c r="G680" s="17">
        <v>37340.11</v>
      </c>
      <c r="H680" s="17">
        <v>8532.3799999999992</v>
      </c>
      <c r="I680" s="17">
        <v>35734485.270000003</v>
      </c>
      <c r="J680" s="15" t="s">
        <v>17</v>
      </c>
      <c r="K680" s="15" t="s">
        <v>18</v>
      </c>
      <c r="L680" s="9">
        <f>YEAR(E680)</f>
        <v>2021</v>
      </c>
      <c r="M680" s="11">
        <f t="shared" si="12"/>
        <v>8165487.6599999992</v>
      </c>
    </row>
    <row r="681" spans="1:13" ht="20" customHeight="1" x14ac:dyDescent="0.15">
      <c r="A681" s="12"/>
      <c r="B681" s="13" t="s">
        <v>551</v>
      </c>
      <c r="C681" s="14" t="s">
        <v>14</v>
      </c>
      <c r="D681" s="15" t="s">
        <v>153</v>
      </c>
      <c r="E681" s="15" t="s">
        <v>73</v>
      </c>
      <c r="F681" s="16">
        <v>575</v>
      </c>
      <c r="G681" s="17">
        <v>10306.64</v>
      </c>
      <c r="H681" s="17">
        <v>4159.79</v>
      </c>
      <c r="I681" s="16">
        <v>5926318</v>
      </c>
      <c r="J681" s="15" t="s">
        <v>17</v>
      </c>
      <c r="K681" s="15" t="s">
        <v>18</v>
      </c>
      <c r="L681" s="9">
        <f>YEAR(E681)</f>
        <v>2021</v>
      </c>
      <c r="M681" s="11">
        <f t="shared" si="12"/>
        <v>2391879.25</v>
      </c>
    </row>
    <row r="682" spans="1:13" ht="20" customHeight="1" x14ac:dyDescent="0.15">
      <c r="A682" s="12"/>
      <c r="B682" s="13" t="s">
        <v>551</v>
      </c>
      <c r="C682" s="14" t="s">
        <v>19</v>
      </c>
      <c r="D682" s="15" t="s">
        <v>70</v>
      </c>
      <c r="E682" s="15" t="s">
        <v>598</v>
      </c>
      <c r="F682" s="16">
        <v>522</v>
      </c>
      <c r="G682" s="17">
        <v>19308.830000000002</v>
      </c>
      <c r="H682" s="17">
        <v>3240.13</v>
      </c>
      <c r="I682" s="17">
        <v>10079209.26</v>
      </c>
      <c r="J682" s="15" t="s">
        <v>28</v>
      </c>
      <c r="K682" s="15" t="s">
        <v>18</v>
      </c>
      <c r="L682" s="9">
        <f>YEAR(E682)</f>
        <v>2021</v>
      </c>
      <c r="M682" s="11">
        <f t="shared" si="12"/>
        <v>1691347.86</v>
      </c>
    </row>
    <row r="683" spans="1:13" ht="20" customHeight="1" x14ac:dyDescent="0.15">
      <c r="A683" s="12"/>
      <c r="B683" s="13" t="s">
        <v>551</v>
      </c>
      <c r="C683" s="14" t="s">
        <v>43</v>
      </c>
      <c r="D683" s="15" t="s">
        <v>70</v>
      </c>
      <c r="E683" s="15" t="s">
        <v>599</v>
      </c>
      <c r="F683" s="16">
        <v>797</v>
      </c>
      <c r="G683" s="17">
        <v>47976.47</v>
      </c>
      <c r="H683" s="17">
        <v>6541.42</v>
      </c>
      <c r="I683" s="17">
        <v>38237246.590000004</v>
      </c>
      <c r="J683" s="15" t="s">
        <v>17</v>
      </c>
      <c r="K683" s="15" t="s">
        <v>18</v>
      </c>
      <c r="L683" s="9">
        <f>YEAR(E683)</f>
        <v>2021</v>
      </c>
      <c r="M683" s="11">
        <f t="shared" si="12"/>
        <v>5213511.74</v>
      </c>
    </row>
    <row r="684" spans="1:13" ht="20" customHeight="1" x14ac:dyDescent="0.15">
      <c r="A684" s="12"/>
      <c r="B684" s="13" t="s">
        <v>551</v>
      </c>
      <c r="C684" s="14" t="s">
        <v>43</v>
      </c>
      <c r="D684" s="15" t="s">
        <v>70</v>
      </c>
      <c r="E684" s="15" t="s">
        <v>361</v>
      </c>
      <c r="F684" s="16">
        <v>626</v>
      </c>
      <c r="G684" s="17">
        <v>42679.03</v>
      </c>
      <c r="H684" s="17">
        <v>7839.31</v>
      </c>
      <c r="I684" s="17">
        <v>26717072.780000001</v>
      </c>
      <c r="J684" s="15" t="s">
        <v>30</v>
      </c>
      <c r="K684" s="15" t="s">
        <v>18</v>
      </c>
      <c r="L684" s="9">
        <f>YEAR(E684)</f>
        <v>2021</v>
      </c>
      <c r="M684" s="11">
        <f t="shared" si="12"/>
        <v>4907408.0600000005</v>
      </c>
    </row>
    <row r="685" spans="1:13" ht="20" customHeight="1" x14ac:dyDescent="0.15">
      <c r="A685" s="12"/>
      <c r="B685" s="13" t="s">
        <v>551</v>
      </c>
      <c r="C685" s="14" t="s">
        <v>79</v>
      </c>
      <c r="D685" s="15" t="s">
        <v>70</v>
      </c>
      <c r="E685" s="15" t="s">
        <v>605</v>
      </c>
      <c r="F685" s="16">
        <v>743</v>
      </c>
      <c r="G685" s="17">
        <v>24056.22</v>
      </c>
      <c r="H685" s="17">
        <v>9317.83</v>
      </c>
      <c r="I685" s="17">
        <v>17873771.460000001</v>
      </c>
      <c r="J685" s="15" t="s">
        <v>30</v>
      </c>
      <c r="K685" s="15" t="s">
        <v>18</v>
      </c>
      <c r="L685" s="9">
        <f>YEAR(E685)</f>
        <v>2021</v>
      </c>
      <c r="M685" s="11">
        <f t="shared" si="12"/>
        <v>6923147.6900000004</v>
      </c>
    </row>
    <row r="686" spans="1:13" ht="20" customHeight="1" x14ac:dyDescent="0.15">
      <c r="A686" s="12"/>
      <c r="B686" s="13" t="s">
        <v>551</v>
      </c>
      <c r="C686" s="14" t="s">
        <v>25</v>
      </c>
      <c r="D686" s="15" t="s">
        <v>89</v>
      </c>
      <c r="E686" s="15" t="s">
        <v>550</v>
      </c>
      <c r="F686" s="16">
        <v>455</v>
      </c>
      <c r="G686" s="17">
        <v>42779.72</v>
      </c>
      <c r="H686" s="17">
        <v>6985.57</v>
      </c>
      <c r="I686" s="19">
        <v>19464772.600000001</v>
      </c>
      <c r="J686" s="15" t="s">
        <v>17</v>
      </c>
      <c r="K686" s="15" t="s">
        <v>18</v>
      </c>
      <c r="L686" s="9">
        <f>YEAR(E686)</f>
        <v>2021</v>
      </c>
      <c r="M686" s="11">
        <f t="shared" si="12"/>
        <v>3178434.35</v>
      </c>
    </row>
    <row r="687" spans="1:13" ht="20" customHeight="1" x14ac:dyDescent="0.15">
      <c r="A687" s="12"/>
      <c r="B687" s="13" t="s">
        <v>551</v>
      </c>
      <c r="C687" s="14" t="s">
        <v>14</v>
      </c>
      <c r="D687" s="15" t="s">
        <v>153</v>
      </c>
      <c r="E687" s="15" t="s">
        <v>470</v>
      </c>
      <c r="F687" s="16">
        <v>425</v>
      </c>
      <c r="G687" s="17">
        <v>45040.57</v>
      </c>
      <c r="H687" s="17">
        <v>8443.98</v>
      </c>
      <c r="I687" s="17">
        <v>19142242.25</v>
      </c>
      <c r="J687" s="15" t="s">
        <v>17</v>
      </c>
      <c r="K687" s="15" t="s">
        <v>18</v>
      </c>
      <c r="L687" s="9">
        <f>YEAR(E687)</f>
        <v>2021</v>
      </c>
      <c r="M687" s="11">
        <f t="shared" si="12"/>
        <v>3588691.5</v>
      </c>
    </row>
    <row r="688" spans="1:13" ht="20" customHeight="1" x14ac:dyDescent="0.15">
      <c r="A688" s="12"/>
      <c r="B688" s="13" t="s">
        <v>551</v>
      </c>
      <c r="C688" s="14" t="s">
        <v>57</v>
      </c>
      <c r="D688" s="15" t="s">
        <v>153</v>
      </c>
      <c r="E688" s="15" t="s">
        <v>616</v>
      </c>
      <c r="F688" s="16">
        <v>473</v>
      </c>
      <c r="G688" s="17">
        <v>30671.94</v>
      </c>
      <c r="H688" s="17">
        <v>7740.41</v>
      </c>
      <c r="I688" s="17">
        <v>14507827.619999999</v>
      </c>
      <c r="J688" s="15" t="s">
        <v>17</v>
      </c>
      <c r="K688" s="15" t="s">
        <v>18</v>
      </c>
      <c r="L688" s="9">
        <f>YEAR(E688)</f>
        <v>2021</v>
      </c>
      <c r="M688" s="11">
        <f t="shared" si="12"/>
        <v>3661213.9299999997</v>
      </c>
    </row>
    <row r="689" spans="1:13" ht="20" customHeight="1" x14ac:dyDescent="0.15">
      <c r="A689" s="12"/>
      <c r="B689" s="13" t="s">
        <v>551</v>
      </c>
      <c r="C689" s="14" t="s">
        <v>14</v>
      </c>
      <c r="D689" s="15" t="s">
        <v>68</v>
      </c>
      <c r="E689" s="15" t="s">
        <v>619</v>
      </c>
      <c r="F689" s="16">
        <v>340</v>
      </c>
      <c r="G689" s="17">
        <v>32039.53</v>
      </c>
      <c r="H689" s="17">
        <v>4656.6099999999997</v>
      </c>
      <c r="I689" s="19">
        <v>10893440.199999999</v>
      </c>
      <c r="J689" s="15" t="s">
        <v>22</v>
      </c>
      <c r="K689" s="15" t="s">
        <v>18</v>
      </c>
      <c r="L689" s="9">
        <f>YEAR(E689)</f>
        <v>2021</v>
      </c>
      <c r="M689" s="11">
        <f t="shared" si="12"/>
        <v>1583247.4</v>
      </c>
    </row>
    <row r="690" spans="1:13" ht="20" customHeight="1" x14ac:dyDescent="0.15">
      <c r="A690" s="12"/>
      <c r="B690" s="13" t="s">
        <v>551</v>
      </c>
      <c r="C690" s="14" t="s">
        <v>23</v>
      </c>
      <c r="D690" s="15" t="s">
        <v>68</v>
      </c>
      <c r="E690" s="15" t="s">
        <v>620</v>
      </c>
      <c r="F690" s="16">
        <v>415</v>
      </c>
      <c r="G690" s="17">
        <v>45905.279999999999</v>
      </c>
      <c r="H690" s="17">
        <v>7271.19</v>
      </c>
      <c r="I690" s="19">
        <v>19050691.199999999</v>
      </c>
      <c r="J690" s="15" t="s">
        <v>17</v>
      </c>
      <c r="K690" s="15" t="s">
        <v>18</v>
      </c>
      <c r="L690" s="9">
        <f>YEAR(E690)</f>
        <v>2021</v>
      </c>
      <c r="M690" s="11">
        <f t="shared" si="12"/>
        <v>3017543.8499999996</v>
      </c>
    </row>
    <row r="691" spans="1:13" ht="20" customHeight="1" x14ac:dyDescent="0.15">
      <c r="A691" s="12"/>
      <c r="B691" s="13" t="s">
        <v>551</v>
      </c>
      <c r="C691" s="14" t="s">
        <v>23</v>
      </c>
      <c r="D691" s="15" t="s">
        <v>68</v>
      </c>
      <c r="E691" s="15" t="s">
        <v>346</v>
      </c>
      <c r="F691" s="16">
        <v>516</v>
      </c>
      <c r="G691" s="17">
        <v>48437.82</v>
      </c>
      <c r="H691" s="17">
        <v>7508.61</v>
      </c>
      <c r="I691" s="17">
        <v>24993915.120000001</v>
      </c>
      <c r="J691" s="15" t="s">
        <v>28</v>
      </c>
      <c r="K691" s="15" t="s">
        <v>18</v>
      </c>
      <c r="L691" s="9">
        <f>YEAR(E691)</f>
        <v>2021</v>
      </c>
      <c r="M691" s="11">
        <f t="shared" si="12"/>
        <v>3874442.76</v>
      </c>
    </row>
    <row r="692" spans="1:13" ht="20" customHeight="1" x14ac:dyDescent="0.15">
      <c r="A692" s="12"/>
      <c r="B692" s="13" t="s">
        <v>551</v>
      </c>
      <c r="C692" s="14" t="s">
        <v>19</v>
      </c>
      <c r="D692" s="15" t="s">
        <v>26</v>
      </c>
      <c r="E692" s="15" t="s">
        <v>627</v>
      </c>
      <c r="F692" s="16">
        <v>874</v>
      </c>
      <c r="G692" s="17">
        <v>31711.95</v>
      </c>
      <c r="H692" s="17">
        <v>2679.84</v>
      </c>
      <c r="I692" s="19">
        <v>27716244.300000001</v>
      </c>
      <c r="J692" s="15" t="s">
        <v>22</v>
      </c>
      <c r="K692" s="15" t="s">
        <v>18</v>
      </c>
      <c r="L692" s="9">
        <f>YEAR(E692)</f>
        <v>2021</v>
      </c>
      <c r="M692" s="11">
        <f t="shared" si="12"/>
        <v>2342180.16</v>
      </c>
    </row>
    <row r="693" spans="1:13" ht="20" customHeight="1" x14ac:dyDescent="0.15">
      <c r="A693" s="12"/>
      <c r="B693" s="13" t="s">
        <v>551</v>
      </c>
      <c r="C693" s="14" t="s">
        <v>38</v>
      </c>
      <c r="D693" s="15" t="s">
        <v>26</v>
      </c>
      <c r="E693" s="15" t="s">
        <v>629</v>
      </c>
      <c r="F693" s="16">
        <v>760</v>
      </c>
      <c r="G693" s="19">
        <v>21238.1</v>
      </c>
      <c r="H693" s="17">
        <v>8712.1299999999992</v>
      </c>
      <c r="I693" s="16">
        <v>16140956</v>
      </c>
      <c r="J693" s="15" t="s">
        <v>17</v>
      </c>
      <c r="K693" s="15" t="s">
        <v>18</v>
      </c>
      <c r="L693" s="9">
        <f>YEAR(E693)</f>
        <v>2021</v>
      </c>
      <c r="M693" s="11">
        <f t="shared" si="12"/>
        <v>6621218.7999999998</v>
      </c>
    </row>
    <row r="694" spans="1:13" ht="20" customHeight="1" x14ac:dyDescent="0.15">
      <c r="A694" s="12"/>
      <c r="B694" s="13" t="s">
        <v>551</v>
      </c>
      <c r="C694" s="14" t="s">
        <v>38</v>
      </c>
      <c r="D694" s="15" t="s">
        <v>26</v>
      </c>
      <c r="E694" s="15" t="s">
        <v>631</v>
      </c>
      <c r="F694" s="16">
        <v>564</v>
      </c>
      <c r="G694" s="17">
        <v>41667.730000000003</v>
      </c>
      <c r="H694" s="17">
        <v>8576.44</v>
      </c>
      <c r="I694" s="17">
        <v>23500599.719999999</v>
      </c>
      <c r="J694" s="15" t="s">
        <v>17</v>
      </c>
      <c r="K694" s="15" t="s">
        <v>18</v>
      </c>
      <c r="L694" s="9">
        <f>YEAR(E694)</f>
        <v>2021</v>
      </c>
      <c r="M694" s="11">
        <f t="shared" si="12"/>
        <v>4837112.16</v>
      </c>
    </row>
    <row r="695" spans="1:13" ht="20" customHeight="1" x14ac:dyDescent="0.15">
      <c r="A695" s="12"/>
      <c r="B695" s="13" t="s">
        <v>551</v>
      </c>
      <c r="C695" s="14" t="s">
        <v>25</v>
      </c>
      <c r="D695" s="15" t="s">
        <v>26</v>
      </c>
      <c r="E695" s="15" t="s">
        <v>82</v>
      </c>
      <c r="F695" s="16">
        <v>407</v>
      </c>
      <c r="G695" s="17">
        <v>24660.78</v>
      </c>
      <c r="H695" s="17">
        <v>5093.8500000000004</v>
      </c>
      <c r="I695" s="17">
        <v>10036937.460000001</v>
      </c>
      <c r="J695" s="15" t="s">
        <v>17</v>
      </c>
      <c r="K695" s="15" t="s">
        <v>18</v>
      </c>
      <c r="L695" s="9">
        <f>YEAR(E695)</f>
        <v>2021</v>
      </c>
      <c r="M695" s="11">
        <f t="shared" si="12"/>
        <v>2073196.9500000002</v>
      </c>
    </row>
    <row r="696" spans="1:13" ht="20" customHeight="1" x14ac:dyDescent="0.15">
      <c r="A696" s="12"/>
      <c r="B696" s="13" t="s">
        <v>551</v>
      </c>
      <c r="C696" s="14" t="s">
        <v>14</v>
      </c>
      <c r="D696" s="15" t="s">
        <v>107</v>
      </c>
      <c r="E696" s="15" t="s">
        <v>559</v>
      </c>
      <c r="F696" s="16">
        <v>316</v>
      </c>
      <c r="G696" s="17">
        <v>33608.720000000001</v>
      </c>
      <c r="H696" s="17">
        <v>8153.51</v>
      </c>
      <c r="I696" s="17">
        <v>10620355.52</v>
      </c>
      <c r="J696" s="15" t="s">
        <v>22</v>
      </c>
      <c r="K696" s="15" t="s">
        <v>18</v>
      </c>
      <c r="L696" s="9">
        <f>YEAR(E696)</f>
        <v>2022</v>
      </c>
      <c r="M696" s="11">
        <f t="shared" si="12"/>
        <v>2576509.16</v>
      </c>
    </row>
    <row r="697" spans="1:13" ht="20" customHeight="1" x14ac:dyDescent="0.15">
      <c r="A697" s="12"/>
      <c r="B697" s="13" t="s">
        <v>551</v>
      </c>
      <c r="C697" s="14" t="s">
        <v>19</v>
      </c>
      <c r="D697" s="15" t="s">
        <v>107</v>
      </c>
      <c r="E697" s="15" t="s">
        <v>561</v>
      </c>
      <c r="F697" s="16">
        <v>895</v>
      </c>
      <c r="G697" s="19">
        <v>44466.3</v>
      </c>
      <c r="H697" s="17">
        <v>6556.12</v>
      </c>
      <c r="I697" s="19">
        <v>39797338.5</v>
      </c>
      <c r="J697" s="15" t="s">
        <v>17</v>
      </c>
      <c r="K697" s="15" t="s">
        <v>18</v>
      </c>
      <c r="L697" s="9">
        <f>YEAR(E697)</f>
        <v>2022</v>
      </c>
      <c r="M697" s="11">
        <f t="shared" si="12"/>
        <v>5867727.3999999994</v>
      </c>
    </row>
    <row r="698" spans="1:13" ht="20" customHeight="1" x14ac:dyDescent="0.15">
      <c r="A698" s="12"/>
      <c r="B698" s="13" t="s">
        <v>551</v>
      </c>
      <c r="C698" s="14" t="s">
        <v>57</v>
      </c>
      <c r="D698" s="15" t="s">
        <v>107</v>
      </c>
      <c r="E698" s="15" t="s">
        <v>276</v>
      </c>
      <c r="F698" s="16">
        <v>249</v>
      </c>
      <c r="G698" s="17">
        <v>28428.84</v>
      </c>
      <c r="H698" s="17">
        <v>5844.67</v>
      </c>
      <c r="I698" s="17">
        <v>7078781.1600000001</v>
      </c>
      <c r="J698" s="15" t="s">
        <v>17</v>
      </c>
      <c r="K698" s="15" t="s">
        <v>18</v>
      </c>
      <c r="L698" s="9">
        <f>YEAR(E698)</f>
        <v>2022</v>
      </c>
      <c r="M698" s="11">
        <f t="shared" si="12"/>
        <v>1455322.83</v>
      </c>
    </row>
    <row r="699" spans="1:13" ht="20" customHeight="1" x14ac:dyDescent="0.15">
      <c r="A699" s="12"/>
      <c r="B699" s="13" t="s">
        <v>551</v>
      </c>
      <c r="C699" s="14" t="s">
        <v>57</v>
      </c>
      <c r="D699" s="15" t="s">
        <v>53</v>
      </c>
      <c r="E699" s="15" t="s">
        <v>567</v>
      </c>
      <c r="F699" s="16">
        <v>151</v>
      </c>
      <c r="G699" s="17">
        <v>11379.89</v>
      </c>
      <c r="H699" s="17">
        <v>7761.71</v>
      </c>
      <c r="I699" s="17">
        <v>1718363.39</v>
      </c>
      <c r="J699" s="15" t="s">
        <v>17</v>
      </c>
      <c r="K699" s="15" t="s">
        <v>18</v>
      </c>
      <c r="L699" s="9">
        <f>YEAR(E699)</f>
        <v>2022</v>
      </c>
      <c r="M699" s="11">
        <f t="shared" si="12"/>
        <v>1172018.21</v>
      </c>
    </row>
    <row r="700" spans="1:13" ht="20" customHeight="1" x14ac:dyDescent="0.15">
      <c r="A700" s="12"/>
      <c r="B700" s="13" t="s">
        <v>551</v>
      </c>
      <c r="C700" s="14" t="s">
        <v>14</v>
      </c>
      <c r="D700" s="15" t="s">
        <v>53</v>
      </c>
      <c r="E700" s="15" t="s">
        <v>568</v>
      </c>
      <c r="F700" s="16">
        <v>926</v>
      </c>
      <c r="G700" s="17">
        <v>24045.41</v>
      </c>
      <c r="H700" s="17">
        <v>4426.1400000000003</v>
      </c>
      <c r="I700" s="17">
        <v>22266049.66</v>
      </c>
      <c r="J700" s="15" t="s">
        <v>30</v>
      </c>
      <c r="K700" s="15" t="s">
        <v>18</v>
      </c>
      <c r="L700" s="9">
        <f>YEAR(E700)</f>
        <v>2022</v>
      </c>
      <c r="M700" s="11">
        <f t="shared" si="12"/>
        <v>4098605.64</v>
      </c>
    </row>
    <row r="701" spans="1:13" ht="20" customHeight="1" x14ac:dyDescent="0.15">
      <c r="A701" s="12"/>
      <c r="B701" s="13" t="s">
        <v>551</v>
      </c>
      <c r="C701" s="14" t="s">
        <v>43</v>
      </c>
      <c r="D701" s="15" t="s">
        <v>53</v>
      </c>
      <c r="E701" s="15" t="s">
        <v>571</v>
      </c>
      <c r="F701" s="16">
        <v>486</v>
      </c>
      <c r="G701" s="17">
        <v>38153.089999999997</v>
      </c>
      <c r="H701" s="17">
        <v>9878.35</v>
      </c>
      <c r="I701" s="17">
        <v>18542401.739999998</v>
      </c>
      <c r="J701" s="15" t="s">
        <v>28</v>
      </c>
      <c r="K701" s="15" t="s">
        <v>18</v>
      </c>
      <c r="L701" s="9">
        <f>YEAR(E701)</f>
        <v>2022</v>
      </c>
      <c r="M701" s="11">
        <f t="shared" si="12"/>
        <v>4800878.1000000006</v>
      </c>
    </row>
    <row r="702" spans="1:13" ht="20" customHeight="1" x14ac:dyDescent="0.15">
      <c r="A702" s="12"/>
      <c r="B702" s="13" t="s">
        <v>551</v>
      </c>
      <c r="C702" s="14" t="s">
        <v>23</v>
      </c>
      <c r="D702" s="15" t="s">
        <v>15</v>
      </c>
      <c r="E702" s="15" t="s">
        <v>576</v>
      </c>
      <c r="F702" s="16">
        <v>167</v>
      </c>
      <c r="G702" s="17">
        <v>22070.13</v>
      </c>
      <c r="H702" s="17">
        <v>2572.19</v>
      </c>
      <c r="I702" s="17">
        <v>3685711.71</v>
      </c>
      <c r="J702" s="15" t="s">
        <v>30</v>
      </c>
      <c r="K702" s="15" t="s">
        <v>18</v>
      </c>
      <c r="L702" s="9">
        <f>YEAR(E702)</f>
        <v>2022</v>
      </c>
      <c r="M702" s="11">
        <f t="shared" si="12"/>
        <v>429555.73</v>
      </c>
    </row>
    <row r="703" spans="1:13" ht="20" customHeight="1" x14ac:dyDescent="0.15">
      <c r="A703" s="12"/>
      <c r="B703" s="13" t="s">
        <v>551</v>
      </c>
      <c r="C703" s="14" t="s">
        <v>14</v>
      </c>
      <c r="D703" s="15" t="s">
        <v>15</v>
      </c>
      <c r="E703" s="15" t="s">
        <v>350</v>
      </c>
      <c r="F703" s="16">
        <v>779</v>
      </c>
      <c r="G703" s="19">
        <v>26423.8</v>
      </c>
      <c r="H703" s="17">
        <v>2626.87</v>
      </c>
      <c r="I703" s="19">
        <v>20584140.199999999</v>
      </c>
      <c r="J703" s="15" t="s">
        <v>17</v>
      </c>
      <c r="K703" s="15" t="s">
        <v>18</v>
      </c>
      <c r="L703" s="9">
        <f>YEAR(E703)</f>
        <v>2022</v>
      </c>
      <c r="M703" s="11">
        <f t="shared" si="12"/>
        <v>2046331.73</v>
      </c>
    </row>
    <row r="704" spans="1:13" ht="20" customHeight="1" x14ac:dyDescent="0.15">
      <c r="A704" s="12"/>
      <c r="B704" s="13" t="s">
        <v>551</v>
      </c>
      <c r="C704" s="14" t="s">
        <v>35</v>
      </c>
      <c r="D704" s="15" t="s">
        <v>15</v>
      </c>
      <c r="E704" s="15" t="s">
        <v>579</v>
      </c>
      <c r="F704" s="16">
        <v>933</v>
      </c>
      <c r="G704" s="17">
        <v>18835.79</v>
      </c>
      <c r="H704" s="17">
        <v>6247.48</v>
      </c>
      <c r="I704" s="17">
        <v>17573792.07</v>
      </c>
      <c r="J704" s="15" t="s">
        <v>28</v>
      </c>
      <c r="K704" s="15" t="s">
        <v>18</v>
      </c>
      <c r="L704" s="9">
        <f>YEAR(E704)</f>
        <v>2022</v>
      </c>
      <c r="M704" s="11">
        <f t="shared" si="12"/>
        <v>5828898.8399999999</v>
      </c>
    </row>
    <row r="705" spans="1:13" ht="20" customHeight="1" x14ac:dyDescent="0.15">
      <c r="A705" s="12"/>
      <c r="B705" s="13" t="s">
        <v>551</v>
      </c>
      <c r="C705" s="14" t="s">
        <v>43</v>
      </c>
      <c r="D705" s="15" t="s">
        <v>15</v>
      </c>
      <c r="E705" s="15" t="s">
        <v>51</v>
      </c>
      <c r="F705" s="16">
        <v>103</v>
      </c>
      <c r="G705" s="19">
        <v>12852.2</v>
      </c>
      <c r="H705" s="19">
        <v>8992.5</v>
      </c>
      <c r="I705" s="19">
        <v>1323776.6000000001</v>
      </c>
      <c r="J705" s="15" t="s">
        <v>17</v>
      </c>
      <c r="K705" s="15" t="s">
        <v>18</v>
      </c>
      <c r="L705" s="9">
        <f>YEAR(E705)</f>
        <v>2022</v>
      </c>
      <c r="M705" s="11">
        <f t="shared" si="12"/>
        <v>926227.5</v>
      </c>
    </row>
    <row r="706" spans="1:13" ht="20" customHeight="1" x14ac:dyDescent="0.15">
      <c r="A706" s="12"/>
      <c r="B706" s="13" t="s">
        <v>551</v>
      </c>
      <c r="C706" s="14" t="s">
        <v>14</v>
      </c>
      <c r="D706" s="15" t="s">
        <v>114</v>
      </c>
      <c r="E706" s="15" t="s">
        <v>592</v>
      </c>
      <c r="F706" s="16">
        <v>608</v>
      </c>
      <c r="G706" s="19">
        <v>28314.400000000001</v>
      </c>
      <c r="H706" s="17">
        <v>6615.26</v>
      </c>
      <c r="I706" s="19">
        <v>17215155.199999999</v>
      </c>
      <c r="J706" s="15" t="s">
        <v>17</v>
      </c>
      <c r="K706" s="15" t="s">
        <v>18</v>
      </c>
      <c r="L706" s="9">
        <f>YEAR(E706)</f>
        <v>2022</v>
      </c>
      <c r="M706" s="11">
        <f t="shared" si="12"/>
        <v>4022078.08</v>
      </c>
    </row>
    <row r="707" spans="1:13" ht="20" customHeight="1" x14ac:dyDescent="0.15">
      <c r="A707" s="12"/>
      <c r="B707" s="13" t="s">
        <v>551</v>
      </c>
      <c r="C707" s="14" t="s">
        <v>14</v>
      </c>
      <c r="D707" s="15" t="s">
        <v>114</v>
      </c>
      <c r="E707" s="15" t="s">
        <v>594</v>
      </c>
      <c r="F707" s="16">
        <v>384</v>
      </c>
      <c r="G707" s="17">
        <v>21222.42</v>
      </c>
      <c r="H707" s="17">
        <v>4490.5600000000004</v>
      </c>
      <c r="I707" s="17">
        <v>8149409.2800000003</v>
      </c>
      <c r="J707" s="15" t="s">
        <v>30</v>
      </c>
      <c r="K707" s="15" t="s">
        <v>18</v>
      </c>
      <c r="L707" s="9">
        <f>YEAR(E707)</f>
        <v>2022</v>
      </c>
      <c r="M707" s="11">
        <f t="shared" si="12"/>
        <v>1724375.04</v>
      </c>
    </row>
    <row r="708" spans="1:13" ht="20" customHeight="1" x14ac:dyDescent="0.15">
      <c r="A708" s="12"/>
      <c r="B708" s="13" t="s">
        <v>551</v>
      </c>
      <c r="C708" s="14" t="s">
        <v>35</v>
      </c>
      <c r="D708" s="15" t="s">
        <v>114</v>
      </c>
      <c r="E708" s="15" t="s">
        <v>595</v>
      </c>
      <c r="F708" s="16">
        <v>825</v>
      </c>
      <c r="G708" s="17">
        <v>44517.66</v>
      </c>
      <c r="H708" s="17">
        <v>7496.94</v>
      </c>
      <c r="I708" s="19">
        <v>36727069.5</v>
      </c>
      <c r="J708" s="15" t="s">
        <v>17</v>
      </c>
      <c r="K708" s="15" t="s">
        <v>18</v>
      </c>
      <c r="L708" s="9">
        <f>YEAR(E708)</f>
        <v>2022</v>
      </c>
      <c r="M708" s="11">
        <f t="shared" si="12"/>
        <v>6184975.5</v>
      </c>
    </row>
    <row r="709" spans="1:13" ht="20" customHeight="1" x14ac:dyDescent="0.15">
      <c r="A709" s="12"/>
      <c r="B709" s="13" t="s">
        <v>551</v>
      </c>
      <c r="C709" s="14" t="s">
        <v>43</v>
      </c>
      <c r="D709" s="15" t="s">
        <v>70</v>
      </c>
      <c r="E709" s="15" t="s">
        <v>601</v>
      </c>
      <c r="F709" s="16">
        <v>883</v>
      </c>
      <c r="G709" s="17">
        <v>28437.69</v>
      </c>
      <c r="H709" s="17">
        <v>8368.84</v>
      </c>
      <c r="I709" s="17">
        <v>25110480.27</v>
      </c>
      <c r="J709" s="15" t="s">
        <v>17</v>
      </c>
      <c r="K709" s="15" t="s">
        <v>18</v>
      </c>
      <c r="L709" s="9">
        <f>YEAR(E709)</f>
        <v>2022</v>
      </c>
      <c r="M709" s="11">
        <f t="shared" ref="M709:M772" si="13">H709*F709</f>
        <v>7389685.7199999997</v>
      </c>
    </row>
    <row r="710" spans="1:13" ht="20" customHeight="1" x14ac:dyDescent="0.15">
      <c r="A710" s="12"/>
      <c r="B710" s="13" t="s">
        <v>551</v>
      </c>
      <c r="C710" s="14" t="s">
        <v>19</v>
      </c>
      <c r="D710" s="15" t="s">
        <v>70</v>
      </c>
      <c r="E710" s="15" t="s">
        <v>603</v>
      </c>
      <c r="F710" s="16">
        <v>386</v>
      </c>
      <c r="G710" s="17">
        <v>21185.94</v>
      </c>
      <c r="H710" s="17">
        <v>4796.95</v>
      </c>
      <c r="I710" s="17">
        <v>8177772.8399999999</v>
      </c>
      <c r="J710" s="15" t="s">
        <v>17</v>
      </c>
      <c r="K710" s="15" t="s">
        <v>18</v>
      </c>
      <c r="L710" s="9">
        <f>YEAR(E710)</f>
        <v>2022</v>
      </c>
      <c r="M710" s="11">
        <f t="shared" si="13"/>
        <v>1851622.7</v>
      </c>
    </row>
    <row r="711" spans="1:13" ht="20" customHeight="1" x14ac:dyDescent="0.15">
      <c r="A711" s="12"/>
      <c r="B711" s="13" t="s">
        <v>551</v>
      </c>
      <c r="C711" s="14" t="s">
        <v>23</v>
      </c>
      <c r="D711" s="15" t="s">
        <v>89</v>
      </c>
      <c r="E711" s="15" t="s">
        <v>527</v>
      </c>
      <c r="F711" s="16">
        <v>609</v>
      </c>
      <c r="G711" s="17">
        <v>26243.24</v>
      </c>
      <c r="H711" s="17">
        <v>2186.16</v>
      </c>
      <c r="I711" s="17">
        <v>15982133.16</v>
      </c>
      <c r="J711" s="15" t="s">
        <v>22</v>
      </c>
      <c r="K711" s="15" t="s">
        <v>18</v>
      </c>
      <c r="L711" s="9">
        <f>YEAR(E711)</f>
        <v>2022</v>
      </c>
      <c r="M711" s="11">
        <f t="shared" si="13"/>
        <v>1331371.44</v>
      </c>
    </row>
    <row r="712" spans="1:13" ht="20" customHeight="1" x14ac:dyDescent="0.15">
      <c r="A712" s="12"/>
      <c r="B712" s="13" t="s">
        <v>551</v>
      </c>
      <c r="C712" s="14" t="s">
        <v>25</v>
      </c>
      <c r="D712" s="15" t="s">
        <v>26</v>
      </c>
      <c r="E712" s="15" t="s">
        <v>527</v>
      </c>
      <c r="F712" s="16">
        <v>643</v>
      </c>
      <c r="G712" s="19">
        <v>49198.6</v>
      </c>
      <c r="H712" s="17">
        <v>9700.9500000000007</v>
      </c>
      <c r="I712" s="19">
        <v>31634699.800000001</v>
      </c>
      <c r="J712" s="15" t="s">
        <v>30</v>
      </c>
      <c r="K712" s="15" t="s">
        <v>18</v>
      </c>
      <c r="L712" s="9">
        <f>YEAR(E712)</f>
        <v>2022</v>
      </c>
      <c r="M712" s="11">
        <f t="shared" si="13"/>
        <v>6237710.8500000006</v>
      </c>
    </row>
    <row r="713" spans="1:13" ht="20" customHeight="1" x14ac:dyDescent="0.15">
      <c r="A713" s="12"/>
      <c r="B713" s="13" t="s">
        <v>551</v>
      </c>
      <c r="C713" s="14" t="s">
        <v>23</v>
      </c>
      <c r="D713" s="15" t="s">
        <v>89</v>
      </c>
      <c r="E713" s="15" t="s">
        <v>240</v>
      </c>
      <c r="F713" s="16">
        <v>354</v>
      </c>
      <c r="G713" s="19">
        <v>29803.5</v>
      </c>
      <c r="H713" s="17">
        <v>8893.66</v>
      </c>
      <c r="I713" s="16">
        <v>10550439</v>
      </c>
      <c r="J713" s="15" t="s">
        <v>28</v>
      </c>
      <c r="K713" s="15" t="s">
        <v>18</v>
      </c>
      <c r="L713" s="9">
        <f>YEAR(E713)</f>
        <v>2022</v>
      </c>
      <c r="M713" s="11">
        <f t="shared" si="13"/>
        <v>3148355.64</v>
      </c>
    </row>
    <row r="714" spans="1:13" ht="20" customHeight="1" x14ac:dyDescent="0.15">
      <c r="A714" s="12"/>
      <c r="B714" s="13" t="s">
        <v>551</v>
      </c>
      <c r="C714" s="14" t="s">
        <v>23</v>
      </c>
      <c r="D714" s="15" t="s">
        <v>89</v>
      </c>
      <c r="E714" s="15" t="s">
        <v>322</v>
      </c>
      <c r="F714" s="16">
        <v>394</v>
      </c>
      <c r="G714" s="17">
        <v>46216.74</v>
      </c>
      <c r="H714" s="17">
        <v>4748.54</v>
      </c>
      <c r="I714" s="17">
        <v>18209395.559999999</v>
      </c>
      <c r="J714" s="15" t="s">
        <v>17</v>
      </c>
      <c r="K714" s="15" t="s">
        <v>18</v>
      </c>
      <c r="L714" s="9">
        <f>YEAR(E714)</f>
        <v>2022</v>
      </c>
      <c r="M714" s="11">
        <f t="shared" si="13"/>
        <v>1870924.76</v>
      </c>
    </row>
    <row r="715" spans="1:13" ht="20" customHeight="1" x14ac:dyDescent="0.15">
      <c r="A715" s="12"/>
      <c r="B715" s="13" t="s">
        <v>551</v>
      </c>
      <c r="C715" s="14" t="s">
        <v>31</v>
      </c>
      <c r="D715" s="15" t="s">
        <v>89</v>
      </c>
      <c r="E715" s="15" t="s">
        <v>610</v>
      </c>
      <c r="F715" s="16">
        <v>539</v>
      </c>
      <c r="G715" s="17">
        <v>23220.19</v>
      </c>
      <c r="H715" s="19">
        <v>4742.1000000000004</v>
      </c>
      <c r="I715" s="17">
        <v>12515682.41</v>
      </c>
      <c r="J715" s="15" t="s">
        <v>17</v>
      </c>
      <c r="K715" s="15" t="s">
        <v>18</v>
      </c>
      <c r="L715" s="9">
        <f>YEAR(E715)</f>
        <v>2022</v>
      </c>
      <c r="M715" s="11">
        <f t="shared" si="13"/>
        <v>2555991.9000000004</v>
      </c>
    </row>
    <row r="716" spans="1:13" ht="20" customHeight="1" x14ac:dyDescent="0.15">
      <c r="A716" s="12"/>
      <c r="B716" s="13" t="s">
        <v>551</v>
      </c>
      <c r="C716" s="14" t="s">
        <v>23</v>
      </c>
      <c r="D716" s="15" t="s">
        <v>153</v>
      </c>
      <c r="E716" s="15" t="s">
        <v>615</v>
      </c>
      <c r="F716" s="16">
        <v>708</v>
      </c>
      <c r="G716" s="17">
        <v>30535.43</v>
      </c>
      <c r="H716" s="17">
        <v>9607.32</v>
      </c>
      <c r="I716" s="17">
        <v>21619084.440000001</v>
      </c>
      <c r="J716" s="15" t="s">
        <v>22</v>
      </c>
      <c r="K716" s="15" t="s">
        <v>18</v>
      </c>
      <c r="L716" s="9">
        <f>YEAR(E716)</f>
        <v>2022</v>
      </c>
      <c r="M716" s="11">
        <f t="shared" si="13"/>
        <v>6801982.5599999996</v>
      </c>
    </row>
    <row r="717" spans="1:13" ht="20" customHeight="1" x14ac:dyDescent="0.15">
      <c r="A717" s="12"/>
      <c r="B717" s="13" t="s">
        <v>551</v>
      </c>
      <c r="C717" s="14" t="s">
        <v>19</v>
      </c>
      <c r="D717" s="15" t="s">
        <v>153</v>
      </c>
      <c r="E717" s="15" t="s">
        <v>617</v>
      </c>
      <c r="F717" s="16">
        <v>780</v>
      </c>
      <c r="G717" s="17">
        <v>16243.24</v>
      </c>
      <c r="H717" s="17">
        <v>7099.21</v>
      </c>
      <c r="I717" s="19">
        <v>12669727.199999999</v>
      </c>
      <c r="J717" s="15" t="s">
        <v>22</v>
      </c>
      <c r="K717" s="15" t="s">
        <v>18</v>
      </c>
      <c r="L717" s="9">
        <f>YEAR(E717)</f>
        <v>2022</v>
      </c>
      <c r="M717" s="11">
        <f t="shared" si="13"/>
        <v>5537383.7999999998</v>
      </c>
    </row>
    <row r="718" spans="1:13" ht="20" customHeight="1" x14ac:dyDescent="0.15">
      <c r="A718" s="12"/>
      <c r="B718" s="13" t="s">
        <v>551</v>
      </c>
      <c r="C718" s="14" t="s">
        <v>23</v>
      </c>
      <c r="D718" s="15" t="s">
        <v>68</v>
      </c>
      <c r="E718" s="15" t="s">
        <v>618</v>
      </c>
      <c r="F718" s="16">
        <v>538</v>
      </c>
      <c r="G718" s="17">
        <v>16103.22</v>
      </c>
      <c r="H718" s="17">
        <v>9497.2900000000009</v>
      </c>
      <c r="I718" s="17">
        <v>8663532.3599999994</v>
      </c>
      <c r="J718" s="15" t="s">
        <v>17</v>
      </c>
      <c r="K718" s="15" t="s">
        <v>18</v>
      </c>
      <c r="L718" s="9">
        <f>YEAR(E718)</f>
        <v>2022</v>
      </c>
      <c r="M718" s="11">
        <f t="shared" si="13"/>
        <v>5109542.0200000005</v>
      </c>
    </row>
    <row r="719" spans="1:13" ht="20" customHeight="1" x14ac:dyDescent="0.15">
      <c r="A719" s="12"/>
      <c r="B719" s="13" t="s">
        <v>551</v>
      </c>
      <c r="C719" s="14" t="s">
        <v>38</v>
      </c>
      <c r="D719" s="15" t="s">
        <v>68</v>
      </c>
      <c r="E719" s="15" t="s">
        <v>348</v>
      </c>
      <c r="F719" s="16">
        <v>426</v>
      </c>
      <c r="G719" s="17">
        <v>27262.69</v>
      </c>
      <c r="H719" s="17">
        <v>8439.65</v>
      </c>
      <c r="I719" s="17">
        <v>11613905.939999999</v>
      </c>
      <c r="J719" s="15" t="s">
        <v>17</v>
      </c>
      <c r="K719" s="15" t="s">
        <v>18</v>
      </c>
      <c r="L719" s="9">
        <f>YEAR(E719)</f>
        <v>2022</v>
      </c>
      <c r="M719" s="11">
        <f t="shared" si="13"/>
        <v>3595290.9</v>
      </c>
    </row>
    <row r="720" spans="1:13" ht="20" customHeight="1" x14ac:dyDescent="0.15">
      <c r="A720" s="12"/>
      <c r="B720" s="13" t="s">
        <v>551</v>
      </c>
      <c r="C720" s="14" t="s">
        <v>57</v>
      </c>
      <c r="D720" s="15" t="s">
        <v>68</v>
      </c>
      <c r="E720" s="15" t="s">
        <v>626</v>
      </c>
      <c r="F720" s="16">
        <v>346</v>
      </c>
      <c r="G720" s="17">
        <v>43082.11</v>
      </c>
      <c r="H720" s="17">
        <v>9731.66</v>
      </c>
      <c r="I720" s="17">
        <v>14906410.060000001</v>
      </c>
      <c r="J720" s="15" t="s">
        <v>17</v>
      </c>
      <c r="K720" s="15" t="s">
        <v>18</v>
      </c>
      <c r="L720" s="9">
        <f>YEAR(E720)</f>
        <v>2022</v>
      </c>
      <c r="M720" s="11">
        <f t="shared" si="13"/>
        <v>3367154.36</v>
      </c>
    </row>
    <row r="721" spans="1:13" ht="20" customHeight="1" x14ac:dyDescent="0.15">
      <c r="A721" s="12"/>
      <c r="B721" s="13" t="s">
        <v>551</v>
      </c>
      <c r="C721" s="14" t="s">
        <v>23</v>
      </c>
      <c r="D721" s="15" t="s">
        <v>26</v>
      </c>
      <c r="E721" s="15" t="s">
        <v>630</v>
      </c>
      <c r="F721" s="16">
        <v>253</v>
      </c>
      <c r="G721" s="17">
        <v>13931.93</v>
      </c>
      <c r="H721" s="17">
        <v>2641.17</v>
      </c>
      <c r="I721" s="17">
        <v>3524778.29</v>
      </c>
      <c r="J721" s="15" t="s">
        <v>28</v>
      </c>
      <c r="K721" s="15" t="s">
        <v>18</v>
      </c>
      <c r="L721" s="9">
        <f>YEAR(E721)</f>
        <v>2022</v>
      </c>
      <c r="M721" s="11">
        <f t="shared" si="13"/>
        <v>668216.01</v>
      </c>
    </row>
    <row r="722" spans="1:13" ht="20" customHeight="1" x14ac:dyDescent="0.15">
      <c r="A722" s="30" t="s">
        <v>551</v>
      </c>
      <c r="B722" s="13" t="s">
        <v>551</v>
      </c>
      <c r="C722" s="14" t="s">
        <v>19</v>
      </c>
      <c r="D722" s="15" t="s">
        <v>107</v>
      </c>
      <c r="E722" s="15" t="s">
        <v>552</v>
      </c>
      <c r="F722" s="16">
        <v>872</v>
      </c>
      <c r="G722" s="17">
        <v>12470.14</v>
      </c>
      <c r="H722" s="17">
        <v>4780.03</v>
      </c>
      <c r="I722" s="17">
        <v>10873962.08</v>
      </c>
      <c r="J722" s="15" t="s">
        <v>28</v>
      </c>
      <c r="K722" s="15" t="s">
        <v>18</v>
      </c>
      <c r="L722" s="9">
        <f>YEAR(E722)</f>
        <v>2023</v>
      </c>
      <c r="M722" s="11">
        <f t="shared" si="13"/>
        <v>4168186.1599999997</v>
      </c>
    </row>
    <row r="723" spans="1:13" ht="20" customHeight="1" x14ac:dyDescent="0.15">
      <c r="A723" s="12"/>
      <c r="B723" s="13" t="s">
        <v>551</v>
      </c>
      <c r="C723" s="14" t="s">
        <v>38</v>
      </c>
      <c r="D723" s="15" t="s">
        <v>26</v>
      </c>
      <c r="E723" s="15" t="s">
        <v>552</v>
      </c>
      <c r="F723" s="16">
        <v>104</v>
      </c>
      <c r="G723" s="17">
        <v>40095.35</v>
      </c>
      <c r="H723" s="17">
        <v>5633.91</v>
      </c>
      <c r="I723" s="19">
        <v>4169916.4</v>
      </c>
      <c r="J723" s="15" t="s">
        <v>17</v>
      </c>
      <c r="K723" s="15" t="s">
        <v>18</v>
      </c>
      <c r="L723" s="9">
        <f>YEAR(E723)</f>
        <v>2023</v>
      </c>
      <c r="M723" s="11">
        <f t="shared" si="13"/>
        <v>585926.64</v>
      </c>
    </row>
    <row r="724" spans="1:13" ht="20" customHeight="1" x14ac:dyDescent="0.15">
      <c r="A724" s="12"/>
      <c r="B724" s="13" t="s">
        <v>551</v>
      </c>
      <c r="C724" s="14" t="s">
        <v>31</v>
      </c>
      <c r="D724" s="15" t="s">
        <v>107</v>
      </c>
      <c r="E724" s="15" t="s">
        <v>556</v>
      </c>
      <c r="F724" s="16">
        <v>828</v>
      </c>
      <c r="G724" s="17">
        <v>33820.94</v>
      </c>
      <c r="H724" s="17">
        <v>4963.47</v>
      </c>
      <c r="I724" s="17">
        <v>28003738.32</v>
      </c>
      <c r="J724" s="15" t="s">
        <v>17</v>
      </c>
      <c r="K724" s="15" t="s">
        <v>18</v>
      </c>
      <c r="L724" s="9">
        <f>YEAR(E724)</f>
        <v>2023</v>
      </c>
      <c r="M724" s="11">
        <f t="shared" si="13"/>
        <v>4109753.16</v>
      </c>
    </row>
    <row r="725" spans="1:13" ht="20" customHeight="1" x14ac:dyDescent="0.15">
      <c r="A725" s="12"/>
      <c r="B725" s="13" t="s">
        <v>551</v>
      </c>
      <c r="C725" s="14" t="s">
        <v>38</v>
      </c>
      <c r="D725" s="15" t="s">
        <v>107</v>
      </c>
      <c r="E725" s="15" t="s">
        <v>562</v>
      </c>
      <c r="F725" s="16">
        <v>893</v>
      </c>
      <c r="G725" s="17">
        <v>32511.33</v>
      </c>
      <c r="H725" s="17">
        <v>6398.44</v>
      </c>
      <c r="I725" s="17">
        <v>29032617.690000001</v>
      </c>
      <c r="J725" s="15" t="s">
        <v>17</v>
      </c>
      <c r="K725" s="15" t="s">
        <v>18</v>
      </c>
      <c r="L725" s="9">
        <f>YEAR(E725)</f>
        <v>2023</v>
      </c>
      <c r="M725" s="11">
        <f t="shared" si="13"/>
        <v>5713806.9199999999</v>
      </c>
    </row>
    <row r="726" spans="1:13" ht="20" customHeight="1" x14ac:dyDescent="0.15">
      <c r="A726" s="12"/>
      <c r="B726" s="13" t="s">
        <v>551</v>
      </c>
      <c r="C726" s="14" t="s">
        <v>38</v>
      </c>
      <c r="D726" s="15" t="s">
        <v>107</v>
      </c>
      <c r="E726" s="15" t="s">
        <v>563</v>
      </c>
      <c r="F726" s="16">
        <v>878</v>
      </c>
      <c r="G726" s="17">
        <v>38183.620000000003</v>
      </c>
      <c r="H726" s="17">
        <v>5032.49</v>
      </c>
      <c r="I726" s="17">
        <v>33525218.359999999</v>
      </c>
      <c r="J726" s="15" t="s">
        <v>17</v>
      </c>
      <c r="K726" s="15" t="s">
        <v>18</v>
      </c>
      <c r="L726" s="9">
        <f>YEAR(E726)</f>
        <v>2023</v>
      </c>
      <c r="M726" s="11">
        <f t="shared" si="13"/>
        <v>4418526.22</v>
      </c>
    </row>
    <row r="727" spans="1:13" ht="20" customHeight="1" x14ac:dyDescent="0.15">
      <c r="A727" s="12"/>
      <c r="B727" s="13" t="s">
        <v>551</v>
      </c>
      <c r="C727" s="14" t="s">
        <v>14</v>
      </c>
      <c r="D727" s="15" t="s">
        <v>107</v>
      </c>
      <c r="E727" s="15" t="s">
        <v>403</v>
      </c>
      <c r="F727" s="16">
        <v>700</v>
      </c>
      <c r="G727" s="17">
        <v>24041.35</v>
      </c>
      <c r="H727" s="17">
        <v>3922.05</v>
      </c>
      <c r="I727" s="16">
        <v>16828945</v>
      </c>
      <c r="J727" s="15" t="s">
        <v>17</v>
      </c>
      <c r="K727" s="15" t="s">
        <v>18</v>
      </c>
      <c r="L727" s="9">
        <f>YEAR(E727)</f>
        <v>2023</v>
      </c>
      <c r="M727" s="11">
        <f t="shared" si="13"/>
        <v>2745435</v>
      </c>
    </row>
    <row r="728" spans="1:13" ht="20" customHeight="1" x14ac:dyDescent="0.15">
      <c r="A728" s="12"/>
      <c r="B728" s="13" t="s">
        <v>551</v>
      </c>
      <c r="C728" s="14" t="s">
        <v>25</v>
      </c>
      <c r="D728" s="15" t="s">
        <v>53</v>
      </c>
      <c r="E728" s="15" t="s">
        <v>566</v>
      </c>
      <c r="F728" s="16">
        <v>127</v>
      </c>
      <c r="G728" s="17">
        <v>35665.11</v>
      </c>
      <c r="H728" s="17">
        <v>9712.9699999999993</v>
      </c>
      <c r="I728" s="17">
        <v>4529468.97</v>
      </c>
      <c r="J728" s="15" t="s">
        <v>17</v>
      </c>
      <c r="K728" s="15" t="s">
        <v>18</v>
      </c>
      <c r="L728" s="9">
        <f>YEAR(E728)</f>
        <v>2023</v>
      </c>
      <c r="M728" s="11">
        <f t="shared" si="13"/>
        <v>1233547.19</v>
      </c>
    </row>
    <row r="729" spans="1:13" ht="20" customHeight="1" x14ac:dyDescent="0.15">
      <c r="A729" s="12"/>
      <c r="B729" s="13" t="s">
        <v>551</v>
      </c>
      <c r="C729" s="14" t="s">
        <v>23</v>
      </c>
      <c r="D729" s="15" t="s">
        <v>15</v>
      </c>
      <c r="E729" s="15" t="s">
        <v>299</v>
      </c>
      <c r="F729" s="16">
        <v>592</v>
      </c>
      <c r="G729" s="17">
        <v>32644.13</v>
      </c>
      <c r="H729" s="17">
        <v>7497.09</v>
      </c>
      <c r="I729" s="17">
        <v>19325324.960000001</v>
      </c>
      <c r="J729" s="15" t="s">
        <v>17</v>
      </c>
      <c r="K729" s="15" t="s">
        <v>18</v>
      </c>
      <c r="L729" s="9">
        <f>YEAR(E729)</f>
        <v>2023</v>
      </c>
      <c r="M729" s="11">
        <f t="shared" si="13"/>
        <v>4438277.28</v>
      </c>
    </row>
    <row r="730" spans="1:13" ht="20" customHeight="1" x14ac:dyDescent="0.15">
      <c r="A730" s="12"/>
      <c r="B730" s="13" t="s">
        <v>551</v>
      </c>
      <c r="C730" s="14" t="s">
        <v>79</v>
      </c>
      <c r="D730" s="15" t="s">
        <v>15</v>
      </c>
      <c r="E730" s="15" t="s">
        <v>457</v>
      </c>
      <c r="F730" s="16">
        <v>589</v>
      </c>
      <c r="G730" s="17">
        <v>47737.46</v>
      </c>
      <c r="H730" s="17">
        <v>4814.2299999999996</v>
      </c>
      <c r="I730" s="17">
        <v>28117363.940000001</v>
      </c>
      <c r="J730" s="15" t="s">
        <v>30</v>
      </c>
      <c r="K730" s="15" t="s">
        <v>18</v>
      </c>
      <c r="L730" s="9">
        <f>YEAR(E730)</f>
        <v>2023</v>
      </c>
      <c r="M730" s="11">
        <f t="shared" si="13"/>
        <v>2835581.4699999997</v>
      </c>
    </row>
    <row r="731" spans="1:13" ht="20" customHeight="1" x14ac:dyDescent="0.15">
      <c r="A731" s="12"/>
      <c r="B731" s="13" t="s">
        <v>551</v>
      </c>
      <c r="C731" s="14" t="s">
        <v>43</v>
      </c>
      <c r="D731" s="15" t="s">
        <v>15</v>
      </c>
      <c r="E731" s="15" t="s">
        <v>374</v>
      </c>
      <c r="F731" s="16">
        <v>199</v>
      </c>
      <c r="G731" s="17">
        <v>23511.99</v>
      </c>
      <c r="H731" s="19">
        <v>4799.3999999999996</v>
      </c>
      <c r="I731" s="17">
        <v>4678886.01</v>
      </c>
      <c r="J731" s="15" t="s">
        <v>17</v>
      </c>
      <c r="K731" s="15" t="s">
        <v>18</v>
      </c>
      <c r="L731" s="9">
        <f>YEAR(E731)</f>
        <v>2023</v>
      </c>
      <c r="M731" s="11">
        <f t="shared" si="13"/>
        <v>955080.6</v>
      </c>
    </row>
    <row r="732" spans="1:13" ht="20" customHeight="1" x14ac:dyDescent="0.15">
      <c r="A732" s="12"/>
      <c r="B732" s="13" t="s">
        <v>551</v>
      </c>
      <c r="C732" s="14" t="s">
        <v>25</v>
      </c>
      <c r="D732" s="15" t="s">
        <v>139</v>
      </c>
      <c r="E732" s="15" t="s">
        <v>580</v>
      </c>
      <c r="F732" s="16">
        <v>226</v>
      </c>
      <c r="G732" s="17">
        <v>12314.65</v>
      </c>
      <c r="H732" s="17">
        <v>3962.41</v>
      </c>
      <c r="I732" s="19">
        <v>2783110.9</v>
      </c>
      <c r="J732" s="15" t="s">
        <v>17</v>
      </c>
      <c r="K732" s="15" t="s">
        <v>18</v>
      </c>
      <c r="L732" s="9">
        <f>YEAR(E732)</f>
        <v>2023</v>
      </c>
      <c r="M732" s="11">
        <f t="shared" si="13"/>
        <v>895504.65999999992</v>
      </c>
    </row>
    <row r="733" spans="1:13" ht="20" customHeight="1" x14ac:dyDescent="0.15">
      <c r="A733" s="12"/>
      <c r="B733" s="13" t="s">
        <v>551</v>
      </c>
      <c r="C733" s="14" t="s">
        <v>31</v>
      </c>
      <c r="D733" s="15" t="s">
        <v>139</v>
      </c>
      <c r="E733" s="15" t="s">
        <v>584</v>
      </c>
      <c r="F733" s="16">
        <v>744</v>
      </c>
      <c r="G733" s="17">
        <v>17166.97</v>
      </c>
      <c r="H733" s="17">
        <v>7770.71</v>
      </c>
      <c r="I733" s="17">
        <v>12772225.68</v>
      </c>
      <c r="J733" s="15" t="s">
        <v>28</v>
      </c>
      <c r="K733" s="15" t="s">
        <v>18</v>
      </c>
      <c r="L733" s="9">
        <f>YEAR(E733)</f>
        <v>2023</v>
      </c>
      <c r="M733" s="11">
        <f t="shared" si="13"/>
        <v>5781408.2400000002</v>
      </c>
    </row>
    <row r="734" spans="1:13" ht="20" customHeight="1" x14ac:dyDescent="0.15">
      <c r="A734" s="12"/>
      <c r="B734" s="13" t="s">
        <v>551</v>
      </c>
      <c r="C734" s="14" t="s">
        <v>19</v>
      </c>
      <c r="D734" s="15" t="s">
        <v>139</v>
      </c>
      <c r="E734" s="15" t="s">
        <v>585</v>
      </c>
      <c r="F734" s="16">
        <v>951</v>
      </c>
      <c r="G734" s="17">
        <v>30767.55</v>
      </c>
      <c r="H734" s="17">
        <v>2982.69</v>
      </c>
      <c r="I734" s="17">
        <v>29259940.050000001</v>
      </c>
      <c r="J734" s="15" t="s">
        <v>17</v>
      </c>
      <c r="K734" s="15" t="s">
        <v>18</v>
      </c>
      <c r="L734" s="9">
        <f>YEAR(E734)</f>
        <v>2023</v>
      </c>
      <c r="M734" s="11">
        <f t="shared" si="13"/>
        <v>2836538.19</v>
      </c>
    </row>
    <row r="735" spans="1:13" ht="20" customHeight="1" x14ac:dyDescent="0.15">
      <c r="A735" s="12"/>
      <c r="B735" s="13" t="s">
        <v>551</v>
      </c>
      <c r="C735" s="14" t="s">
        <v>23</v>
      </c>
      <c r="D735" s="15" t="s">
        <v>139</v>
      </c>
      <c r="E735" s="15" t="s">
        <v>586</v>
      </c>
      <c r="F735" s="16">
        <v>649</v>
      </c>
      <c r="G735" s="17">
        <v>20845.14</v>
      </c>
      <c r="H735" s="17">
        <v>2479.19</v>
      </c>
      <c r="I735" s="17">
        <v>13528495.859999999</v>
      </c>
      <c r="J735" s="15" t="s">
        <v>22</v>
      </c>
      <c r="K735" s="15" t="s">
        <v>18</v>
      </c>
      <c r="L735" s="9">
        <f>YEAR(E735)</f>
        <v>2023</v>
      </c>
      <c r="M735" s="11">
        <f t="shared" si="13"/>
        <v>1608994.31</v>
      </c>
    </row>
    <row r="736" spans="1:13" ht="20" customHeight="1" x14ac:dyDescent="0.15">
      <c r="A736" s="12"/>
      <c r="B736" s="13" t="s">
        <v>551</v>
      </c>
      <c r="C736" s="14" t="s">
        <v>57</v>
      </c>
      <c r="D736" s="15" t="s">
        <v>114</v>
      </c>
      <c r="E736" s="15" t="s">
        <v>593</v>
      </c>
      <c r="F736" s="16">
        <v>132</v>
      </c>
      <c r="G736" s="17">
        <v>16159.22</v>
      </c>
      <c r="H736" s="17">
        <v>8575.33</v>
      </c>
      <c r="I736" s="17">
        <v>2133017.04</v>
      </c>
      <c r="J736" s="15" t="s">
        <v>17</v>
      </c>
      <c r="K736" s="15" t="s">
        <v>18</v>
      </c>
      <c r="L736" s="9">
        <f>YEAR(E736)</f>
        <v>2023</v>
      </c>
      <c r="M736" s="11">
        <f t="shared" si="13"/>
        <v>1131943.56</v>
      </c>
    </row>
    <row r="737" spans="1:13" ht="20" customHeight="1" x14ac:dyDescent="0.15">
      <c r="A737" s="12"/>
      <c r="B737" s="13" t="s">
        <v>551</v>
      </c>
      <c r="C737" s="14" t="s">
        <v>14</v>
      </c>
      <c r="D737" s="15" t="s">
        <v>26</v>
      </c>
      <c r="E737" s="15" t="s">
        <v>593</v>
      </c>
      <c r="F737" s="16">
        <v>662</v>
      </c>
      <c r="G737" s="17">
        <v>28089.29</v>
      </c>
      <c r="H737" s="19">
        <v>8576.5</v>
      </c>
      <c r="I737" s="17">
        <v>18595109.98</v>
      </c>
      <c r="J737" s="15" t="s">
        <v>28</v>
      </c>
      <c r="K737" s="15" t="s">
        <v>18</v>
      </c>
      <c r="L737" s="9">
        <f>YEAR(E737)</f>
        <v>2023</v>
      </c>
      <c r="M737" s="11">
        <f t="shared" si="13"/>
        <v>5677643</v>
      </c>
    </row>
    <row r="738" spans="1:13" ht="20" customHeight="1" x14ac:dyDescent="0.15">
      <c r="A738" s="12"/>
      <c r="B738" s="13" t="s">
        <v>551</v>
      </c>
      <c r="C738" s="14" t="s">
        <v>35</v>
      </c>
      <c r="D738" s="15" t="s">
        <v>114</v>
      </c>
      <c r="E738" s="15" t="s">
        <v>597</v>
      </c>
      <c r="F738" s="16">
        <v>192</v>
      </c>
      <c r="G738" s="17">
        <v>34074.97</v>
      </c>
      <c r="H738" s="17">
        <v>8717.5499999999993</v>
      </c>
      <c r="I738" s="17">
        <v>6542394.2400000002</v>
      </c>
      <c r="J738" s="15" t="s">
        <v>17</v>
      </c>
      <c r="K738" s="15" t="s">
        <v>18</v>
      </c>
      <c r="L738" s="9">
        <f>YEAR(E738)</f>
        <v>2023</v>
      </c>
      <c r="M738" s="11">
        <f t="shared" si="13"/>
        <v>1673769.5999999999</v>
      </c>
    </row>
    <row r="739" spans="1:13" ht="20" customHeight="1" x14ac:dyDescent="0.15">
      <c r="A739" s="12"/>
      <c r="B739" s="13" t="s">
        <v>551</v>
      </c>
      <c r="C739" s="14" t="s">
        <v>79</v>
      </c>
      <c r="D739" s="15" t="s">
        <v>70</v>
      </c>
      <c r="E739" s="15" t="s">
        <v>600</v>
      </c>
      <c r="F739" s="16">
        <v>884</v>
      </c>
      <c r="G739" s="19">
        <v>35538.5</v>
      </c>
      <c r="H739" s="17">
        <v>5297.56</v>
      </c>
      <c r="I739" s="16">
        <v>31416034</v>
      </c>
      <c r="J739" s="15" t="s">
        <v>17</v>
      </c>
      <c r="K739" s="15" t="s">
        <v>18</v>
      </c>
      <c r="L739" s="9">
        <f>YEAR(E739)</f>
        <v>2023</v>
      </c>
      <c r="M739" s="11">
        <f t="shared" si="13"/>
        <v>4683043.04</v>
      </c>
    </row>
    <row r="740" spans="1:13" ht="20" customHeight="1" x14ac:dyDescent="0.15">
      <c r="A740" s="12"/>
      <c r="B740" s="13" t="s">
        <v>551</v>
      </c>
      <c r="C740" s="14" t="s">
        <v>79</v>
      </c>
      <c r="D740" s="15" t="s">
        <v>70</v>
      </c>
      <c r="E740" s="15" t="s">
        <v>604</v>
      </c>
      <c r="F740" s="16">
        <v>755</v>
      </c>
      <c r="G740" s="17">
        <v>25170.32</v>
      </c>
      <c r="H740" s="17">
        <v>6920.42</v>
      </c>
      <c r="I740" s="19">
        <v>19003591.600000001</v>
      </c>
      <c r="J740" s="15" t="s">
        <v>17</v>
      </c>
      <c r="K740" s="15" t="s">
        <v>18</v>
      </c>
      <c r="L740" s="9">
        <f>YEAR(E740)</f>
        <v>2023</v>
      </c>
      <c r="M740" s="11">
        <f t="shared" si="13"/>
        <v>5224917.0999999996</v>
      </c>
    </row>
    <row r="741" spans="1:13" ht="20" customHeight="1" x14ac:dyDescent="0.15">
      <c r="A741" s="12"/>
      <c r="B741" s="13" t="s">
        <v>551</v>
      </c>
      <c r="C741" s="14" t="s">
        <v>35</v>
      </c>
      <c r="D741" s="15" t="s">
        <v>89</v>
      </c>
      <c r="E741" s="15" t="s">
        <v>606</v>
      </c>
      <c r="F741" s="16">
        <v>172</v>
      </c>
      <c r="G741" s="17">
        <v>44869.36</v>
      </c>
      <c r="H741" s="19">
        <v>9892.2999999999993</v>
      </c>
      <c r="I741" s="17">
        <v>7717529.9199999999</v>
      </c>
      <c r="J741" s="15" t="s">
        <v>22</v>
      </c>
      <c r="K741" s="15" t="s">
        <v>18</v>
      </c>
      <c r="L741" s="9">
        <f>YEAR(E741)</f>
        <v>2023</v>
      </c>
      <c r="M741" s="11">
        <f t="shared" si="13"/>
        <v>1701475.5999999999</v>
      </c>
    </row>
    <row r="742" spans="1:13" ht="20" customHeight="1" x14ac:dyDescent="0.15">
      <c r="A742" s="12"/>
      <c r="B742" s="13" t="s">
        <v>551</v>
      </c>
      <c r="C742" s="14" t="s">
        <v>14</v>
      </c>
      <c r="D742" s="15" t="s">
        <v>89</v>
      </c>
      <c r="E742" s="15" t="s">
        <v>607</v>
      </c>
      <c r="F742" s="16">
        <v>151</v>
      </c>
      <c r="G742" s="17">
        <v>29521.86</v>
      </c>
      <c r="H742" s="17">
        <v>9423.51</v>
      </c>
      <c r="I742" s="17">
        <v>4457800.8600000003</v>
      </c>
      <c r="J742" s="15" t="s">
        <v>17</v>
      </c>
      <c r="K742" s="15" t="s">
        <v>18</v>
      </c>
      <c r="L742" s="9">
        <f>YEAR(E742)</f>
        <v>2023</v>
      </c>
      <c r="M742" s="11">
        <f t="shared" si="13"/>
        <v>1422950.01</v>
      </c>
    </row>
    <row r="743" spans="1:13" ht="20" customHeight="1" x14ac:dyDescent="0.15">
      <c r="A743" s="12"/>
      <c r="B743" s="13" t="s">
        <v>551</v>
      </c>
      <c r="C743" s="14" t="s">
        <v>35</v>
      </c>
      <c r="D743" s="15" t="s">
        <v>89</v>
      </c>
      <c r="E743" s="15" t="s">
        <v>608</v>
      </c>
      <c r="F743" s="16">
        <v>655</v>
      </c>
      <c r="G743" s="17">
        <v>14925.52</v>
      </c>
      <c r="H743" s="17">
        <v>7623.92</v>
      </c>
      <c r="I743" s="19">
        <v>9776215.5999999996</v>
      </c>
      <c r="J743" s="15" t="s">
        <v>17</v>
      </c>
      <c r="K743" s="15" t="s">
        <v>18</v>
      </c>
      <c r="L743" s="9">
        <f>YEAR(E743)</f>
        <v>2023</v>
      </c>
      <c r="M743" s="11">
        <f t="shared" si="13"/>
        <v>4993667.5999999996</v>
      </c>
    </row>
    <row r="744" spans="1:13" ht="20" customHeight="1" x14ac:dyDescent="0.15">
      <c r="A744" s="12"/>
      <c r="B744" s="13" t="s">
        <v>551</v>
      </c>
      <c r="C744" s="14" t="s">
        <v>79</v>
      </c>
      <c r="D744" s="15" t="s">
        <v>89</v>
      </c>
      <c r="E744" s="15" t="s">
        <v>609</v>
      </c>
      <c r="F744" s="16">
        <v>464</v>
      </c>
      <c r="G744" s="17">
        <v>46932.39</v>
      </c>
      <c r="H744" s="17">
        <v>8782.0400000000009</v>
      </c>
      <c r="I744" s="17">
        <v>21776628.960000001</v>
      </c>
      <c r="J744" s="15" t="s">
        <v>17</v>
      </c>
      <c r="K744" s="15" t="s">
        <v>18</v>
      </c>
      <c r="L744" s="9">
        <f>YEAR(E744)</f>
        <v>2023</v>
      </c>
      <c r="M744" s="11">
        <f t="shared" si="13"/>
        <v>4074866.5600000005</v>
      </c>
    </row>
    <row r="745" spans="1:13" ht="20" customHeight="1" x14ac:dyDescent="0.15">
      <c r="A745" s="12"/>
      <c r="B745" s="13" t="s">
        <v>551</v>
      </c>
      <c r="C745" s="14" t="s">
        <v>57</v>
      </c>
      <c r="D745" s="15" t="s">
        <v>153</v>
      </c>
      <c r="E745" s="15" t="s">
        <v>414</v>
      </c>
      <c r="F745" s="16">
        <v>761</v>
      </c>
      <c r="G745" s="17">
        <v>38066.85</v>
      </c>
      <c r="H745" s="19">
        <v>6557.5</v>
      </c>
      <c r="I745" s="17">
        <v>28968872.850000001</v>
      </c>
      <c r="J745" s="15" t="s">
        <v>17</v>
      </c>
      <c r="K745" s="15" t="s">
        <v>18</v>
      </c>
      <c r="L745" s="9">
        <f>YEAR(E745)</f>
        <v>2023</v>
      </c>
      <c r="M745" s="11">
        <f t="shared" si="13"/>
        <v>4990257.5</v>
      </c>
    </row>
    <row r="746" spans="1:13" ht="20" customHeight="1" x14ac:dyDescent="0.15">
      <c r="A746" s="12"/>
      <c r="B746" s="13" t="s">
        <v>551</v>
      </c>
      <c r="C746" s="14" t="s">
        <v>23</v>
      </c>
      <c r="D746" s="15" t="s">
        <v>153</v>
      </c>
      <c r="E746" s="15" t="s">
        <v>613</v>
      </c>
      <c r="F746" s="16">
        <v>893</v>
      </c>
      <c r="G746" s="17">
        <v>39070.74</v>
      </c>
      <c r="H746" s="17">
        <v>3989.22</v>
      </c>
      <c r="I746" s="17">
        <v>34890170.82</v>
      </c>
      <c r="J746" s="15" t="s">
        <v>17</v>
      </c>
      <c r="K746" s="15" t="s">
        <v>18</v>
      </c>
      <c r="L746" s="9">
        <f>YEAR(E746)</f>
        <v>2023</v>
      </c>
      <c r="M746" s="11">
        <f t="shared" si="13"/>
        <v>3562373.46</v>
      </c>
    </row>
    <row r="747" spans="1:13" ht="20" customHeight="1" x14ac:dyDescent="0.15">
      <c r="A747" s="12"/>
      <c r="B747" s="13" t="s">
        <v>551</v>
      </c>
      <c r="C747" s="14" t="s">
        <v>25</v>
      </c>
      <c r="D747" s="15" t="s">
        <v>153</v>
      </c>
      <c r="E747" s="15" t="s">
        <v>614</v>
      </c>
      <c r="F747" s="16">
        <v>684</v>
      </c>
      <c r="G747" s="17">
        <v>42655.08</v>
      </c>
      <c r="H747" s="19">
        <v>4144.3999999999996</v>
      </c>
      <c r="I747" s="17">
        <v>29176074.719999999</v>
      </c>
      <c r="J747" s="15" t="s">
        <v>17</v>
      </c>
      <c r="K747" s="15" t="s">
        <v>18</v>
      </c>
      <c r="L747" s="9">
        <f>YEAR(E747)</f>
        <v>2023</v>
      </c>
      <c r="M747" s="11">
        <f t="shared" si="13"/>
        <v>2834769.5999999996</v>
      </c>
    </row>
    <row r="748" spans="1:13" ht="20" customHeight="1" x14ac:dyDescent="0.15">
      <c r="A748" s="12"/>
      <c r="B748" s="13" t="s">
        <v>551</v>
      </c>
      <c r="C748" s="14" t="s">
        <v>19</v>
      </c>
      <c r="D748" s="15" t="s">
        <v>153</v>
      </c>
      <c r="E748" s="15" t="s">
        <v>101</v>
      </c>
      <c r="F748" s="16">
        <v>837</v>
      </c>
      <c r="G748" s="17">
        <v>16079.55</v>
      </c>
      <c r="H748" s="17">
        <v>8183.76</v>
      </c>
      <c r="I748" s="17">
        <v>13458583.35</v>
      </c>
      <c r="J748" s="15" t="s">
        <v>17</v>
      </c>
      <c r="K748" s="15" t="s">
        <v>18</v>
      </c>
      <c r="L748" s="9">
        <f>YEAR(E748)</f>
        <v>2023</v>
      </c>
      <c r="M748" s="11">
        <f t="shared" si="13"/>
        <v>6849807.1200000001</v>
      </c>
    </row>
    <row r="749" spans="1:13" ht="20" customHeight="1" x14ac:dyDescent="0.15">
      <c r="A749" s="12"/>
      <c r="B749" s="13" t="s">
        <v>551</v>
      </c>
      <c r="C749" s="14" t="s">
        <v>19</v>
      </c>
      <c r="D749" s="15" t="s">
        <v>68</v>
      </c>
      <c r="E749" s="15" t="s">
        <v>195</v>
      </c>
      <c r="F749" s="16">
        <v>685</v>
      </c>
      <c r="G749" s="17">
        <v>48325.91</v>
      </c>
      <c r="H749" s="17">
        <v>2197.46</v>
      </c>
      <c r="I749" s="17">
        <v>33103248.350000001</v>
      </c>
      <c r="J749" s="15" t="s">
        <v>22</v>
      </c>
      <c r="K749" s="15" t="s">
        <v>18</v>
      </c>
      <c r="L749" s="9">
        <f>YEAR(E749)</f>
        <v>2023</v>
      </c>
      <c r="M749" s="11">
        <f t="shared" si="13"/>
        <v>1505260.1</v>
      </c>
    </row>
    <row r="750" spans="1:13" ht="20" customHeight="1" x14ac:dyDescent="0.15">
      <c r="A750" s="12"/>
      <c r="B750" s="13" t="s">
        <v>551</v>
      </c>
      <c r="C750" s="14" t="s">
        <v>57</v>
      </c>
      <c r="D750" s="15" t="s">
        <v>68</v>
      </c>
      <c r="E750" s="15" t="s">
        <v>220</v>
      </c>
      <c r="F750" s="16">
        <v>282</v>
      </c>
      <c r="G750" s="17">
        <v>46063.17</v>
      </c>
      <c r="H750" s="17">
        <v>3544.77</v>
      </c>
      <c r="I750" s="17">
        <v>12989813.939999999</v>
      </c>
      <c r="J750" s="15" t="s">
        <v>28</v>
      </c>
      <c r="K750" s="15" t="s">
        <v>18</v>
      </c>
      <c r="L750" s="9">
        <f>YEAR(E750)</f>
        <v>2023</v>
      </c>
      <c r="M750" s="11">
        <f t="shared" si="13"/>
        <v>999625.14</v>
      </c>
    </row>
    <row r="751" spans="1:13" ht="20.75" customHeight="1" x14ac:dyDescent="0.15">
      <c r="A751" s="12"/>
      <c r="B751" s="13" t="s">
        <v>551</v>
      </c>
      <c r="C751" s="14" t="s">
        <v>19</v>
      </c>
      <c r="D751" s="15" t="s">
        <v>68</v>
      </c>
      <c r="E751" s="15" t="s">
        <v>624</v>
      </c>
      <c r="F751" s="16">
        <v>460</v>
      </c>
      <c r="G751" s="17">
        <v>42176.76</v>
      </c>
      <c r="H751" s="17">
        <v>2762.91</v>
      </c>
      <c r="I751" s="19">
        <v>19401309.600000001</v>
      </c>
      <c r="J751" s="15" t="s">
        <v>17</v>
      </c>
      <c r="K751" s="15" t="s">
        <v>18</v>
      </c>
      <c r="L751" s="9">
        <f>YEAR(E751)</f>
        <v>2023</v>
      </c>
      <c r="M751" s="11">
        <f t="shared" si="13"/>
        <v>1270938.5999999999</v>
      </c>
    </row>
    <row r="752" spans="1:13" ht="21" customHeight="1" x14ac:dyDescent="0.15">
      <c r="A752" s="12"/>
      <c r="B752" s="13" t="s">
        <v>551</v>
      </c>
      <c r="C752" s="14" t="s">
        <v>57</v>
      </c>
      <c r="D752" s="15" t="s">
        <v>68</v>
      </c>
      <c r="E752" s="15" t="s">
        <v>625</v>
      </c>
      <c r="F752" s="16">
        <v>562</v>
      </c>
      <c r="G752" s="17">
        <v>15317.68</v>
      </c>
      <c r="H752" s="17">
        <v>4424.41</v>
      </c>
      <c r="I752" s="17">
        <v>8608536.1600000001</v>
      </c>
      <c r="J752" s="15" t="s">
        <v>22</v>
      </c>
      <c r="K752" s="15" t="s">
        <v>18</v>
      </c>
      <c r="L752" s="9">
        <f>YEAR(E752)</f>
        <v>2023</v>
      </c>
      <c r="M752" s="11">
        <f t="shared" si="13"/>
        <v>2486518.42</v>
      </c>
    </row>
    <row r="753" spans="1:13" ht="20.25" customHeight="1" x14ac:dyDescent="0.15">
      <c r="A753" s="12"/>
      <c r="B753" s="13" t="s">
        <v>551</v>
      </c>
      <c r="C753" s="14" t="s">
        <v>19</v>
      </c>
      <c r="D753" s="15" t="s">
        <v>68</v>
      </c>
      <c r="E753" s="15" t="s">
        <v>385</v>
      </c>
      <c r="F753" s="16">
        <v>309</v>
      </c>
      <c r="G753" s="17">
        <v>43808.94</v>
      </c>
      <c r="H753" s="17">
        <v>3213.71</v>
      </c>
      <c r="I753" s="17">
        <v>13536962.460000001</v>
      </c>
      <c r="J753" s="15" t="s">
        <v>17</v>
      </c>
      <c r="K753" s="15" t="s">
        <v>18</v>
      </c>
      <c r="L753" s="9">
        <f>YEAR(E753)</f>
        <v>2023</v>
      </c>
      <c r="M753" s="11">
        <f t="shared" si="13"/>
        <v>993036.39</v>
      </c>
    </row>
    <row r="754" spans="1:13" ht="20" customHeight="1" x14ac:dyDescent="0.15">
      <c r="A754" s="12"/>
      <c r="B754" s="13" t="s">
        <v>551</v>
      </c>
      <c r="C754" s="14" t="s">
        <v>14</v>
      </c>
      <c r="D754" s="15" t="s">
        <v>26</v>
      </c>
      <c r="E754" s="15" t="s">
        <v>232</v>
      </c>
      <c r="F754" s="16">
        <v>188</v>
      </c>
      <c r="G754" s="17">
        <v>41952.09</v>
      </c>
      <c r="H754" s="17">
        <v>9861.73</v>
      </c>
      <c r="I754" s="17">
        <v>7886992.9199999999</v>
      </c>
      <c r="J754" s="15" t="s">
        <v>17</v>
      </c>
      <c r="K754" s="15" t="s">
        <v>18</v>
      </c>
      <c r="L754" s="9">
        <f>YEAR(E754)</f>
        <v>2023</v>
      </c>
      <c r="M754" s="11">
        <f t="shared" si="13"/>
        <v>1854005.24</v>
      </c>
    </row>
    <row r="755" spans="1:13" ht="20" customHeight="1" thickBot="1" x14ac:dyDescent="0.2">
      <c r="A755" s="12"/>
      <c r="B755" s="21" t="s">
        <v>551</v>
      </c>
      <c r="C755" s="22" t="s">
        <v>23</v>
      </c>
      <c r="D755" s="23" t="s">
        <v>26</v>
      </c>
      <c r="E755" s="23" t="s">
        <v>232</v>
      </c>
      <c r="F755" s="24">
        <v>507</v>
      </c>
      <c r="G755" s="25">
        <v>38930.959999999999</v>
      </c>
      <c r="H755" s="27">
        <v>9986.2000000000007</v>
      </c>
      <c r="I755" s="25">
        <v>19737996.719999999</v>
      </c>
      <c r="J755" s="23" t="s">
        <v>28</v>
      </c>
      <c r="K755" s="23" t="s">
        <v>18</v>
      </c>
      <c r="L755" s="9">
        <f>YEAR(E755)</f>
        <v>2023</v>
      </c>
      <c r="M755" s="11">
        <f t="shared" si="13"/>
        <v>5063003.4000000004</v>
      </c>
    </row>
    <row r="756" spans="1:13" ht="20" customHeight="1" x14ac:dyDescent="0.15">
      <c r="A756" s="50"/>
      <c r="B756" s="52"/>
      <c r="C756" s="53"/>
      <c r="D756" s="54"/>
      <c r="E756" s="54"/>
      <c r="F756" s="55"/>
      <c r="G756" s="56"/>
      <c r="H756" s="57"/>
      <c r="I756" s="56"/>
      <c r="J756" s="54"/>
      <c r="K756" s="54"/>
      <c r="L756" s="9"/>
      <c r="M756" s="11"/>
    </row>
    <row r="757" spans="1:13" ht="20" customHeight="1" thickBot="1" x14ac:dyDescent="0.2">
      <c r="A757" s="20" t="s">
        <v>632</v>
      </c>
      <c r="B757" s="2" t="s">
        <v>2</v>
      </c>
      <c r="C757" s="2" t="s">
        <v>3</v>
      </c>
      <c r="D757" s="2" t="s">
        <v>4</v>
      </c>
      <c r="E757" s="2" t="s">
        <v>5</v>
      </c>
      <c r="F757" s="2" t="s">
        <v>6</v>
      </c>
      <c r="G757" s="2" t="s">
        <v>7</v>
      </c>
      <c r="H757" s="2" t="s">
        <v>8</v>
      </c>
      <c r="I757" s="2" t="s">
        <v>9</v>
      </c>
      <c r="J757" s="2" t="s">
        <v>10</v>
      </c>
      <c r="K757" s="2" t="s">
        <v>11</v>
      </c>
      <c r="L757" s="31" t="s">
        <v>12</v>
      </c>
      <c r="M757" s="64" t="s">
        <v>793</v>
      </c>
    </row>
    <row r="758" spans="1:13" ht="20" customHeight="1" x14ac:dyDescent="0.15">
      <c r="A758" s="29"/>
      <c r="B758" s="6" t="s">
        <v>632</v>
      </c>
      <c r="C758" s="7" t="s">
        <v>38</v>
      </c>
      <c r="D758" s="8" t="s">
        <v>89</v>
      </c>
      <c r="E758" s="8" t="s">
        <v>176</v>
      </c>
      <c r="F758" s="9">
        <v>342</v>
      </c>
      <c r="G758" s="10">
        <v>32818.79</v>
      </c>
      <c r="H758" s="10">
        <v>3272.06</v>
      </c>
      <c r="I758" s="10">
        <v>11224026.18</v>
      </c>
      <c r="J758" s="8" t="s">
        <v>28</v>
      </c>
      <c r="K758" s="8" t="s">
        <v>18</v>
      </c>
      <c r="L758" s="9">
        <f>YEAR(E758)</f>
        <v>2020</v>
      </c>
      <c r="M758" s="11">
        <f t="shared" si="13"/>
        <v>1119044.52</v>
      </c>
    </row>
    <row r="759" spans="1:13" ht="20" customHeight="1" x14ac:dyDescent="0.15">
      <c r="A759" s="5"/>
      <c r="B759" s="13" t="s">
        <v>632</v>
      </c>
      <c r="C759" s="14" t="s">
        <v>79</v>
      </c>
      <c r="D759" s="15" t="s">
        <v>89</v>
      </c>
      <c r="E759" s="15" t="s">
        <v>635</v>
      </c>
      <c r="F759" s="16">
        <v>615</v>
      </c>
      <c r="G759" s="17">
        <v>28067.85</v>
      </c>
      <c r="H759" s="17">
        <v>6284.55</v>
      </c>
      <c r="I759" s="17">
        <v>17261727.75</v>
      </c>
      <c r="J759" s="15" t="s">
        <v>22</v>
      </c>
      <c r="K759" s="15" t="s">
        <v>18</v>
      </c>
      <c r="L759" s="9">
        <f>YEAR(E759)</f>
        <v>2020</v>
      </c>
      <c r="M759" s="11">
        <f t="shared" si="13"/>
        <v>3864998.25</v>
      </c>
    </row>
    <row r="760" spans="1:13" ht="20" customHeight="1" x14ac:dyDescent="0.15">
      <c r="A760" s="12"/>
      <c r="B760" s="13" t="s">
        <v>632</v>
      </c>
      <c r="C760" s="14" t="s">
        <v>38</v>
      </c>
      <c r="D760" s="15" t="s">
        <v>70</v>
      </c>
      <c r="E760" s="15" t="s">
        <v>643</v>
      </c>
      <c r="F760" s="16">
        <v>558</v>
      </c>
      <c r="G760" s="17">
        <v>36199.919999999998</v>
      </c>
      <c r="H760" s="17">
        <v>5054.37</v>
      </c>
      <c r="I760" s="17">
        <v>20199555.359999999</v>
      </c>
      <c r="J760" s="15" t="s">
        <v>22</v>
      </c>
      <c r="K760" s="15" t="s">
        <v>18</v>
      </c>
      <c r="L760" s="9">
        <f>YEAR(E760)</f>
        <v>2020</v>
      </c>
      <c r="M760" s="11">
        <f t="shared" si="13"/>
        <v>2820338.46</v>
      </c>
    </row>
    <row r="761" spans="1:13" ht="20" customHeight="1" x14ac:dyDescent="0.15">
      <c r="A761" s="12"/>
      <c r="B761" s="13" t="s">
        <v>632</v>
      </c>
      <c r="C761" s="14" t="s">
        <v>19</v>
      </c>
      <c r="D761" s="15" t="s">
        <v>70</v>
      </c>
      <c r="E761" s="15" t="s">
        <v>647</v>
      </c>
      <c r="F761" s="16">
        <v>227</v>
      </c>
      <c r="G761" s="17">
        <v>14985.53</v>
      </c>
      <c r="H761" s="17">
        <v>2169.04</v>
      </c>
      <c r="I761" s="17">
        <v>3401715.31</v>
      </c>
      <c r="J761" s="15" t="s">
        <v>17</v>
      </c>
      <c r="K761" s="15" t="s">
        <v>18</v>
      </c>
      <c r="L761" s="9">
        <f>YEAR(E761)</f>
        <v>2020</v>
      </c>
      <c r="M761" s="11">
        <f t="shared" si="13"/>
        <v>492372.08</v>
      </c>
    </row>
    <row r="762" spans="1:13" ht="20" customHeight="1" x14ac:dyDescent="0.15">
      <c r="A762" s="12"/>
      <c r="B762" s="13" t="s">
        <v>632</v>
      </c>
      <c r="C762" s="14" t="s">
        <v>79</v>
      </c>
      <c r="D762" s="15" t="s">
        <v>26</v>
      </c>
      <c r="E762" s="15" t="s">
        <v>56</v>
      </c>
      <c r="F762" s="16">
        <v>938</v>
      </c>
      <c r="G762" s="19">
        <v>42349.4</v>
      </c>
      <c r="H762" s="17">
        <v>5636.58</v>
      </c>
      <c r="I762" s="19">
        <v>39723737.200000003</v>
      </c>
      <c r="J762" s="15" t="s">
        <v>22</v>
      </c>
      <c r="K762" s="15" t="s">
        <v>18</v>
      </c>
      <c r="L762" s="9">
        <f>YEAR(E762)</f>
        <v>2020</v>
      </c>
      <c r="M762" s="11">
        <f t="shared" si="13"/>
        <v>5287112.04</v>
      </c>
    </row>
    <row r="763" spans="1:13" ht="20" customHeight="1" x14ac:dyDescent="0.15">
      <c r="A763" s="12"/>
      <c r="B763" s="13" t="s">
        <v>632</v>
      </c>
      <c r="C763" s="14" t="s">
        <v>38</v>
      </c>
      <c r="D763" s="15" t="s">
        <v>26</v>
      </c>
      <c r="E763" s="15" t="s">
        <v>650</v>
      </c>
      <c r="F763" s="16">
        <v>712</v>
      </c>
      <c r="G763" s="17">
        <v>46468.26</v>
      </c>
      <c r="H763" s="17">
        <v>4600.33</v>
      </c>
      <c r="I763" s="17">
        <v>33085401.120000001</v>
      </c>
      <c r="J763" s="15" t="s">
        <v>17</v>
      </c>
      <c r="K763" s="15" t="s">
        <v>18</v>
      </c>
      <c r="L763" s="9">
        <f>YEAR(E763)</f>
        <v>2020</v>
      </c>
      <c r="M763" s="11">
        <f t="shared" si="13"/>
        <v>3275434.96</v>
      </c>
    </row>
    <row r="764" spans="1:13" ht="20" customHeight="1" x14ac:dyDescent="0.15">
      <c r="A764" s="12"/>
      <c r="B764" s="13" t="s">
        <v>632</v>
      </c>
      <c r="C764" s="14" t="s">
        <v>57</v>
      </c>
      <c r="D764" s="15" t="s">
        <v>153</v>
      </c>
      <c r="E764" s="15" t="s">
        <v>157</v>
      </c>
      <c r="F764" s="16">
        <v>504</v>
      </c>
      <c r="G764" s="17">
        <v>37053.01</v>
      </c>
      <c r="H764" s="17">
        <v>4393.6499999999996</v>
      </c>
      <c r="I764" s="17">
        <v>18674717.039999999</v>
      </c>
      <c r="J764" s="15" t="s">
        <v>17</v>
      </c>
      <c r="K764" s="15" t="s">
        <v>18</v>
      </c>
      <c r="L764" s="9">
        <f>YEAR(E764)</f>
        <v>2020</v>
      </c>
      <c r="M764" s="11">
        <f t="shared" si="13"/>
        <v>2214399.5999999996</v>
      </c>
    </row>
    <row r="765" spans="1:13" ht="20" customHeight="1" x14ac:dyDescent="0.15">
      <c r="A765" s="12"/>
      <c r="B765" s="13" t="s">
        <v>632</v>
      </c>
      <c r="C765" s="14" t="s">
        <v>38</v>
      </c>
      <c r="D765" s="15" t="s">
        <v>53</v>
      </c>
      <c r="E765" s="15" t="s">
        <v>151</v>
      </c>
      <c r="F765" s="16">
        <v>670</v>
      </c>
      <c r="G765" s="17">
        <v>20355.66</v>
      </c>
      <c r="H765" s="16">
        <v>7635</v>
      </c>
      <c r="I765" s="19">
        <v>13638292.199999999</v>
      </c>
      <c r="J765" s="15" t="s">
        <v>17</v>
      </c>
      <c r="K765" s="15" t="s">
        <v>18</v>
      </c>
      <c r="L765" s="9">
        <f>YEAR(E765)</f>
        <v>2020</v>
      </c>
      <c r="M765" s="11">
        <f t="shared" si="13"/>
        <v>5115450</v>
      </c>
    </row>
    <row r="766" spans="1:13" ht="20" customHeight="1" x14ac:dyDescent="0.15">
      <c r="A766" s="12"/>
      <c r="B766" s="13" t="s">
        <v>632</v>
      </c>
      <c r="C766" s="14" t="s">
        <v>35</v>
      </c>
      <c r="D766" s="15" t="s">
        <v>53</v>
      </c>
      <c r="E766" s="15" t="s">
        <v>487</v>
      </c>
      <c r="F766" s="16">
        <v>567</v>
      </c>
      <c r="G766" s="17">
        <v>20951.060000000001</v>
      </c>
      <c r="H766" s="17">
        <v>4547.67</v>
      </c>
      <c r="I766" s="17">
        <v>11879251.02</v>
      </c>
      <c r="J766" s="15" t="s">
        <v>17</v>
      </c>
      <c r="K766" s="15" t="s">
        <v>18</v>
      </c>
      <c r="L766" s="9">
        <f>YEAR(E766)</f>
        <v>2020</v>
      </c>
      <c r="M766" s="11">
        <f t="shared" si="13"/>
        <v>2578528.89</v>
      </c>
    </row>
    <row r="767" spans="1:13" ht="20" customHeight="1" x14ac:dyDescent="0.15">
      <c r="A767" s="12"/>
      <c r="B767" s="13" t="s">
        <v>632</v>
      </c>
      <c r="C767" s="14" t="s">
        <v>14</v>
      </c>
      <c r="D767" s="15" t="s">
        <v>15</v>
      </c>
      <c r="E767" s="15" t="s">
        <v>671</v>
      </c>
      <c r="F767" s="16">
        <v>924</v>
      </c>
      <c r="G767" s="17">
        <v>12339.82</v>
      </c>
      <c r="H767" s="17">
        <v>6441.71</v>
      </c>
      <c r="I767" s="17">
        <v>11401993.68</v>
      </c>
      <c r="J767" s="15" t="s">
        <v>30</v>
      </c>
      <c r="K767" s="15" t="s">
        <v>18</v>
      </c>
      <c r="L767" s="9">
        <f>YEAR(E767)</f>
        <v>2020</v>
      </c>
      <c r="M767" s="11">
        <f t="shared" si="13"/>
        <v>5952140.04</v>
      </c>
    </row>
    <row r="768" spans="1:13" ht="20" customHeight="1" x14ac:dyDescent="0.15">
      <c r="A768" s="12"/>
      <c r="B768" s="13" t="s">
        <v>632</v>
      </c>
      <c r="C768" s="14" t="s">
        <v>14</v>
      </c>
      <c r="D768" s="15" t="s">
        <v>15</v>
      </c>
      <c r="E768" s="15" t="s">
        <v>672</v>
      </c>
      <c r="F768" s="16">
        <v>491</v>
      </c>
      <c r="G768" s="17">
        <v>45962.15</v>
      </c>
      <c r="H768" s="17">
        <v>6370.54</v>
      </c>
      <c r="I768" s="17">
        <v>22567415.649999999</v>
      </c>
      <c r="J768" s="15" t="s">
        <v>17</v>
      </c>
      <c r="K768" s="15" t="s">
        <v>18</v>
      </c>
      <c r="L768" s="9">
        <f>YEAR(E768)</f>
        <v>2020</v>
      </c>
      <c r="M768" s="11">
        <f t="shared" si="13"/>
        <v>3127935.14</v>
      </c>
    </row>
    <row r="769" spans="1:13" ht="20" customHeight="1" x14ac:dyDescent="0.15">
      <c r="A769" s="12"/>
      <c r="B769" s="13" t="s">
        <v>632</v>
      </c>
      <c r="C769" s="14" t="s">
        <v>19</v>
      </c>
      <c r="D769" s="15" t="s">
        <v>15</v>
      </c>
      <c r="E769" s="15" t="s">
        <v>203</v>
      </c>
      <c r="F769" s="16">
        <v>684</v>
      </c>
      <c r="G769" s="17">
        <v>22639.19</v>
      </c>
      <c r="H769" s="17">
        <v>9105.1200000000008</v>
      </c>
      <c r="I769" s="17">
        <v>15485205.960000001</v>
      </c>
      <c r="J769" s="15" t="s">
        <v>28</v>
      </c>
      <c r="K769" s="15" t="s">
        <v>18</v>
      </c>
      <c r="L769" s="9">
        <f>YEAR(E769)</f>
        <v>2020</v>
      </c>
      <c r="M769" s="11">
        <f t="shared" si="13"/>
        <v>6227902.080000001</v>
      </c>
    </row>
    <row r="770" spans="1:13" ht="20" customHeight="1" x14ac:dyDescent="0.15">
      <c r="A770" s="12"/>
      <c r="B770" s="13" t="s">
        <v>632</v>
      </c>
      <c r="C770" s="14" t="s">
        <v>19</v>
      </c>
      <c r="D770" s="15" t="s">
        <v>15</v>
      </c>
      <c r="E770" s="15" t="s">
        <v>675</v>
      </c>
      <c r="F770" s="16">
        <v>794</v>
      </c>
      <c r="G770" s="17">
        <v>34804.99</v>
      </c>
      <c r="H770" s="17">
        <v>8456.36</v>
      </c>
      <c r="I770" s="17">
        <v>27635162.059999999</v>
      </c>
      <c r="J770" s="15" t="s">
        <v>30</v>
      </c>
      <c r="K770" s="15" t="s">
        <v>18</v>
      </c>
      <c r="L770" s="9">
        <f>YEAR(E770)</f>
        <v>2020</v>
      </c>
      <c r="M770" s="11">
        <f t="shared" si="13"/>
        <v>6714349.8400000008</v>
      </c>
    </row>
    <row r="771" spans="1:13" ht="20" customHeight="1" x14ac:dyDescent="0.15">
      <c r="A771" s="12"/>
      <c r="B771" s="13" t="s">
        <v>632</v>
      </c>
      <c r="C771" s="14" t="s">
        <v>43</v>
      </c>
      <c r="D771" s="15" t="s">
        <v>139</v>
      </c>
      <c r="E771" s="15" t="s">
        <v>675</v>
      </c>
      <c r="F771" s="16">
        <v>673</v>
      </c>
      <c r="G771" s="17">
        <v>20247.87</v>
      </c>
      <c r="H771" s="17">
        <v>6035.27</v>
      </c>
      <c r="I771" s="17">
        <v>13626816.51</v>
      </c>
      <c r="J771" s="15" t="s">
        <v>28</v>
      </c>
      <c r="K771" s="15" t="s">
        <v>18</v>
      </c>
      <c r="L771" s="9">
        <f>YEAR(E771)</f>
        <v>2020</v>
      </c>
      <c r="M771" s="11">
        <f t="shared" si="13"/>
        <v>4061736.7100000004</v>
      </c>
    </row>
    <row r="772" spans="1:13" ht="20" customHeight="1" x14ac:dyDescent="0.15">
      <c r="A772" s="12"/>
      <c r="B772" s="13" t="s">
        <v>632</v>
      </c>
      <c r="C772" s="14" t="s">
        <v>57</v>
      </c>
      <c r="D772" s="15" t="s">
        <v>15</v>
      </c>
      <c r="E772" s="15" t="s">
        <v>401</v>
      </c>
      <c r="F772" s="16">
        <v>340</v>
      </c>
      <c r="G772" s="17">
        <v>12752.48</v>
      </c>
      <c r="H772" s="17">
        <v>2678.21</v>
      </c>
      <c r="I772" s="19">
        <v>4335843.2</v>
      </c>
      <c r="J772" s="15" t="s">
        <v>17</v>
      </c>
      <c r="K772" s="15" t="s">
        <v>18</v>
      </c>
      <c r="L772" s="9">
        <f>YEAR(E772)</f>
        <v>2020</v>
      </c>
      <c r="M772" s="11">
        <f t="shared" si="13"/>
        <v>910591.4</v>
      </c>
    </row>
    <row r="773" spans="1:13" ht="20" customHeight="1" x14ac:dyDescent="0.15">
      <c r="A773" s="12"/>
      <c r="B773" s="13" t="s">
        <v>632</v>
      </c>
      <c r="C773" s="14" t="s">
        <v>38</v>
      </c>
      <c r="D773" s="15" t="s">
        <v>139</v>
      </c>
      <c r="E773" s="15" t="s">
        <v>440</v>
      </c>
      <c r="F773" s="16">
        <v>143</v>
      </c>
      <c r="G773" s="17">
        <v>16022.18</v>
      </c>
      <c r="H773" s="17">
        <v>6105.63</v>
      </c>
      <c r="I773" s="17">
        <v>2291171.7400000002</v>
      </c>
      <c r="J773" s="15" t="s">
        <v>30</v>
      </c>
      <c r="K773" s="15" t="s">
        <v>18</v>
      </c>
      <c r="L773" s="9">
        <f>YEAR(E773)</f>
        <v>2020</v>
      </c>
      <c r="M773" s="11">
        <f t="shared" ref="M773:M836" si="14">H773*F773</f>
        <v>873105.09</v>
      </c>
    </row>
    <row r="774" spans="1:13" ht="20" customHeight="1" x14ac:dyDescent="0.15">
      <c r="A774" s="12"/>
      <c r="B774" s="13" t="s">
        <v>632</v>
      </c>
      <c r="C774" s="14" t="s">
        <v>23</v>
      </c>
      <c r="D774" s="15" t="s">
        <v>139</v>
      </c>
      <c r="E774" s="15" t="s">
        <v>681</v>
      </c>
      <c r="F774" s="16">
        <v>945</v>
      </c>
      <c r="G774" s="17">
        <v>20163.080000000002</v>
      </c>
      <c r="H774" s="17">
        <v>5019.62</v>
      </c>
      <c r="I774" s="19">
        <v>19054110.600000001</v>
      </c>
      <c r="J774" s="15" t="s">
        <v>17</v>
      </c>
      <c r="K774" s="15" t="s">
        <v>18</v>
      </c>
      <c r="L774" s="9">
        <f>YEAR(E774)</f>
        <v>2020</v>
      </c>
      <c r="M774" s="11">
        <f t="shared" si="14"/>
        <v>4743540.8999999994</v>
      </c>
    </row>
    <row r="775" spans="1:13" ht="20" customHeight="1" x14ac:dyDescent="0.15">
      <c r="A775" s="12"/>
      <c r="B775" s="13" t="s">
        <v>632</v>
      </c>
      <c r="C775" s="14" t="s">
        <v>43</v>
      </c>
      <c r="D775" s="15" t="s">
        <v>107</v>
      </c>
      <c r="E775" s="15" t="s">
        <v>682</v>
      </c>
      <c r="F775" s="16">
        <v>860</v>
      </c>
      <c r="G775" s="17">
        <v>47901.59</v>
      </c>
      <c r="H775" s="17">
        <v>9626.5400000000009</v>
      </c>
      <c r="I775" s="19">
        <v>41195367.399999999</v>
      </c>
      <c r="J775" s="15" t="s">
        <v>22</v>
      </c>
      <c r="K775" s="15" t="s">
        <v>18</v>
      </c>
      <c r="L775" s="9">
        <f>YEAR(E775)</f>
        <v>2020</v>
      </c>
      <c r="M775" s="11">
        <f t="shared" si="14"/>
        <v>8278824.4000000004</v>
      </c>
    </row>
    <row r="776" spans="1:13" ht="20" customHeight="1" x14ac:dyDescent="0.15">
      <c r="A776" s="12"/>
      <c r="B776" s="13" t="s">
        <v>632</v>
      </c>
      <c r="C776" s="14" t="s">
        <v>31</v>
      </c>
      <c r="D776" s="15" t="s">
        <v>107</v>
      </c>
      <c r="E776" s="15" t="s">
        <v>683</v>
      </c>
      <c r="F776" s="16">
        <v>915</v>
      </c>
      <c r="G776" s="17">
        <v>42823.71</v>
      </c>
      <c r="H776" s="17">
        <v>9917.77</v>
      </c>
      <c r="I776" s="17">
        <v>39183694.649999999</v>
      </c>
      <c r="J776" s="15" t="s">
        <v>17</v>
      </c>
      <c r="K776" s="15" t="s">
        <v>18</v>
      </c>
      <c r="L776" s="9">
        <f>YEAR(E776)</f>
        <v>2020</v>
      </c>
      <c r="M776" s="11">
        <f t="shared" si="14"/>
        <v>9074759.5500000007</v>
      </c>
    </row>
    <row r="777" spans="1:13" ht="20" customHeight="1" x14ac:dyDescent="0.15">
      <c r="A777" s="12"/>
      <c r="B777" s="13" t="s">
        <v>632</v>
      </c>
      <c r="C777" s="14" t="s">
        <v>23</v>
      </c>
      <c r="D777" s="15" t="s">
        <v>107</v>
      </c>
      <c r="E777" s="15" t="s">
        <v>272</v>
      </c>
      <c r="F777" s="16">
        <v>824</v>
      </c>
      <c r="G777" s="17">
        <v>10293.39</v>
      </c>
      <c r="H777" s="17">
        <v>3434.07</v>
      </c>
      <c r="I777" s="17">
        <v>8481753.3599999994</v>
      </c>
      <c r="J777" s="15" t="s">
        <v>17</v>
      </c>
      <c r="K777" s="15" t="s">
        <v>18</v>
      </c>
      <c r="L777" s="9">
        <f>YEAR(E777)</f>
        <v>2020</v>
      </c>
      <c r="M777" s="11">
        <f t="shared" si="14"/>
        <v>2829673.68</v>
      </c>
    </row>
    <row r="778" spans="1:13" ht="20" customHeight="1" x14ac:dyDescent="0.15">
      <c r="A778" s="12"/>
      <c r="B778" s="13" t="s">
        <v>632</v>
      </c>
      <c r="C778" s="14" t="s">
        <v>57</v>
      </c>
      <c r="D778" s="15" t="s">
        <v>107</v>
      </c>
      <c r="E778" s="15" t="s">
        <v>685</v>
      </c>
      <c r="F778" s="16">
        <v>310</v>
      </c>
      <c r="G778" s="17">
        <v>49484.99</v>
      </c>
      <c r="H778" s="17">
        <v>3040.11</v>
      </c>
      <c r="I778" s="19">
        <v>15340346.9</v>
      </c>
      <c r="J778" s="15" t="s">
        <v>17</v>
      </c>
      <c r="K778" s="15" t="s">
        <v>18</v>
      </c>
      <c r="L778" s="9">
        <f>YEAR(E778)</f>
        <v>2020</v>
      </c>
      <c r="M778" s="11">
        <f t="shared" si="14"/>
        <v>942434.10000000009</v>
      </c>
    </row>
    <row r="779" spans="1:13" ht="20" customHeight="1" x14ac:dyDescent="0.15">
      <c r="A779" s="12"/>
      <c r="B779" s="13" t="s">
        <v>632</v>
      </c>
      <c r="C779" s="14" t="s">
        <v>23</v>
      </c>
      <c r="D779" s="15" t="s">
        <v>114</v>
      </c>
      <c r="E779" s="15" t="s">
        <v>690</v>
      </c>
      <c r="F779" s="16">
        <v>189</v>
      </c>
      <c r="G779" s="17">
        <v>32429.66</v>
      </c>
      <c r="H779" s="17">
        <v>5579.11</v>
      </c>
      <c r="I779" s="17">
        <v>6129205.7400000002</v>
      </c>
      <c r="J779" s="15" t="s">
        <v>17</v>
      </c>
      <c r="K779" s="15" t="s">
        <v>18</v>
      </c>
      <c r="L779" s="9">
        <f>YEAR(E779)</f>
        <v>2020</v>
      </c>
      <c r="M779" s="11">
        <f t="shared" si="14"/>
        <v>1054451.79</v>
      </c>
    </row>
    <row r="780" spans="1:13" ht="20" customHeight="1" x14ac:dyDescent="0.15">
      <c r="A780" s="12"/>
      <c r="B780" s="13" t="s">
        <v>632</v>
      </c>
      <c r="C780" s="14" t="s">
        <v>14</v>
      </c>
      <c r="D780" s="15" t="s">
        <v>114</v>
      </c>
      <c r="E780" s="15" t="s">
        <v>469</v>
      </c>
      <c r="F780" s="16">
        <v>547</v>
      </c>
      <c r="G780" s="17">
        <v>40318.720000000001</v>
      </c>
      <c r="H780" s="17">
        <v>3455.24</v>
      </c>
      <c r="I780" s="17">
        <v>22054339.84</v>
      </c>
      <c r="J780" s="15" t="s">
        <v>30</v>
      </c>
      <c r="K780" s="15" t="s">
        <v>18</v>
      </c>
      <c r="L780" s="9">
        <f>YEAR(E780)</f>
        <v>2020</v>
      </c>
      <c r="M780" s="11">
        <f t="shared" si="14"/>
        <v>1890016.2799999998</v>
      </c>
    </row>
    <row r="781" spans="1:13" ht="20" customHeight="1" x14ac:dyDescent="0.15">
      <c r="A781" s="12"/>
      <c r="B781" s="13" t="s">
        <v>632</v>
      </c>
      <c r="C781" s="14" t="s">
        <v>43</v>
      </c>
      <c r="D781" s="15" t="s">
        <v>114</v>
      </c>
      <c r="E781" s="15" t="s">
        <v>694</v>
      </c>
      <c r="F781" s="16">
        <v>405</v>
      </c>
      <c r="G781" s="17">
        <v>46606.43</v>
      </c>
      <c r="H781" s="17">
        <v>5181.2299999999996</v>
      </c>
      <c r="I781" s="17">
        <v>18875604.149999999</v>
      </c>
      <c r="J781" s="15" t="s">
        <v>30</v>
      </c>
      <c r="K781" s="15" t="s">
        <v>18</v>
      </c>
      <c r="L781" s="9">
        <f>YEAR(E781)</f>
        <v>2020</v>
      </c>
      <c r="M781" s="11">
        <f t="shared" si="14"/>
        <v>2098398.15</v>
      </c>
    </row>
    <row r="782" spans="1:13" ht="20" customHeight="1" x14ac:dyDescent="0.15">
      <c r="A782" s="12"/>
      <c r="B782" s="13" t="s">
        <v>632</v>
      </c>
      <c r="C782" s="14" t="s">
        <v>14</v>
      </c>
      <c r="D782" s="15" t="s">
        <v>114</v>
      </c>
      <c r="E782" s="15" t="s">
        <v>695</v>
      </c>
      <c r="F782" s="16">
        <v>374</v>
      </c>
      <c r="G782" s="17">
        <v>46332.41</v>
      </c>
      <c r="H782" s="17">
        <v>6794.61</v>
      </c>
      <c r="I782" s="17">
        <v>17328321.34</v>
      </c>
      <c r="J782" s="15" t="s">
        <v>17</v>
      </c>
      <c r="K782" s="15" t="s">
        <v>18</v>
      </c>
      <c r="L782" s="9">
        <f>YEAR(E782)</f>
        <v>2020</v>
      </c>
      <c r="M782" s="11">
        <f t="shared" si="14"/>
        <v>2541184.1399999997</v>
      </c>
    </row>
    <row r="783" spans="1:13" ht="20" customHeight="1" x14ac:dyDescent="0.15">
      <c r="A783" s="12"/>
      <c r="B783" s="13" t="s">
        <v>632</v>
      </c>
      <c r="C783" s="14" t="s">
        <v>57</v>
      </c>
      <c r="D783" s="15" t="s">
        <v>114</v>
      </c>
      <c r="E783" s="15" t="s">
        <v>254</v>
      </c>
      <c r="F783" s="16">
        <v>435</v>
      </c>
      <c r="G783" s="17">
        <v>19481.189999999999</v>
      </c>
      <c r="H783" s="17">
        <v>4810.38</v>
      </c>
      <c r="I783" s="17">
        <v>8474317.6500000004</v>
      </c>
      <c r="J783" s="15" t="s">
        <v>28</v>
      </c>
      <c r="K783" s="15" t="s">
        <v>18</v>
      </c>
      <c r="L783" s="9">
        <f>YEAR(E783)</f>
        <v>2020</v>
      </c>
      <c r="M783" s="11">
        <f t="shared" si="14"/>
        <v>2092515.3</v>
      </c>
    </row>
    <row r="784" spans="1:13" ht="20" customHeight="1" x14ac:dyDescent="0.15">
      <c r="A784" s="12"/>
      <c r="B784" s="13" t="s">
        <v>632</v>
      </c>
      <c r="C784" s="14" t="s">
        <v>19</v>
      </c>
      <c r="D784" s="15" t="s">
        <v>114</v>
      </c>
      <c r="E784" s="15" t="s">
        <v>699</v>
      </c>
      <c r="F784" s="16">
        <v>710</v>
      </c>
      <c r="G784" s="17">
        <v>48182.29</v>
      </c>
      <c r="H784" s="17">
        <v>5868.44</v>
      </c>
      <c r="I784" s="19">
        <v>34209425.899999999</v>
      </c>
      <c r="J784" s="15" t="s">
        <v>22</v>
      </c>
      <c r="K784" s="15" t="s">
        <v>18</v>
      </c>
      <c r="L784" s="9">
        <f>YEAR(E784)</f>
        <v>2020</v>
      </c>
      <c r="M784" s="11">
        <f t="shared" si="14"/>
        <v>4166592.4</v>
      </c>
    </row>
    <row r="785" spans="1:13" ht="20" customHeight="1" x14ac:dyDescent="0.15">
      <c r="A785" s="12"/>
      <c r="B785" s="13" t="s">
        <v>632</v>
      </c>
      <c r="C785" s="14" t="s">
        <v>43</v>
      </c>
      <c r="D785" s="15" t="s">
        <v>68</v>
      </c>
      <c r="E785" s="15" t="s">
        <v>702</v>
      </c>
      <c r="F785" s="16">
        <v>401</v>
      </c>
      <c r="G785" s="17">
        <v>23465.06</v>
      </c>
      <c r="H785" s="17">
        <v>6456.01</v>
      </c>
      <c r="I785" s="17">
        <v>9409489.0600000005</v>
      </c>
      <c r="J785" s="15" t="s">
        <v>17</v>
      </c>
      <c r="K785" s="15" t="s">
        <v>18</v>
      </c>
      <c r="L785" s="9">
        <f>YEAR(E785)</f>
        <v>2020</v>
      </c>
      <c r="M785" s="11">
        <f t="shared" si="14"/>
        <v>2588860.0100000002</v>
      </c>
    </row>
    <row r="786" spans="1:13" ht="20" customHeight="1" x14ac:dyDescent="0.15">
      <c r="A786" s="12"/>
      <c r="B786" s="13" t="s">
        <v>632</v>
      </c>
      <c r="C786" s="14" t="s">
        <v>43</v>
      </c>
      <c r="D786" s="15" t="s">
        <v>68</v>
      </c>
      <c r="E786" s="15" t="s">
        <v>705</v>
      </c>
      <c r="F786" s="16">
        <v>133</v>
      </c>
      <c r="G786" s="17">
        <v>10598.63</v>
      </c>
      <c r="H786" s="17">
        <v>2227.19</v>
      </c>
      <c r="I786" s="17">
        <v>1409617.79</v>
      </c>
      <c r="J786" s="15" t="s">
        <v>22</v>
      </c>
      <c r="K786" s="15" t="s">
        <v>18</v>
      </c>
      <c r="L786" s="9">
        <f>YEAR(E786)</f>
        <v>2020</v>
      </c>
      <c r="M786" s="11">
        <f t="shared" si="14"/>
        <v>296216.27</v>
      </c>
    </row>
    <row r="787" spans="1:13" ht="20" customHeight="1" x14ac:dyDescent="0.15">
      <c r="A787" s="12"/>
      <c r="B787" s="13" t="s">
        <v>632</v>
      </c>
      <c r="C787" s="14" t="s">
        <v>43</v>
      </c>
      <c r="D787" s="15" t="s">
        <v>89</v>
      </c>
      <c r="E787" s="15" t="s">
        <v>634</v>
      </c>
      <c r="F787" s="16">
        <v>210</v>
      </c>
      <c r="G787" s="17">
        <v>16164.04</v>
      </c>
      <c r="H787" s="17">
        <v>5948.16</v>
      </c>
      <c r="I787" s="19">
        <v>3394448.4</v>
      </c>
      <c r="J787" s="15" t="s">
        <v>17</v>
      </c>
      <c r="K787" s="15" t="s">
        <v>18</v>
      </c>
      <c r="L787" s="9">
        <f>YEAR(E787)</f>
        <v>2021</v>
      </c>
      <c r="M787" s="11">
        <f t="shared" si="14"/>
        <v>1249113.5999999999</v>
      </c>
    </row>
    <row r="788" spans="1:13" ht="20" customHeight="1" x14ac:dyDescent="0.15">
      <c r="A788" s="12"/>
      <c r="B788" s="13" t="s">
        <v>632</v>
      </c>
      <c r="C788" s="14" t="s">
        <v>79</v>
      </c>
      <c r="D788" s="15" t="s">
        <v>70</v>
      </c>
      <c r="E788" s="15" t="s">
        <v>638</v>
      </c>
      <c r="F788" s="16">
        <v>301</v>
      </c>
      <c r="G788" s="17">
        <v>46047.77</v>
      </c>
      <c r="H788" s="17">
        <v>3519.61</v>
      </c>
      <c r="I788" s="17">
        <v>13860378.77</v>
      </c>
      <c r="J788" s="15" t="s">
        <v>17</v>
      </c>
      <c r="K788" s="15" t="s">
        <v>18</v>
      </c>
      <c r="L788" s="9">
        <f>YEAR(E788)</f>
        <v>2021</v>
      </c>
      <c r="M788" s="11">
        <f t="shared" si="14"/>
        <v>1059402.6100000001</v>
      </c>
    </row>
    <row r="789" spans="1:13" ht="20" customHeight="1" x14ac:dyDescent="0.15">
      <c r="A789" s="12"/>
      <c r="B789" s="13" t="s">
        <v>632</v>
      </c>
      <c r="C789" s="14" t="s">
        <v>19</v>
      </c>
      <c r="D789" s="15" t="s">
        <v>70</v>
      </c>
      <c r="E789" s="15" t="s">
        <v>639</v>
      </c>
      <c r="F789" s="16">
        <v>671</v>
      </c>
      <c r="G789" s="17">
        <v>23316.71</v>
      </c>
      <c r="H789" s="17">
        <v>3376.13</v>
      </c>
      <c r="I789" s="17">
        <v>15645512.41</v>
      </c>
      <c r="J789" s="15" t="s">
        <v>17</v>
      </c>
      <c r="K789" s="15" t="s">
        <v>18</v>
      </c>
      <c r="L789" s="9">
        <f>YEAR(E789)</f>
        <v>2021</v>
      </c>
      <c r="M789" s="11">
        <f t="shared" si="14"/>
        <v>2265383.23</v>
      </c>
    </row>
    <row r="790" spans="1:13" ht="20" customHeight="1" x14ac:dyDescent="0.15">
      <c r="A790" s="12"/>
      <c r="B790" s="13" t="s">
        <v>632</v>
      </c>
      <c r="C790" s="14" t="s">
        <v>57</v>
      </c>
      <c r="D790" s="15" t="s">
        <v>70</v>
      </c>
      <c r="E790" s="15" t="s">
        <v>160</v>
      </c>
      <c r="F790" s="16">
        <v>709</v>
      </c>
      <c r="G790" s="19">
        <v>41015.1</v>
      </c>
      <c r="H790" s="17">
        <v>8138.42</v>
      </c>
      <c r="I790" s="19">
        <v>29079705.899999999</v>
      </c>
      <c r="J790" s="15" t="s">
        <v>28</v>
      </c>
      <c r="K790" s="15" t="s">
        <v>18</v>
      </c>
      <c r="L790" s="9">
        <f>YEAR(E790)</f>
        <v>2021</v>
      </c>
      <c r="M790" s="11">
        <f t="shared" si="14"/>
        <v>5770139.7800000003</v>
      </c>
    </row>
    <row r="791" spans="1:13" ht="20" customHeight="1" x14ac:dyDescent="0.15">
      <c r="A791" s="12"/>
      <c r="B791" s="13" t="s">
        <v>632</v>
      </c>
      <c r="C791" s="14" t="s">
        <v>43</v>
      </c>
      <c r="D791" s="15" t="s">
        <v>70</v>
      </c>
      <c r="E791" s="15" t="s">
        <v>645</v>
      </c>
      <c r="F791" s="16">
        <v>599</v>
      </c>
      <c r="G791" s="17">
        <v>48007.01</v>
      </c>
      <c r="H791" s="17">
        <v>6015.13</v>
      </c>
      <c r="I791" s="17">
        <v>28756198.989999998</v>
      </c>
      <c r="J791" s="15" t="s">
        <v>22</v>
      </c>
      <c r="K791" s="15" t="s">
        <v>18</v>
      </c>
      <c r="L791" s="9">
        <f>YEAR(E791)</f>
        <v>2021</v>
      </c>
      <c r="M791" s="11">
        <f t="shared" si="14"/>
        <v>3603062.87</v>
      </c>
    </row>
    <row r="792" spans="1:13" ht="20" customHeight="1" x14ac:dyDescent="0.15">
      <c r="A792" s="12"/>
      <c r="B792" s="13" t="s">
        <v>632</v>
      </c>
      <c r="C792" s="14" t="s">
        <v>14</v>
      </c>
      <c r="D792" s="15" t="s">
        <v>70</v>
      </c>
      <c r="E792" s="15" t="s">
        <v>646</v>
      </c>
      <c r="F792" s="16">
        <v>424</v>
      </c>
      <c r="G792" s="17">
        <v>15631.78</v>
      </c>
      <c r="H792" s="17">
        <v>6918.65</v>
      </c>
      <c r="I792" s="17">
        <v>6627874.7199999997</v>
      </c>
      <c r="J792" s="15" t="s">
        <v>17</v>
      </c>
      <c r="K792" s="15" t="s">
        <v>18</v>
      </c>
      <c r="L792" s="9">
        <f>YEAR(E792)</f>
        <v>2021</v>
      </c>
      <c r="M792" s="11">
        <f t="shared" si="14"/>
        <v>2933507.5999999996</v>
      </c>
    </row>
    <row r="793" spans="1:13" ht="20" customHeight="1" x14ac:dyDescent="0.15">
      <c r="A793" s="12"/>
      <c r="B793" s="13" t="s">
        <v>632</v>
      </c>
      <c r="C793" s="14" t="s">
        <v>35</v>
      </c>
      <c r="D793" s="15" t="s">
        <v>26</v>
      </c>
      <c r="E793" s="15" t="s">
        <v>648</v>
      </c>
      <c r="F793" s="16">
        <v>562</v>
      </c>
      <c r="G793" s="19">
        <v>48517.1</v>
      </c>
      <c r="H793" s="17">
        <v>3273.33</v>
      </c>
      <c r="I793" s="19">
        <v>27266610.199999999</v>
      </c>
      <c r="J793" s="15" t="s">
        <v>17</v>
      </c>
      <c r="K793" s="15" t="s">
        <v>18</v>
      </c>
      <c r="L793" s="9">
        <f>YEAR(E793)</f>
        <v>2021</v>
      </c>
      <c r="M793" s="11">
        <f t="shared" si="14"/>
        <v>1839611.46</v>
      </c>
    </row>
    <row r="794" spans="1:13" ht="20" customHeight="1" x14ac:dyDescent="0.15">
      <c r="A794" s="12"/>
      <c r="B794" s="13" t="s">
        <v>632</v>
      </c>
      <c r="C794" s="14" t="s">
        <v>35</v>
      </c>
      <c r="D794" s="15" t="s">
        <v>26</v>
      </c>
      <c r="E794" s="15" t="s">
        <v>631</v>
      </c>
      <c r="F794" s="16">
        <v>957</v>
      </c>
      <c r="G794" s="17">
        <v>27374.69</v>
      </c>
      <c r="H794" s="17">
        <v>9259.27</v>
      </c>
      <c r="I794" s="17">
        <v>26197578.329999998</v>
      </c>
      <c r="J794" s="15" t="s">
        <v>30</v>
      </c>
      <c r="K794" s="15" t="s">
        <v>18</v>
      </c>
      <c r="L794" s="9">
        <f>YEAR(E794)</f>
        <v>2021</v>
      </c>
      <c r="M794" s="11">
        <f t="shared" si="14"/>
        <v>8861121.3900000006</v>
      </c>
    </row>
    <row r="795" spans="1:13" ht="20" customHeight="1" x14ac:dyDescent="0.15">
      <c r="A795" s="12"/>
      <c r="B795" s="13" t="s">
        <v>632</v>
      </c>
      <c r="C795" s="14" t="s">
        <v>57</v>
      </c>
      <c r="D795" s="15" t="s">
        <v>26</v>
      </c>
      <c r="E795" s="15" t="s">
        <v>347</v>
      </c>
      <c r="F795" s="16">
        <v>177</v>
      </c>
      <c r="G795" s="17">
        <v>36589.22</v>
      </c>
      <c r="H795" s="17">
        <v>3427.72</v>
      </c>
      <c r="I795" s="17">
        <v>6476291.9400000004</v>
      </c>
      <c r="J795" s="15" t="s">
        <v>17</v>
      </c>
      <c r="K795" s="15" t="s">
        <v>18</v>
      </c>
      <c r="L795" s="9">
        <f>YEAR(E795)</f>
        <v>2021</v>
      </c>
      <c r="M795" s="11">
        <f t="shared" si="14"/>
        <v>606706.43999999994</v>
      </c>
    </row>
    <row r="796" spans="1:13" ht="20" customHeight="1" x14ac:dyDescent="0.15">
      <c r="A796" s="12"/>
      <c r="B796" s="13" t="s">
        <v>632</v>
      </c>
      <c r="C796" s="14" t="s">
        <v>31</v>
      </c>
      <c r="D796" s="15" t="s">
        <v>15</v>
      </c>
      <c r="E796" s="15" t="s">
        <v>347</v>
      </c>
      <c r="F796" s="16">
        <v>804</v>
      </c>
      <c r="G796" s="17">
        <v>28787.91</v>
      </c>
      <c r="H796" s="17">
        <v>8809.98</v>
      </c>
      <c r="I796" s="17">
        <v>23145479.640000001</v>
      </c>
      <c r="J796" s="15" t="s">
        <v>28</v>
      </c>
      <c r="K796" s="15" t="s">
        <v>18</v>
      </c>
      <c r="L796" s="9">
        <f>YEAR(E796)</f>
        <v>2021</v>
      </c>
      <c r="M796" s="11">
        <f t="shared" si="14"/>
        <v>7083223.9199999999</v>
      </c>
    </row>
    <row r="797" spans="1:13" ht="20" customHeight="1" x14ac:dyDescent="0.15">
      <c r="A797" s="12"/>
      <c r="B797" s="13" t="s">
        <v>632</v>
      </c>
      <c r="C797" s="14" t="s">
        <v>43</v>
      </c>
      <c r="D797" s="15" t="s">
        <v>26</v>
      </c>
      <c r="E797" s="15" t="s">
        <v>653</v>
      </c>
      <c r="F797" s="16">
        <v>807</v>
      </c>
      <c r="G797" s="17">
        <v>38087.660000000003</v>
      </c>
      <c r="H797" s="17">
        <v>6847.72</v>
      </c>
      <c r="I797" s="17">
        <v>30736741.620000001</v>
      </c>
      <c r="J797" s="15" t="s">
        <v>17</v>
      </c>
      <c r="K797" s="15" t="s">
        <v>18</v>
      </c>
      <c r="L797" s="9">
        <f>YEAR(E797)</f>
        <v>2021</v>
      </c>
      <c r="M797" s="11">
        <f t="shared" si="14"/>
        <v>5526110.04</v>
      </c>
    </row>
    <row r="798" spans="1:13" ht="20" customHeight="1" x14ac:dyDescent="0.15">
      <c r="A798" s="12"/>
      <c r="B798" s="13" t="s">
        <v>632</v>
      </c>
      <c r="C798" s="14" t="s">
        <v>43</v>
      </c>
      <c r="D798" s="15" t="s">
        <v>26</v>
      </c>
      <c r="E798" s="15" t="s">
        <v>656</v>
      </c>
      <c r="F798" s="16">
        <v>357</v>
      </c>
      <c r="G798" s="17">
        <v>25681.71</v>
      </c>
      <c r="H798" s="17">
        <v>5818.74</v>
      </c>
      <c r="I798" s="17">
        <v>9168370.4700000007</v>
      </c>
      <c r="J798" s="15" t="s">
        <v>17</v>
      </c>
      <c r="K798" s="15" t="s">
        <v>18</v>
      </c>
      <c r="L798" s="9">
        <f>YEAR(E798)</f>
        <v>2021</v>
      </c>
      <c r="M798" s="11">
        <f t="shared" si="14"/>
        <v>2077290.18</v>
      </c>
    </row>
    <row r="799" spans="1:13" ht="20" customHeight="1" x14ac:dyDescent="0.15">
      <c r="A799" s="12"/>
      <c r="B799" s="13" t="s">
        <v>632</v>
      </c>
      <c r="C799" s="14" t="s">
        <v>25</v>
      </c>
      <c r="D799" s="15" t="s">
        <v>153</v>
      </c>
      <c r="E799" s="15" t="s">
        <v>41</v>
      </c>
      <c r="F799" s="16">
        <v>267</v>
      </c>
      <c r="G799" s="19">
        <v>17307.3</v>
      </c>
      <c r="H799" s="17">
        <v>9600.9599999999991</v>
      </c>
      <c r="I799" s="19">
        <v>4621049.0999999996</v>
      </c>
      <c r="J799" s="15" t="s">
        <v>30</v>
      </c>
      <c r="K799" s="15" t="s">
        <v>18</v>
      </c>
      <c r="L799" s="9">
        <f>YEAR(E799)</f>
        <v>2021</v>
      </c>
      <c r="M799" s="11">
        <f t="shared" si="14"/>
        <v>2563456.3199999998</v>
      </c>
    </row>
    <row r="800" spans="1:13" ht="20" customHeight="1" x14ac:dyDescent="0.15">
      <c r="A800" s="12"/>
      <c r="B800" s="13" t="s">
        <v>632</v>
      </c>
      <c r="C800" s="14" t="s">
        <v>43</v>
      </c>
      <c r="D800" s="15" t="s">
        <v>153</v>
      </c>
      <c r="E800" s="15" t="s">
        <v>341</v>
      </c>
      <c r="F800" s="16">
        <v>173</v>
      </c>
      <c r="G800" s="17">
        <v>48027.01</v>
      </c>
      <c r="H800" s="17">
        <v>4082.66</v>
      </c>
      <c r="I800" s="17">
        <v>8308672.7300000004</v>
      </c>
      <c r="J800" s="15" t="s">
        <v>28</v>
      </c>
      <c r="K800" s="15" t="s">
        <v>18</v>
      </c>
      <c r="L800" s="9">
        <f>YEAR(E800)</f>
        <v>2021</v>
      </c>
      <c r="M800" s="11">
        <f t="shared" si="14"/>
        <v>706300.17999999993</v>
      </c>
    </row>
    <row r="801" spans="1:13" ht="20" customHeight="1" x14ac:dyDescent="0.15">
      <c r="A801" s="12"/>
      <c r="B801" s="13" t="s">
        <v>632</v>
      </c>
      <c r="C801" s="14" t="s">
        <v>14</v>
      </c>
      <c r="D801" s="15" t="s">
        <v>153</v>
      </c>
      <c r="E801" s="15" t="s">
        <v>660</v>
      </c>
      <c r="F801" s="16">
        <v>199</v>
      </c>
      <c r="G801" s="17">
        <v>47269.53</v>
      </c>
      <c r="H801" s="19">
        <v>9258.5</v>
      </c>
      <c r="I801" s="17">
        <v>9406636.4700000007</v>
      </c>
      <c r="J801" s="15" t="s">
        <v>17</v>
      </c>
      <c r="K801" s="15" t="s">
        <v>18</v>
      </c>
      <c r="L801" s="9">
        <f>YEAR(E801)</f>
        <v>2021</v>
      </c>
      <c r="M801" s="11">
        <f t="shared" si="14"/>
        <v>1842441.5</v>
      </c>
    </row>
    <row r="802" spans="1:13" ht="20" customHeight="1" x14ac:dyDescent="0.15">
      <c r="A802" s="12"/>
      <c r="B802" s="13" t="s">
        <v>632</v>
      </c>
      <c r="C802" s="14" t="s">
        <v>35</v>
      </c>
      <c r="D802" s="15" t="s">
        <v>153</v>
      </c>
      <c r="E802" s="15" t="s">
        <v>662</v>
      </c>
      <c r="F802" s="16">
        <v>343</v>
      </c>
      <c r="G802" s="17">
        <v>48026.63</v>
      </c>
      <c r="H802" s="17">
        <v>6193.02</v>
      </c>
      <c r="I802" s="17">
        <v>16473134.09</v>
      </c>
      <c r="J802" s="15" t="s">
        <v>17</v>
      </c>
      <c r="K802" s="15" t="s">
        <v>18</v>
      </c>
      <c r="L802" s="9">
        <f>YEAR(E802)</f>
        <v>2021</v>
      </c>
      <c r="M802" s="11">
        <f t="shared" si="14"/>
        <v>2124205.8600000003</v>
      </c>
    </row>
    <row r="803" spans="1:13" ht="20" customHeight="1" x14ac:dyDescent="0.15">
      <c r="A803" s="12"/>
      <c r="B803" s="13" t="s">
        <v>632</v>
      </c>
      <c r="C803" s="14" t="s">
        <v>14</v>
      </c>
      <c r="D803" s="15" t="s">
        <v>53</v>
      </c>
      <c r="E803" s="15" t="s">
        <v>128</v>
      </c>
      <c r="F803" s="16">
        <v>667</v>
      </c>
      <c r="G803" s="17">
        <v>33489.07</v>
      </c>
      <c r="H803" s="17">
        <v>9214.17</v>
      </c>
      <c r="I803" s="17">
        <v>22337209.690000001</v>
      </c>
      <c r="J803" s="15" t="s">
        <v>17</v>
      </c>
      <c r="K803" s="15" t="s">
        <v>18</v>
      </c>
      <c r="L803" s="9">
        <f>YEAR(E803)</f>
        <v>2021</v>
      </c>
      <c r="M803" s="11">
        <f t="shared" si="14"/>
        <v>6145851.3899999997</v>
      </c>
    </row>
    <row r="804" spans="1:13" ht="20" customHeight="1" x14ac:dyDescent="0.15">
      <c r="A804" s="12"/>
      <c r="B804" s="13" t="s">
        <v>632</v>
      </c>
      <c r="C804" s="14" t="s">
        <v>23</v>
      </c>
      <c r="D804" s="15" t="s">
        <v>53</v>
      </c>
      <c r="E804" s="15" t="s">
        <v>629</v>
      </c>
      <c r="F804" s="16">
        <v>413</v>
      </c>
      <c r="G804" s="17">
        <v>47019.51</v>
      </c>
      <c r="H804" s="17">
        <v>3971.94</v>
      </c>
      <c r="I804" s="17">
        <v>19419057.629999999</v>
      </c>
      <c r="J804" s="15" t="s">
        <v>17</v>
      </c>
      <c r="K804" s="15" t="s">
        <v>18</v>
      </c>
      <c r="L804" s="9">
        <f>YEAR(E804)</f>
        <v>2021</v>
      </c>
      <c r="M804" s="11">
        <f t="shared" si="14"/>
        <v>1640411.22</v>
      </c>
    </row>
    <row r="805" spans="1:13" ht="20" customHeight="1" x14ac:dyDescent="0.15">
      <c r="A805" s="12"/>
      <c r="B805" s="13" t="s">
        <v>632</v>
      </c>
      <c r="C805" s="14" t="s">
        <v>35</v>
      </c>
      <c r="D805" s="15" t="s">
        <v>53</v>
      </c>
      <c r="E805" s="15" t="s">
        <v>525</v>
      </c>
      <c r="F805" s="16">
        <v>855</v>
      </c>
      <c r="G805" s="17">
        <v>40697.769999999997</v>
      </c>
      <c r="H805" s="17">
        <v>3184.83</v>
      </c>
      <c r="I805" s="17">
        <v>34796593.350000001</v>
      </c>
      <c r="J805" s="15" t="s">
        <v>17</v>
      </c>
      <c r="K805" s="15" t="s">
        <v>18</v>
      </c>
      <c r="L805" s="9">
        <f>YEAR(E805)</f>
        <v>2021</v>
      </c>
      <c r="M805" s="11">
        <f t="shared" si="14"/>
        <v>2723029.65</v>
      </c>
    </row>
    <row r="806" spans="1:13" ht="20" customHeight="1" x14ac:dyDescent="0.15">
      <c r="A806" s="12"/>
      <c r="B806" s="13" t="s">
        <v>632</v>
      </c>
      <c r="C806" s="14" t="s">
        <v>31</v>
      </c>
      <c r="D806" s="15" t="s">
        <v>53</v>
      </c>
      <c r="E806" s="15" t="s">
        <v>668</v>
      </c>
      <c r="F806" s="16">
        <v>821</v>
      </c>
      <c r="G806" s="17">
        <v>27842.04</v>
      </c>
      <c r="H806" s="17">
        <v>3404.09</v>
      </c>
      <c r="I806" s="17">
        <v>22858314.84</v>
      </c>
      <c r="J806" s="15" t="s">
        <v>17</v>
      </c>
      <c r="K806" s="15" t="s">
        <v>18</v>
      </c>
      <c r="L806" s="9">
        <f>YEAR(E806)</f>
        <v>2021</v>
      </c>
      <c r="M806" s="11">
        <f t="shared" si="14"/>
        <v>2794757.89</v>
      </c>
    </row>
    <row r="807" spans="1:13" ht="20" customHeight="1" x14ac:dyDescent="0.15">
      <c r="A807" s="12"/>
      <c r="B807" s="13" t="s">
        <v>632</v>
      </c>
      <c r="C807" s="14" t="s">
        <v>43</v>
      </c>
      <c r="D807" s="15" t="s">
        <v>53</v>
      </c>
      <c r="E807" s="15" t="s">
        <v>669</v>
      </c>
      <c r="F807" s="16">
        <v>393</v>
      </c>
      <c r="G807" s="17">
        <v>23647.19</v>
      </c>
      <c r="H807" s="17">
        <v>5405.19</v>
      </c>
      <c r="I807" s="17">
        <v>9293345.6699999999</v>
      </c>
      <c r="J807" s="15" t="s">
        <v>17</v>
      </c>
      <c r="K807" s="15" t="s">
        <v>18</v>
      </c>
      <c r="L807" s="9">
        <f>YEAR(E807)</f>
        <v>2021</v>
      </c>
      <c r="M807" s="11">
        <f t="shared" si="14"/>
        <v>2124239.67</v>
      </c>
    </row>
    <row r="808" spans="1:13" ht="20" customHeight="1" x14ac:dyDescent="0.15">
      <c r="A808" s="12"/>
      <c r="B808" s="13" t="s">
        <v>632</v>
      </c>
      <c r="C808" s="14" t="s">
        <v>25</v>
      </c>
      <c r="D808" s="15" t="s">
        <v>53</v>
      </c>
      <c r="E808" s="15" t="s">
        <v>670</v>
      </c>
      <c r="F808" s="16">
        <v>405</v>
      </c>
      <c r="G808" s="17">
        <v>13582.18</v>
      </c>
      <c r="H808" s="17">
        <v>5894.22</v>
      </c>
      <c r="I808" s="19">
        <v>5500782.9000000004</v>
      </c>
      <c r="J808" s="15" t="s">
        <v>28</v>
      </c>
      <c r="K808" s="15" t="s">
        <v>18</v>
      </c>
      <c r="L808" s="9">
        <f>YEAR(E808)</f>
        <v>2021</v>
      </c>
      <c r="M808" s="11">
        <f t="shared" si="14"/>
        <v>2387159.1</v>
      </c>
    </row>
    <row r="809" spans="1:13" ht="20" customHeight="1" x14ac:dyDescent="0.15">
      <c r="A809" s="12"/>
      <c r="B809" s="13" t="s">
        <v>632</v>
      </c>
      <c r="C809" s="14" t="s">
        <v>25</v>
      </c>
      <c r="D809" s="15" t="s">
        <v>15</v>
      </c>
      <c r="E809" s="15" t="s">
        <v>673</v>
      </c>
      <c r="F809" s="16">
        <v>730</v>
      </c>
      <c r="G809" s="17">
        <v>44410.29</v>
      </c>
      <c r="H809" s="19">
        <v>3170.9</v>
      </c>
      <c r="I809" s="19">
        <v>32419511.699999999</v>
      </c>
      <c r="J809" s="15" t="s">
        <v>28</v>
      </c>
      <c r="K809" s="15" t="s">
        <v>18</v>
      </c>
      <c r="L809" s="9">
        <f>YEAR(E809)</f>
        <v>2021</v>
      </c>
      <c r="M809" s="11">
        <f t="shared" si="14"/>
        <v>2314757</v>
      </c>
    </row>
    <row r="810" spans="1:13" ht="20" customHeight="1" x14ac:dyDescent="0.15">
      <c r="A810" s="12"/>
      <c r="B810" s="13" t="s">
        <v>632</v>
      </c>
      <c r="C810" s="14" t="s">
        <v>23</v>
      </c>
      <c r="D810" s="15" t="s">
        <v>15</v>
      </c>
      <c r="E810" s="15" t="s">
        <v>674</v>
      </c>
      <c r="F810" s="16">
        <v>842</v>
      </c>
      <c r="G810" s="17">
        <v>44116.31</v>
      </c>
      <c r="H810" s="17">
        <v>3737.61</v>
      </c>
      <c r="I810" s="17">
        <v>37145933.020000003</v>
      </c>
      <c r="J810" s="15" t="s">
        <v>17</v>
      </c>
      <c r="K810" s="15" t="s">
        <v>18</v>
      </c>
      <c r="L810" s="9">
        <f>YEAR(E810)</f>
        <v>2021</v>
      </c>
      <c r="M810" s="11">
        <f t="shared" si="14"/>
        <v>3147067.62</v>
      </c>
    </row>
    <row r="811" spans="1:13" ht="20" customHeight="1" x14ac:dyDescent="0.15">
      <c r="A811" s="12"/>
      <c r="B811" s="13" t="s">
        <v>632</v>
      </c>
      <c r="C811" s="14" t="s">
        <v>57</v>
      </c>
      <c r="D811" s="15" t="s">
        <v>139</v>
      </c>
      <c r="E811" s="15" t="s">
        <v>492</v>
      </c>
      <c r="F811" s="16">
        <v>471</v>
      </c>
      <c r="G811" s="17">
        <v>46139.69</v>
      </c>
      <c r="H811" s="17">
        <v>4274.55</v>
      </c>
      <c r="I811" s="17">
        <v>21731793.989999998</v>
      </c>
      <c r="J811" s="15" t="s">
        <v>17</v>
      </c>
      <c r="K811" s="15" t="s">
        <v>18</v>
      </c>
      <c r="L811" s="9">
        <f>YEAR(E811)</f>
        <v>2021</v>
      </c>
      <c r="M811" s="11">
        <f t="shared" si="14"/>
        <v>2013313.05</v>
      </c>
    </row>
    <row r="812" spans="1:13" ht="20" customHeight="1" x14ac:dyDescent="0.15">
      <c r="A812" s="12"/>
      <c r="B812" s="13" t="s">
        <v>632</v>
      </c>
      <c r="C812" s="14" t="s">
        <v>57</v>
      </c>
      <c r="D812" s="15" t="s">
        <v>107</v>
      </c>
      <c r="E812" s="15" t="s">
        <v>342</v>
      </c>
      <c r="F812" s="16">
        <v>346</v>
      </c>
      <c r="G812" s="17">
        <v>45825.21</v>
      </c>
      <c r="H812" s="17">
        <v>2333.75</v>
      </c>
      <c r="I812" s="17">
        <v>15855522.66</v>
      </c>
      <c r="J812" s="15" t="s">
        <v>28</v>
      </c>
      <c r="K812" s="15" t="s">
        <v>18</v>
      </c>
      <c r="L812" s="9">
        <f>YEAR(E812)</f>
        <v>2021</v>
      </c>
      <c r="M812" s="11">
        <f t="shared" si="14"/>
        <v>807477.5</v>
      </c>
    </row>
    <row r="813" spans="1:13" ht="20" customHeight="1" x14ac:dyDescent="0.15">
      <c r="A813" s="12"/>
      <c r="B813" s="13" t="s">
        <v>632</v>
      </c>
      <c r="C813" s="14" t="s">
        <v>57</v>
      </c>
      <c r="D813" s="15" t="s">
        <v>107</v>
      </c>
      <c r="E813" s="15" t="s">
        <v>686</v>
      </c>
      <c r="F813" s="16">
        <v>696</v>
      </c>
      <c r="G813" s="17">
        <v>40906.92</v>
      </c>
      <c r="H813" s="17">
        <v>5413.24</v>
      </c>
      <c r="I813" s="17">
        <v>28471216.32</v>
      </c>
      <c r="J813" s="15" t="s">
        <v>17</v>
      </c>
      <c r="K813" s="15" t="s">
        <v>18</v>
      </c>
      <c r="L813" s="9">
        <f>YEAR(E813)</f>
        <v>2021</v>
      </c>
      <c r="M813" s="11">
        <f t="shared" si="14"/>
        <v>3767615.04</v>
      </c>
    </row>
    <row r="814" spans="1:13" ht="20" customHeight="1" x14ac:dyDescent="0.15">
      <c r="A814" s="12"/>
      <c r="B814" s="13" t="s">
        <v>632</v>
      </c>
      <c r="C814" s="14" t="s">
        <v>31</v>
      </c>
      <c r="D814" s="15" t="s">
        <v>107</v>
      </c>
      <c r="E814" s="15" t="s">
        <v>689</v>
      </c>
      <c r="F814" s="16">
        <v>887</v>
      </c>
      <c r="G814" s="19">
        <v>39899.300000000003</v>
      </c>
      <c r="H814" s="17">
        <v>4319.57</v>
      </c>
      <c r="I814" s="19">
        <v>35390679.100000001</v>
      </c>
      <c r="J814" s="15" t="s">
        <v>17</v>
      </c>
      <c r="K814" s="15" t="s">
        <v>18</v>
      </c>
      <c r="L814" s="9">
        <f>YEAR(E814)</f>
        <v>2021</v>
      </c>
      <c r="M814" s="11">
        <f t="shared" si="14"/>
        <v>3831458.59</v>
      </c>
    </row>
    <row r="815" spans="1:13" ht="20" customHeight="1" x14ac:dyDescent="0.15">
      <c r="A815" s="12"/>
      <c r="B815" s="13" t="s">
        <v>632</v>
      </c>
      <c r="C815" s="14" t="s">
        <v>19</v>
      </c>
      <c r="D815" s="15" t="s">
        <v>114</v>
      </c>
      <c r="E815" s="15" t="s">
        <v>692</v>
      </c>
      <c r="F815" s="16">
        <v>371</v>
      </c>
      <c r="G815" s="17">
        <v>12445.21</v>
      </c>
      <c r="H815" s="17">
        <v>5153.7700000000004</v>
      </c>
      <c r="I815" s="17">
        <v>4617172.91</v>
      </c>
      <c r="J815" s="15" t="s">
        <v>30</v>
      </c>
      <c r="K815" s="15" t="s">
        <v>18</v>
      </c>
      <c r="L815" s="9">
        <f>YEAR(E815)</f>
        <v>2021</v>
      </c>
      <c r="M815" s="11">
        <f t="shared" si="14"/>
        <v>1912048.6700000002</v>
      </c>
    </row>
    <row r="816" spans="1:13" ht="20" customHeight="1" x14ac:dyDescent="0.15">
      <c r="A816" s="12"/>
      <c r="B816" s="13" t="s">
        <v>632</v>
      </c>
      <c r="C816" s="14" t="s">
        <v>23</v>
      </c>
      <c r="D816" s="15" t="s">
        <v>114</v>
      </c>
      <c r="E816" s="15" t="s">
        <v>693</v>
      </c>
      <c r="F816" s="16">
        <v>789</v>
      </c>
      <c r="G816" s="17">
        <v>45177.74</v>
      </c>
      <c r="H816" s="17">
        <v>7969.12</v>
      </c>
      <c r="I816" s="17">
        <v>35645236.859999999</v>
      </c>
      <c r="J816" s="15" t="s">
        <v>17</v>
      </c>
      <c r="K816" s="15" t="s">
        <v>18</v>
      </c>
      <c r="L816" s="9">
        <f>YEAR(E816)</f>
        <v>2021</v>
      </c>
      <c r="M816" s="11">
        <f t="shared" si="14"/>
        <v>6287635.6799999997</v>
      </c>
    </row>
    <row r="817" spans="1:13" ht="20" customHeight="1" x14ac:dyDescent="0.15">
      <c r="A817" s="12"/>
      <c r="B817" s="13" t="s">
        <v>632</v>
      </c>
      <c r="C817" s="14" t="s">
        <v>57</v>
      </c>
      <c r="D817" s="15" t="s">
        <v>114</v>
      </c>
      <c r="E817" s="15" t="s">
        <v>697</v>
      </c>
      <c r="F817" s="16">
        <v>795</v>
      </c>
      <c r="G817" s="17">
        <v>31220.79</v>
      </c>
      <c r="H817" s="17">
        <v>4664.78</v>
      </c>
      <c r="I817" s="17">
        <v>24820528.050000001</v>
      </c>
      <c r="J817" s="15" t="s">
        <v>30</v>
      </c>
      <c r="K817" s="15" t="s">
        <v>18</v>
      </c>
      <c r="L817" s="9">
        <f>YEAR(E817)</f>
        <v>2021</v>
      </c>
      <c r="M817" s="11">
        <f t="shared" si="14"/>
        <v>3708500.0999999996</v>
      </c>
    </row>
    <row r="818" spans="1:13" ht="20" customHeight="1" x14ac:dyDescent="0.15">
      <c r="A818" s="12"/>
      <c r="B818" s="13" t="s">
        <v>632</v>
      </c>
      <c r="C818" s="14" t="s">
        <v>14</v>
      </c>
      <c r="D818" s="15" t="s">
        <v>68</v>
      </c>
      <c r="E818" s="15" t="s">
        <v>700</v>
      </c>
      <c r="F818" s="16">
        <v>182</v>
      </c>
      <c r="G818" s="17">
        <v>28119.02</v>
      </c>
      <c r="H818" s="17">
        <v>4905.9399999999996</v>
      </c>
      <c r="I818" s="17">
        <v>5117661.6399999997</v>
      </c>
      <c r="J818" s="15" t="s">
        <v>28</v>
      </c>
      <c r="K818" s="15" t="s">
        <v>18</v>
      </c>
      <c r="L818" s="9">
        <f>YEAR(E818)</f>
        <v>2021</v>
      </c>
      <c r="M818" s="11">
        <f t="shared" si="14"/>
        <v>892881.08</v>
      </c>
    </row>
    <row r="819" spans="1:13" ht="20" customHeight="1" x14ac:dyDescent="0.15">
      <c r="A819" s="12"/>
      <c r="B819" s="13" t="s">
        <v>632</v>
      </c>
      <c r="C819" s="14" t="s">
        <v>43</v>
      </c>
      <c r="D819" s="15" t="s">
        <v>68</v>
      </c>
      <c r="E819" s="15" t="s">
        <v>701</v>
      </c>
      <c r="F819" s="16">
        <v>608</v>
      </c>
      <c r="G819" s="17">
        <v>24486.35</v>
      </c>
      <c r="H819" s="17">
        <v>2380.14</v>
      </c>
      <c r="I819" s="19">
        <v>14887700.800000001</v>
      </c>
      <c r="J819" s="15" t="s">
        <v>17</v>
      </c>
      <c r="K819" s="15" t="s">
        <v>18</v>
      </c>
      <c r="L819" s="9">
        <f>YEAR(E819)</f>
        <v>2021</v>
      </c>
      <c r="M819" s="11">
        <f t="shared" si="14"/>
        <v>1447125.1199999999</v>
      </c>
    </row>
    <row r="820" spans="1:13" ht="20" customHeight="1" x14ac:dyDescent="0.15">
      <c r="A820" s="12"/>
      <c r="B820" s="13" t="s">
        <v>632</v>
      </c>
      <c r="C820" s="14" t="s">
        <v>38</v>
      </c>
      <c r="D820" s="15" t="s">
        <v>68</v>
      </c>
      <c r="E820" s="15" t="s">
        <v>514</v>
      </c>
      <c r="F820" s="16">
        <v>439</v>
      </c>
      <c r="G820" s="17">
        <v>40861.040000000001</v>
      </c>
      <c r="H820" s="17">
        <v>6133.39</v>
      </c>
      <c r="I820" s="17">
        <v>17937996.559999999</v>
      </c>
      <c r="J820" s="15" t="s">
        <v>30</v>
      </c>
      <c r="K820" s="15" t="s">
        <v>18</v>
      </c>
      <c r="L820" s="9">
        <f>YEAR(E820)</f>
        <v>2021</v>
      </c>
      <c r="M820" s="11">
        <f t="shared" si="14"/>
        <v>2692558.21</v>
      </c>
    </row>
    <row r="821" spans="1:13" ht="20" customHeight="1" x14ac:dyDescent="0.15">
      <c r="A821" s="12"/>
      <c r="B821" s="13" t="s">
        <v>632</v>
      </c>
      <c r="C821" s="14" t="s">
        <v>38</v>
      </c>
      <c r="D821" s="15" t="s">
        <v>68</v>
      </c>
      <c r="E821" s="15" t="s">
        <v>703</v>
      </c>
      <c r="F821" s="16">
        <v>262</v>
      </c>
      <c r="G821" s="17">
        <v>13664.69</v>
      </c>
      <c r="H821" s="17">
        <v>7725.31</v>
      </c>
      <c r="I821" s="17">
        <v>3580148.78</v>
      </c>
      <c r="J821" s="15" t="s">
        <v>28</v>
      </c>
      <c r="K821" s="15" t="s">
        <v>18</v>
      </c>
      <c r="L821" s="9">
        <f>YEAR(E821)</f>
        <v>2021</v>
      </c>
      <c r="M821" s="11">
        <f t="shared" si="14"/>
        <v>2024031.2200000002</v>
      </c>
    </row>
    <row r="822" spans="1:13" ht="20" customHeight="1" x14ac:dyDescent="0.15">
      <c r="A822" s="12"/>
      <c r="B822" s="13" t="s">
        <v>632</v>
      </c>
      <c r="C822" s="14" t="s">
        <v>79</v>
      </c>
      <c r="D822" s="15" t="s">
        <v>68</v>
      </c>
      <c r="E822" s="15" t="s">
        <v>706</v>
      </c>
      <c r="F822" s="16">
        <v>217</v>
      </c>
      <c r="G822" s="17">
        <v>34216.050000000003</v>
      </c>
      <c r="H822" s="17">
        <v>9912.43</v>
      </c>
      <c r="I822" s="17">
        <v>7424882.8499999996</v>
      </c>
      <c r="J822" s="15" t="s">
        <v>17</v>
      </c>
      <c r="K822" s="15" t="s">
        <v>18</v>
      </c>
      <c r="L822" s="9">
        <f>YEAR(E822)</f>
        <v>2021</v>
      </c>
      <c r="M822" s="11">
        <f t="shared" si="14"/>
        <v>2150997.31</v>
      </c>
    </row>
    <row r="823" spans="1:13" ht="20" customHeight="1" x14ac:dyDescent="0.15">
      <c r="A823" s="12"/>
      <c r="B823" s="13" t="s">
        <v>632</v>
      </c>
      <c r="C823" s="14" t="s">
        <v>43</v>
      </c>
      <c r="D823" s="15" t="s">
        <v>89</v>
      </c>
      <c r="E823" s="15" t="s">
        <v>450</v>
      </c>
      <c r="F823" s="16">
        <v>647</v>
      </c>
      <c r="G823" s="16">
        <v>49738</v>
      </c>
      <c r="H823" s="17">
        <v>9900.98</v>
      </c>
      <c r="I823" s="16">
        <v>32180486</v>
      </c>
      <c r="J823" s="15" t="s">
        <v>17</v>
      </c>
      <c r="K823" s="15" t="s">
        <v>18</v>
      </c>
      <c r="L823" s="9">
        <f>YEAR(E823)</f>
        <v>2022</v>
      </c>
      <c r="M823" s="11">
        <f t="shared" si="14"/>
        <v>6405934.0599999996</v>
      </c>
    </row>
    <row r="824" spans="1:13" ht="20" customHeight="1" x14ac:dyDescent="0.15">
      <c r="A824" s="12"/>
      <c r="B824" s="13" t="s">
        <v>632</v>
      </c>
      <c r="C824" s="14" t="s">
        <v>35</v>
      </c>
      <c r="D824" s="15" t="s">
        <v>89</v>
      </c>
      <c r="E824" s="15" t="s">
        <v>636</v>
      </c>
      <c r="F824" s="16">
        <v>250</v>
      </c>
      <c r="G824" s="17">
        <v>27849.16</v>
      </c>
      <c r="H824" s="17">
        <v>4734.07</v>
      </c>
      <c r="I824" s="16">
        <v>6962290</v>
      </c>
      <c r="J824" s="15" t="s">
        <v>17</v>
      </c>
      <c r="K824" s="15" t="s">
        <v>18</v>
      </c>
      <c r="L824" s="9">
        <f>YEAR(E824)</f>
        <v>2022</v>
      </c>
      <c r="M824" s="11">
        <f t="shared" si="14"/>
        <v>1183517.5</v>
      </c>
    </row>
    <row r="825" spans="1:13" ht="20" customHeight="1" x14ac:dyDescent="0.15">
      <c r="A825" s="12"/>
      <c r="B825" s="13" t="s">
        <v>632</v>
      </c>
      <c r="C825" s="14" t="s">
        <v>38</v>
      </c>
      <c r="D825" s="15" t="s">
        <v>70</v>
      </c>
      <c r="E825" s="15" t="s">
        <v>641</v>
      </c>
      <c r="F825" s="16">
        <v>191</v>
      </c>
      <c r="G825" s="17">
        <v>21981.31</v>
      </c>
      <c r="H825" s="17">
        <v>7781.54</v>
      </c>
      <c r="I825" s="17">
        <v>4198430.21</v>
      </c>
      <c r="J825" s="15" t="s">
        <v>28</v>
      </c>
      <c r="K825" s="15" t="s">
        <v>18</v>
      </c>
      <c r="L825" s="9">
        <f>YEAR(E825)</f>
        <v>2022</v>
      </c>
      <c r="M825" s="11">
        <f t="shared" si="14"/>
        <v>1486274.14</v>
      </c>
    </row>
    <row r="826" spans="1:13" ht="20" customHeight="1" x14ac:dyDescent="0.15">
      <c r="A826" s="12"/>
      <c r="B826" s="13" t="s">
        <v>632</v>
      </c>
      <c r="C826" s="14" t="s">
        <v>57</v>
      </c>
      <c r="D826" s="15" t="s">
        <v>139</v>
      </c>
      <c r="E826" s="15" t="s">
        <v>641</v>
      </c>
      <c r="F826" s="16">
        <v>383</v>
      </c>
      <c r="G826" s="17">
        <v>22247.16</v>
      </c>
      <c r="H826" s="17">
        <v>2470.1799999999998</v>
      </c>
      <c r="I826" s="17">
        <v>8520662.2799999993</v>
      </c>
      <c r="J826" s="15" t="s">
        <v>17</v>
      </c>
      <c r="K826" s="15" t="s">
        <v>18</v>
      </c>
      <c r="L826" s="9">
        <f>YEAR(E826)</f>
        <v>2022</v>
      </c>
      <c r="M826" s="11">
        <f t="shared" si="14"/>
        <v>946078.94</v>
      </c>
    </row>
    <row r="827" spans="1:13" ht="20" customHeight="1" x14ac:dyDescent="0.15">
      <c r="A827" s="12"/>
      <c r="B827" s="13" t="s">
        <v>632</v>
      </c>
      <c r="C827" s="14" t="s">
        <v>35</v>
      </c>
      <c r="D827" s="15" t="s">
        <v>70</v>
      </c>
      <c r="E827" s="15" t="s">
        <v>642</v>
      </c>
      <c r="F827" s="16">
        <v>877</v>
      </c>
      <c r="G827" s="17">
        <v>36520.61</v>
      </c>
      <c r="H827" s="17">
        <v>6211.19</v>
      </c>
      <c r="I827" s="17">
        <v>32028574.969999999</v>
      </c>
      <c r="J827" s="15" t="s">
        <v>17</v>
      </c>
      <c r="K827" s="15" t="s">
        <v>18</v>
      </c>
      <c r="L827" s="9">
        <f>YEAR(E827)</f>
        <v>2022</v>
      </c>
      <c r="M827" s="11">
        <f t="shared" si="14"/>
        <v>5447213.6299999999</v>
      </c>
    </row>
    <row r="828" spans="1:13" ht="20" customHeight="1" x14ac:dyDescent="0.15">
      <c r="A828" s="12"/>
      <c r="B828" s="13" t="s">
        <v>632</v>
      </c>
      <c r="C828" s="14" t="s">
        <v>19</v>
      </c>
      <c r="D828" s="15" t="s">
        <v>70</v>
      </c>
      <c r="E828" s="15" t="s">
        <v>47</v>
      </c>
      <c r="F828" s="16">
        <v>290</v>
      </c>
      <c r="G828" s="17">
        <v>36322.870000000003</v>
      </c>
      <c r="H828" s="19">
        <v>9201.4</v>
      </c>
      <c r="I828" s="19">
        <v>10533632.300000001</v>
      </c>
      <c r="J828" s="15" t="s">
        <v>17</v>
      </c>
      <c r="K828" s="15" t="s">
        <v>18</v>
      </c>
      <c r="L828" s="9">
        <f>YEAR(E828)</f>
        <v>2022</v>
      </c>
      <c r="M828" s="11">
        <f t="shared" si="14"/>
        <v>2668406</v>
      </c>
    </row>
    <row r="829" spans="1:13" ht="20" customHeight="1" x14ac:dyDescent="0.15">
      <c r="A829" s="12"/>
      <c r="B829" s="13" t="s">
        <v>632</v>
      </c>
      <c r="C829" s="14" t="s">
        <v>25</v>
      </c>
      <c r="D829" s="15" t="s">
        <v>70</v>
      </c>
      <c r="E829" s="15" t="s">
        <v>228</v>
      </c>
      <c r="F829" s="16">
        <v>661</v>
      </c>
      <c r="G829" s="17">
        <v>44200.43</v>
      </c>
      <c r="H829" s="17">
        <v>6749.68</v>
      </c>
      <c r="I829" s="17">
        <v>29216484.23</v>
      </c>
      <c r="J829" s="15" t="s">
        <v>30</v>
      </c>
      <c r="K829" s="15" t="s">
        <v>18</v>
      </c>
      <c r="L829" s="9">
        <f>YEAR(E829)</f>
        <v>2022</v>
      </c>
      <c r="M829" s="11">
        <f t="shared" si="14"/>
        <v>4461538.4800000004</v>
      </c>
    </row>
    <row r="830" spans="1:13" ht="20" customHeight="1" x14ac:dyDescent="0.15">
      <c r="A830" s="12"/>
      <c r="B830" s="13" t="s">
        <v>632</v>
      </c>
      <c r="C830" s="14" t="s">
        <v>25</v>
      </c>
      <c r="D830" s="15" t="s">
        <v>70</v>
      </c>
      <c r="E830" s="15" t="s">
        <v>615</v>
      </c>
      <c r="F830" s="16">
        <v>987</v>
      </c>
      <c r="G830" s="17">
        <v>22652.61</v>
      </c>
      <c r="H830" s="17">
        <v>3695.28</v>
      </c>
      <c r="I830" s="17">
        <v>22358126.07</v>
      </c>
      <c r="J830" s="15" t="s">
        <v>17</v>
      </c>
      <c r="K830" s="15" t="s">
        <v>18</v>
      </c>
      <c r="L830" s="9">
        <f>YEAR(E830)</f>
        <v>2022</v>
      </c>
      <c r="M830" s="11">
        <f t="shared" si="14"/>
        <v>3647241.3600000003</v>
      </c>
    </row>
    <row r="831" spans="1:13" ht="20" customHeight="1" x14ac:dyDescent="0.15">
      <c r="A831" s="12"/>
      <c r="B831" s="13" t="s">
        <v>632</v>
      </c>
      <c r="C831" s="14" t="s">
        <v>38</v>
      </c>
      <c r="D831" s="15" t="s">
        <v>70</v>
      </c>
      <c r="E831" s="15" t="s">
        <v>644</v>
      </c>
      <c r="F831" s="16">
        <v>317</v>
      </c>
      <c r="G831" s="17">
        <v>15822.44</v>
      </c>
      <c r="H831" s="17">
        <v>8639.1200000000008</v>
      </c>
      <c r="I831" s="17">
        <v>5015713.4800000004</v>
      </c>
      <c r="J831" s="15" t="s">
        <v>17</v>
      </c>
      <c r="K831" s="15" t="s">
        <v>18</v>
      </c>
      <c r="L831" s="9">
        <f>YEAR(E831)</f>
        <v>2022</v>
      </c>
      <c r="M831" s="11">
        <f t="shared" si="14"/>
        <v>2738601.04</v>
      </c>
    </row>
    <row r="832" spans="1:13" ht="20" customHeight="1" x14ac:dyDescent="0.15">
      <c r="A832" s="12"/>
      <c r="B832" s="13" t="s">
        <v>632</v>
      </c>
      <c r="C832" s="14" t="s">
        <v>79</v>
      </c>
      <c r="D832" s="15" t="s">
        <v>70</v>
      </c>
      <c r="E832" s="15" t="s">
        <v>579</v>
      </c>
      <c r="F832" s="16">
        <v>304</v>
      </c>
      <c r="G832" s="17">
        <v>35413.74</v>
      </c>
      <c r="H832" s="17">
        <v>2594.73</v>
      </c>
      <c r="I832" s="17">
        <v>10765776.960000001</v>
      </c>
      <c r="J832" s="15" t="s">
        <v>17</v>
      </c>
      <c r="K832" s="15" t="s">
        <v>18</v>
      </c>
      <c r="L832" s="9">
        <f>YEAR(E832)</f>
        <v>2022</v>
      </c>
      <c r="M832" s="11">
        <f t="shared" si="14"/>
        <v>788797.92</v>
      </c>
    </row>
    <row r="833" spans="1:13" ht="20" customHeight="1" x14ac:dyDescent="0.15">
      <c r="A833" s="12"/>
      <c r="B833" s="13" t="s">
        <v>632</v>
      </c>
      <c r="C833" s="14" t="s">
        <v>35</v>
      </c>
      <c r="D833" s="15" t="s">
        <v>26</v>
      </c>
      <c r="E833" s="15" t="s">
        <v>649</v>
      </c>
      <c r="F833" s="16">
        <v>142</v>
      </c>
      <c r="G833" s="17">
        <v>21985.66</v>
      </c>
      <c r="H833" s="17">
        <v>5963.85</v>
      </c>
      <c r="I833" s="17">
        <v>3121963.72</v>
      </c>
      <c r="J833" s="15" t="s">
        <v>17</v>
      </c>
      <c r="K833" s="15" t="s">
        <v>18</v>
      </c>
      <c r="L833" s="9">
        <f>YEAR(E833)</f>
        <v>2022</v>
      </c>
      <c r="M833" s="11">
        <f t="shared" si="14"/>
        <v>846866.70000000007</v>
      </c>
    </row>
    <row r="834" spans="1:13" ht="20" customHeight="1" x14ac:dyDescent="0.15">
      <c r="A834" s="12"/>
      <c r="B834" s="13" t="s">
        <v>632</v>
      </c>
      <c r="C834" s="14" t="s">
        <v>43</v>
      </c>
      <c r="D834" s="15" t="s">
        <v>26</v>
      </c>
      <c r="E834" s="15" t="s">
        <v>571</v>
      </c>
      <c r="F834" s="16">
        <v>911</v>
      </c>
      <c r="G834" s="17">
        <v>31182.01</v>
      </c>
      <c r="H834" s="17">
        <v>7840.19</v>
      </c>
      <c r="I834" s="17">
        <v>28406811.109999999</v>
      </c>
      <c r="J834" s="15" t="s">
        <v>28</v>
      </c>
      <c r="K834" s="15" t="s">
        <v>18</v>
      </c>
      <c r="L834" s="9">
        <f>YEAR(E834)</f>
        <v>2022</v>
      </c>
      <c r="M834" s="11">
        <f t="shared" si="14"/>
        <v>7142413.0899999999</v>
      </c>
    </row>
    <row r="835" spans="1:13" ht="20" customHeight="1" x14ac:dyDescent="0.15">
      <c r="A835" s="12"/>
      <c r="B835" s="13" t="s">
        <v>632</v>
      </c>
      <c r="C835" s="14" t="s">
        <v>31</v>
      </c>
      <c r="D835" s="15" t="s">
        <v>26</v>
      </c>
      <c r="E835" s="15" t="s">
        <v>655</v>
      </c>
      <c r="F835" s="16">
        <v>606</v>
      </c>
      <c r="G835" s="17">
        <v>17896.939999999999</v>
      </c>
      <c r="H835" s="17">
        <v>5326.45</v>
      </c>
      <c r="I835" s="17">
        <v>10845545.640000001</v>
      </c>
      <c r="J835" s="15" t="s">
        <v>17</v>
      </c>
      <c r="K835" s="15" t="s">
        <v>18</v>
      </c>
      <c r="L835" s="9">
        <f>YEAR(E835)</f>
        <v>2022</v>
      </c>
      <c r="M835" s="11">
        <f t="shared" si="14"/>
        <v>3227828.6999999997</v>
      </c>
    </row>
    <row r="836" spans="1:13" ht="20" customHeight="1" x14ac:dyDescent="0.15">
      <c r="A836" s="12"/>
      <c r="B836" s="13" t="s">
        <v>632</v>
      </c>
      <c r="C836" s="14" t="s">
        <v>19</v>
      </c>
      <c r="D836" s="15" t="s">
        <v>153</v>
      </c>
      <c r="E836" s="15" t="s">
        <v>567</v>
      </c>
      <c r="F836" s="16">
        <v>616</v>
      </c>
      <c r="G836" s="17">
        <v>33656.080000000002</v>
      </c>
      <c r="H836" s="17">
        <v>6167.99</v>
      </c>
      <c r="I836" s="17">
        <v>20732145.280000001</v>
      </c>
      <c r="J836" s="15" t="s">
        <v>17</v>
      </c>
      <c r="K836" s="15" t="s">
        <v>18</v>
      </c>
      <c r="L836" s="9">
        <f>YEAR(E836)</f>
        <v>2022</v>
      </c>
      <c r="M836" s="11">
        <f t="shared" si="14"/>
        <v>3799481.84</v>
      </c>
    </row>
    <row r="837" spans="1:13" ht="20" customHeight="1" x14ac:dyDescent="0.15">
      <c r="A837" s="12"/>
      <c r="B837" s="13" t="s">
        <v>632</v>
      </c>
      <c r="C837" s="14" t="s">
        <v>25</v>
      </c>
      <c r="D837" s="15" t="s">
        <v>153</v>
      </c>
      <c r="E837" s="15" t="s">
        <v>657</v>
      </c>
      <c r="F837" s="16">
        <v>722</v>
      </c>
      <c r="G837" s="17">
        <v>46749.58</v>
      </c>
      <c r="H837" s="17">
        <v>4146.22</v>
      </c>
      <c r="I837" s="17">
        <v>33753196.759999998</v>
      </c>
      <c r="J837" s="15" t="s">
        <v>28</v>
      </c>
      <c r="K837" s="15" t="s">
        <v>18</v>
      </c>
      <c r="L837" s="9">
        <f>YEAR(E837)</f>
        <v>2022</v>
      </c>
      <c r="M837" s="11">
        <f t="shared" ref="M837:M900" si="15">H837*F837</f>
        <v>2993570.8400000003</v>
      </c>
    </row>
    <row r="838" spans="1:13" ht="20" customHeight="1" x14ac:dyDescent="0.15">
      <c r="A838" s="12"/>
      <c r="B838" s="13" t="s">
        <v>632</v>
      </c>
      <c r="C838" s="14" t="s">
        <v>38</v>
      </c>
      <c r="D838" s="15" t="s">
        <v>153</v>
      </c>
      <c r="E838" s="15" t="s">
        <v>279</v>
      </c>
      <c r="F838" s="16">
        <v>192</v>
      </c>
      <c r="G838" s="17">
        <v>23536.16</v>
      </c>
      <c r="H838" s="17">
        <v>2812.83</v>
      </c>
      <c r="I838" s="17">
        <v>4518942.7199999997</v>
      </c>
      <c r="J838" s="15" t="s">
        <v>17</v>
      </c>
      <c r="K838" s="15" t="s">
        <v>18</v>
      </c>
      <c r="L838" s="9">
        <f>YEAR(E838)</f>
        <v>2022</v>
      </c>
      <c r="M838" s="11">
        <f t="shared" si="15"/>
        <v>540063.36</v>
      </c>
    </row>
    <row r="839" spans="1:13" ht="20" customHeight="1" x14ac:dyDescent="0.15">
      <c r="A839" s="12"/>
      <c r="B839" s="13" t="s">
        <v>632</v>
      </c>
      <c r="C839" s="14" t="s">
        <v>23</v>
      </c>
      <c r="D839" s="15" t="s">
        <v>153</v>
      </c>
      <c r="E839" s="15" t="s">
        <v>659</v>
      </c>
      <c r="F839" s="16">
        <v>141</v>
      </c>
      <c r="G839" s="17">
        <v>44054.32</v>
      </c>
      <c r="H839" s="17">
        <v>9201.08</v>
      </c>
      <c r="I839" s="17">
        <v>6211659.1200000001</v>
      </c>
      <c r="J839" s="15" t="s">
        <v>17</v>
      </c>
      <c r="K839" s="15" t="s">
        <v>18</v>
      </c>
      <c r="L839" s="9">
        <f>YEAR(E839)</f>
        <v>2022</v>
      </c>
      <c r="M839" s="11">
        <f t="shared" si="15"/>
        <v>1297352.28</v>
      </c>
    </row>
    <row r="840" spans="1:13" ht="20" customHeight="1" x14ac:dyDescent="0.15">
      <c r="A840" s="12"/>
      <c r="B840" s="13" t="s">
        <v>632</v>
      </c>
      <c r="C840" s="14" t="s">
        <v>19</v>
      </c>
      <c r="D840" s="15" t="s">
        <v>107</v>
      </c>
      <c r="E840" s="15" t="s">
        <v>659</v>
      </c>
      <c r="F840" s="16">
        <v>379</v>
      </c>
      <c r="G840" s="17">
        <v>12061.24</v>
      </c>
      <c r="H840" s="17">
        <v>8671.99</v>
      </c>
      <c r="I840" s="17">
        <v>4571209.96</v>
      </c>
      <c r="J840" s="15" t="s">
        <v>22</v>
      </c>
      <c r="K840" s="15" t="s">
        <v>18</v>
      </c>
      <c r="L840" s="9">
        <f>YEAR(E840)</f>
        <v>2022</v>
      </c>
      <c r="M840" s="11">
        <f t="shared" si="15"/>
        <v>3286684.21</v>
      </c>
    </row>
    <row r="841" spans="1:13" ht="20" customHeight="1" x14ac:dyDescent="0.15">
      <c r="A841" s="12"/>
      <c r="B841" s="13" t="s">
        <v>632</v>
      </c>
      <c r="C841" s="14" t="s">
        <v>19</v>
      </c>
      <c r="D841" s="15" t="s">
        <v>153</v>
      </c>
      <c r="E841" s="15" t="s">
        <v>661</v>
      </c>
      <c r="F841" s="16">
        <v>221</v>
      </c>
      <c r="G841" s="17">
        <v>37345.15</v>
      </c>
      <c r="H841" s="17">
        <v>7906.31</v>
      </c>
      <c r="I841" s="17">
        <v>8253278.1500000004</v>
      </c>
      <c r="J841" s="15" t="s">
        <v>28</v>
      </c>
      <c r="K841" s="15" t="s">
        <v>18</v>
      </c>
      <c r="L841" s="9">
        <f>YEAR(E841)</f>
        <v>2022</v>
      </c>
      <c r="M841" s="11">
        <f t="shared" si="15"/>
        <v>1747294.51</v>
      </c>
    </row>
    <row r="842" spans="1:13" ht="20" customHeight="1" x14ac:dyDescent="0.15">
      <c r="A842" s="12"/>
      <c r="B842" s="13" t="s">
        <v>632</v>
      </c>
      <c r="C842" s="14" t="s">
        <v>14</v>
      </c>
      <c r="D842" s="15" t="s">
        <v>53</v>
      </c>
      <c r="E842" s="15" t="s">
        <v>96</v>
      </c>
      <c r="F842" s="16">
        <v>450</v>
      </c>
      <c r="G842" s="19">
        <v>47731.6</v>
      </c>
      <c r="H842" s="17">
        <v>3122.51</v>
      </c>
      <c r="I842" s="16">
        <v>21479220</v>
      </c>
      <c r="J842" s="15" t="s">
        <v>17</v>
      </c>
      <c r="K842" s="15" t="s">
        <v>18</v>
      </c>
      <c r="L842" s="9">
        <f>YEAR(E842)</f>
        <v>2022</v>
      </c>
      <c r="M842" s="11">
        <f t="shared" si="15"/>
        <v>1405129.5</v>
      </c>
    </row>
    <row r="843" spans="1:13" ht="20" customHeight="1" x14ac:dyDescent="0.15">
      <c r="A843" s="12"/>
      <c r="B843" s="13" t="s">
        <v>632</v>
      </c>
      <c r="C843" s="14" t="s">
        <v>19</v>
      </c>
      <c r="D843" s="15" t="s">
        <v>15</v>
      </c>
      <c r="E843" s="15" t="s">
        <v>510</v>
      </c>
      <c r="F843" s="16">
        <v>291</v>
      </c>
      <c r="G843" s="17">
        <v>24012.91</v>
      </c>
      <c r="H843" s="17">
        <v>8318.99</v>
      </c>
      <c r="I843" s="17">
        <v>6987756.8099999996</v>
      </c>
      <c r="J843" s="15" t="s">
        <v>17</v>
      </c>
      <c r="K843" s="15" t="s">
        <v>18</v>
      </c>
      <c r="L843" s="9">
        <f>YEAR(E843)</f>
        <v>2022</v>
      </c>
      <c r="M843" s="11">
        <f t="shared" si="15"/>
        <v>2420826.09</v>
      </c>
    </row>
    <row r="844" spans="1:13" ht="20" customHeight="1" x14ac:dyDescent="0.15">
      <c r="A844" s="12"/>
      <c r="B844" s="13" t="s">
        <v>632</v>
      </c>
      <c r="C844" s="14" t="s">
        <v>57</v>
      </c>
      <c r="D844" s="15" t="s">
        <v>15</v>
      </c>
      <c r="E844" s="15" t="s">
        <v>51</v>
      </c>
      <c r="F844" s="16">
        <v>805</v>
      </c>
      <c r="G844" s="17">
        <v>18006.64</v>
      </c>
      <c r="H844" s="17">
        <v>5923.04</v>
      </c>
      <c r="I844" s="19">
        <v>14495345.199999999</v>
      </c>
      <c r="J844" s="15" t="s">
        <v>22</v>
      </c>
      <c r="K844" s="15" t="s">
        <v>18</v>
      </c>
      <c r="L844" s="9">
        <f>YEAR(E844)</f>
        <v>2022</v>
      </c>
      <c r="M844" s="11">
        <f t="shared" si="15"/>
        <v>4768047.2</v>
      </c>
    </row>
    <row r="845" spans="1:13" ht="20" customHeight="1" x14ac:dyDescent="0.15">
      <c r="A845" s="12"/>
      <c r="B845" s="13" t="s">
        <v>632</v>
      </c>
      <c r="C845" s="14" t="s">
        <v>38</v>
      </c>
      <c r="D845" s="15" t="s">
        <v>139</v>
      </c>
      <c r="E845" s="15" t="s">
        <v>679</v>
      </c>
      <c r="F845" s="16">
        <v>654</v>
      </c>
      <c r="G845" s="17">
        <v>30960.47</v>
      </c>
      <c r="H845" s="17">
        <v>9761.35</v>
      </c>
      <c r="I845" s="17">
        <v>20248147.379999999</v>
      </c>
      <c r="J845" s="15" t="s">
        <v>17</v>
      </c>
      <c r="K845" s="15" t="s">
        <v>18</v>
      </c>
      <c r="L845" s="9">
        <f>YEAR(E845)</f>
        <v>2022</v>
      </c>
      <c r="M845" s="11">
        <f t="shared" si="15"/>
        <v>6383922.9000000004</v>
      </c>
    </row>
    <row r="846" spans="1:13" ht="20" customHeight="1" x14ac:dyDescent="0.15">
      <c r="A846" s="12"/>
      <c r="B846" s="13" t="s">
        <v>632</v>
      </c>
      <c r="C846" s="14" t="s">
        <v>31</v>
      </c>
      <c r="D846" s="15" t="s">
        <v>107</v>
      </c>
      <c r="E846" s="15" t="s">
        <v>684</v>
      </c>
      <c r="F846" s="16">
        <v>430</v>
      </c>
      <c r="G846" s="17">
        <v>11566.78</v>
      </c>
      <c r="H846" s="17">
        <v>7435.68</v>
      </c>
      <c r="I846" s="19">
        <v>4973715.4000000004</v>
      </c>
      <c r="J846" s="15" t="s">
        <v>17</v>
      </c>
      <c r="K846" s="15" t="s">
        <v>18</v>
      </c>
      <c r="L846" s="9">
        <f>YEAR(E846)</f>
        <v>2022</v>
      </c>
      <c r="M846" s="11">
        <f t="shared" si="15"/>
        <v>3197342.4</v>
      </c>
    </row>
    <row r="847" spans="1:13" ht="20" customHeight="1" x14ac:dyDescent="0.15">
      <c r="A847" s="12"/>
      <c r="B847" s="13" t="s">
        <v>632</v>
      </c>
      <c r="C847" s="14" t="s">
        <v>19</v>
      </c>
      <c r="D847" s="15" t="s">
        <v>107</v>
      </c>
      <c r="E847" s="15" t="s">
        <v>309</v>
      </c>
      <c r="F847" s="16">
        <v>709</v>
      </c>
      <c r="G847" s="17">
        <v>25837.66</v>
      </c>
      <c r="H847" s="17">
        <v>7576.26</v>
      </c>
      <c r="I847" s="17">
        <v>18318900.940000001</v>
      </c>
      <c r="J847" s="15" t="s">
        <v>30</v>
      </c>
      <c r="K847" s="15" t="s">
        <v>18</v>
      </c>
      <c r="L847" s="9">
        <f>YEAR(E847)</f>
        <v>2022</v>
      </c>
      <c r="M847" s="11">
        <f t="shared" si="15"/>
        <v>5371568.3399999999</v>
      </c>
    </row>
    <row r="848" spans="1:13" ht="20" customHeight="1" x14ac:dyDescent="0.15">
      <c r="A848" s="12"/>
      <c r="B848" s="13" t="s">
        <v>632</v>
      </c>
      <c r="C848" s="14" t="s">
        <v>31</v>
      </c>
      <c r="D848" s="15" t="s">
        <v>107</v>
      </c>
      <c r="E848" s="15" t="s">
        <v>290</v>
      </c>
      <c r="F848" s="16">
        <v>737</v>
      </c>
      <c r="G848" s="17">
        <v>43567.37</v>
      </c>
      <c r="H848" s="17">
        <v>9198.56</v>
      </c>
      <c r="I848" s="17">
        <v>32109151.690000001</v>
      </c>
      <c r="J848" s="15" t="s">
        <v>28</v>
      </c>
      <c r="K848" s="15" t="s">
        <v>18</v>
      </c>
      <c r="L848" s="9">
        <f>YEAR(E848)</f>
        <v>2022</v>
      </c>
      <c r="M848" s="11">
        <f t="shared" si="15"/>
        <v>6779338.7199999997</v>
      </c>
    </row>
    <row r="849" spans="1:13" ht="20" customHeight="1" x14ac:dyDescent="0.15">
      <c r="A849" s="12"/>
      <c r="B849" s="13" t="s">
        <v>632</v>
      </c>
      <c r="C849" s="14" t="s">
        <v>25</v>
      </c>
      <c r="D849" s="15" t="s">
        <v>107</v>
      </c>
      <c r="E849" s="15" t="s">
        <v>476</v>
      </c>
      <c r="F849" s="16">
        <v>272</v>
      </c>
      <c r="G849" s="19">
        <v>13913.4</v>
      </c>
      <c r="H849" s="17">
        <v>8925.23</v>
      </c>
      <c r="I849" s="19">
        <v>3784444.8</v>
      </c>
      <c r="J849" s="15" t="s">
        <v>17</v>
      </c>
      <c r="K849" s="15" t="s">
        <v>18</v>
      </c>
      <c r="L849" s="9">
        <f>YEAR(E849)</f>
        <v>2022</v>
      </c>
      <c r="M849" s="11">
        <f t="shared" si="15"/>
        <v>2427662.56</v>
      </c>
    </row>
    <row r="850" spans="1:13" ht="20" customHeight="1" x14ac:dyDescent="0.15">
      <c r="A850" s="12"/>
      <c r="B850" s="13" t="s">
        <v>632</v>
      </c>
      <c r="C850" s="14" t="s">
        <v>38</v>
      </c>
      <c r="D850" s="15" t="s">
        <v>107</v>
      </c>
      <c r="E850" s="15" t="s">
        <v>291</v>
      </c>
      <c r="F850" s="16">
        <v>995</v>
      </c>
      <c r="G850" s="17">
        <v>19174.71</v>
      </c>
      <c r="H850" s="17">
        <v>7622.54</v>
      </c>
      <c r="I850" s="17">
        <v>19078836.449999999</v>
      </c>
      <c r="J850" s="15" t="s">
        <v>30</v>
      </c>
      <c r="K850" s="15" t="s">
        <v>18</v>
      </c>
      <c r="L850" s="9">
        <f>YEAR(E850)</f>
        <v>2022</v>
      </c>
      <c r="M850" s="11">
        <f t="shared" si="15"/>
        <v>7584427.2999999998</v>
      </c>
    </row>
    <row r="851" spans="1:13" ht="20" customHeight="1" x14ac:dyDescent="0.15">
      <c r="A851" s="12"/>
      <c r="B851" s="13" t="s">
        <v>632</v>
      </c>
      <c r="C851" s="14" t="s">
        <v>23</v>
      </c>
      <c r="D851" s="15" t="s">
        <v>107</v>
      </c>
      <c r="E851" s="15" t="s">
        <v>688</v>
      </c>
      <c r="F851" s="16">
        <v>951</v>
      </c>
      <c r="G851" s="17">
        <v>18275.439999999999</v>
      </c>
      <c r="H851" s="17">
        <v>8704.65</v>
      </c>
      <c r="I851" s="17">
        <v>17379943.440000001</v>
      </c>
      <c r="J851" s="15" t="s">
        <v>17</v>
      </c>
      <c r="K851" s="15" t="s">
        <v>18</v>
      </c>
      <c r="L851" s="9">
        <f>YEAR(E851)</f>
        <v>2022</v>
      </c>
      <c r="M851" s="11">
        <f t="shared" si="15"/>
        <v>8278122.1499999994</v>
      </c>
    </row>
    <row r="852" spans="1:13" ht="20" customHeight="1" x14ac:dyDescent="0.15">
      <c r="A852" s="12"/>
      <c r="B852" s="13" t="s">
        <v>632</v>
      </c>
      <c r="C852" s="14" t="s">
        <v>43</v>
      </c>
      <c r="D852" s="15" t="s">
        <v>114</v>
      </c>
      <c r="E852" s="15" t="s">
        <v>691</v>
      </c>
      <c r="F852" s="16">
        <v>579</v>
      </c>
      <c r="G852" s="19">
        <v>46260.7</v>
      </c>
      <c r="H852" s="17">
        <v>3869.83</v>
      </c>
      <c r="I852" s="19">
        <v>26784945.300000001</v>
      </c>
      <c r="J852" s="15" t="s">
        <v>30</v>
      </c>
      <c r="K852" s="15" t="s">
        <v>18</v>
      </c>
      <c r="L852" s="9">
        <f>YEAR(E852)</f>
        <v>2022</v>
      </c>
      <c r="M852" s="11">
        <f t="shared" si="15"/>
        <v>2240631.5699999998</v>
      </c>
    </row>
    <row r="853" spans="1:13" ht="20" customHeight="1" x14ac:dyDescent="0.15">
      <c r="A853" s="12"/>
      <c r="B853" s="13" t="s">
        <v>632</v>
      </c>
      <c r="C853" s="14" t="s">
        <v>25</v>
      </c>
      <c r="D853" s="15" t="s">
        <v>114</v>
      </c>
      <c r="E853" s="15" t="s">
        <v>696</v>
      </c>
      <c r="F853" s="16">
        <v>611</v>
      </c>
      <c r="G853" s="17">
        <v>32507.66</v>
      </c>
      <c r="H853" s="17">
        <v>5691.95</v>
      </c>
      <c r="I853" s="17">
        <v>19862180.260000002</v>
      </c>
      <c r="J853" s="15" t="s">
        <v>28</v>
      </c>
      <c r="K853" s="15" t="s">
        <v>18</v>
      </c>
      <c r="L853" s="9">
        <f>YEAR(E853)</f>
        <v>2022</v>
      </c>
      <c r="M853" s="11">
        <f t="shared" si="15"/>
        <v>3477781.4499999997</v>
      </c>
    </row>
    <row r="854" spans="1:13" ht="20" customHeight="1" x14ac:dyDescent="0.15">
      <c r="A854" s="12"/>
      <c r="B854" s="13" t="s">
        <v>632</v>
      </c>
      <c r="C854" s="14" t="s">
        <v>57</v>
      </c>
      <c r="D854" s="15" t="s">
        <v>68</v>
      </c>
      <c r="E854" s="15" t="s">
        <v>60</v>
      </c>
      <c r="F854" s="16">
        <v>309</v>
      </c>
      <c r="G854" s="17">
        <v>17372.98</v>
      </c>
      <c r="H854" s="19">
        <v>4275.1000000000004</v>
      </c>
      <c r="I854" s="17">
        <v>5368250.82</v>
      </c>
      <c r="J854" s="15" t="s">
        <v>17</v>
      </c>
      <c r="K854" s="15" t="s">
        <v>18</v>
      </c>
      <c r="L854" s="9">
        <f>YEAR(E854)</f>
        <v>2022</v>
      </c>
      <c r="M854" s="11">
        <f t="shared" si="15"/>
        <v>1321005.9000000001</v>
      </c>
    </row>
    <row r="855" spans="1:13" ht="20" customHeight="1" x14ac:dyDescent="0.15">
      <c r="A855" s="12"/>
      <c r="B855" s="13" t="s">
        <v>632</v>
      </c>
      <c r="C855" s="14" t="s">
        <v>43</v>
      </c>
      <c r="D855" s="15" t="s">
        <v>68</v>
      </c>
      <c r="E855" s="15" t="s">
        <v>704</v>
      </c>
      <c r="F855" s="16">
        <v>727</v>
      </c>
      <c r="G855" s="17">
        <v>38141.67</v>
      </c>
      <c r="H855" s="17">
        <v>2962.13</v>
      </c>
      <c r="I855" s="17">
        <v>27728994.09</v>
      </c>
      <c r="J855" s="15" t="s">
        <v>17</v>
      </c>
      <c r="K855" s="15" t="s">
        <v>18</v>
      </c>
      <c r="L855" s="9">
        <f>YEAR(E855)</f>
        <v>2022</v>
      </c>
      <c r="M855" s="11">
        <f t="shared" si="15"/>
        <v>2153468.5100000002</v>
      </c>
    </row>
    <row r="856" spans="1:13" ht="20" customHeight="1" x14ac:dyDescent="0.15">
      <c r="A856" s="30" t="s">
        <v>632</v>
      </c>
      <c r="B856" s="13" t="s">
        <v>632</v>
      </c>
      <c r="C856" s="14" t="s">
        <v>35</v>
      </c>
      <c r="D856" s="15" t="s">
        <v>89</v>
      </c>
      <c r="E856" s="15" t="s">
        <v>633</v>
      </c>
      <c r="F856" s="16">
        <v>433</v>
      </c>
      <c r="G856" s="17">
        <v>45138.76</v>
      </c>
      <c r="H856" s="17">
        <v>8830.9599999999991</v>
      </c>
      <c r="I856" s="17">
        <v>19545083.079999998</v>
      </c>
      <c r="J856" s="15" t="s">
        <v>30</v>
      </c>
      <c r="K856" s="15" t="s">
        <v>18</v>
      </c>
      <c r="L856" s="9">
        <f>YEAR(E856)</f>
        <v>2023</v>
      </c>
      <c r="M856" s="11">
        <f t="shared" si="15"/>
        <v>3823805.6799999997</v>
      </c>
    </row>
    <row r="857" spans="1:13" ht="20" customHeight="1" x14ac:dyDescent="0.15">
      <c r="A857" s="12"/>
      <c r="B857" s="13" t="s">
        <v>632</v>
      </c>
      <c r="C857" s="14" t="s">
        <v>43</v>
      </c>
      <c r="D857" s="15" t="s">
        <v>89</v>
      </c>
      <c r="E857" s="15" t="s">
        <v>386</v>
      </c>
      <c r="F857" s="16">
        <v>721</v>
      </c>
      <c r="G857" s="17">
        <v>31443.05</v>
      </c>
      <c r="H857" s="17">
        <v>5863.92</v>
      </c>
      <c r="I857" s="17">
        <v>22670439.050000001</v>
      </c>
      <c r="J857" s="15" t="s">
        <v>17</v>
      </c>
      <c r="K857" s="15" t="s">
        <v>18</v>
      </c>
      <c r="L857" s="9">
        <f>YEAR(E857)</f>
        <v>2023</v>
      </c>
      <c r="M857" s="11">
        <f t="shared" si="15"/>
        <v>4227886.32</v>
      </c>
    </row>
    <row r="858" spans="1:13" ht="20" customHeight="1" x14ac:dyDescent="0.15">
      <c r="A858" s="12"/>
      <c r="B858" s="13" t="s">
        <v>632</v>
      </c>
      <c r="C858" s="14" t="s">
        <v>35</v>
      </c>
      <c r="D858" s="15" t="s">
        <v>89</v>
      </c>
      <c r="E858" s="15" t="s">
        <v>637</v>
      </c>
      <c r="F858" s="16">
        <v>160</v>
      </c>
      <c r="G858" s="17">
        <v>17098.75</v>
      </c>
      <c r="H858" s="17">
        <v>4551.93</v>
      </c>
      <c r="I858" s="16">
        <v>2735800</v>
      </c>
      <c r="J858" s="15" t="s">
        <v>17</v>
      </c>
      <c r="K858" s="15" t="s">
        <v>18</v>
      </c>
      <c r="L858" s="9">
        <f>YEAR(E858)</f>
        <v>2023</v>
      </c>
      <c r="M858" s="11">
        <f t="shared" si="15"/>
        <v>728308.8</v>
      </c>
    </row>
    <row r="859" spans="1:13" ht="20" customHeight="1" x14ac:dyDescent="0.15">
      <c r="A859" s="12"/>
      <c r="B859" s="13" t="s">
        <v>632</v>
      </c>
      <c r="C859" s="14" t="s">
        <v>79</v>
      </c>
      <c r="D859" s="15" t="s">
        <v>70</v>
      </c>
      <c r="E859" s="15" t="s">
        <v>640</v>
      </c>
      <c r="F859" s="16">
        <v>131</v>
      </c>
      <c r="G859" s="17">
        <v>33882.160000000003</v>
      </c>
      <c r="H859" s="17">
        <v>5708.85</v>
      </c>
      <c r="I859" s="17">
        <v>4438562.96</v>
      </c>
      <c r="J859" s="15" t="s">
        <v>17</v>
      </c>
      <c r="K859" s="15" t="s">
        <v>18</v>
      </c>
      <c r="L859" s="9">
        <f>YEAR(E859)</f>
        <v>2023</v>
      </c>
      <c r="M859" s="11">
        <f t="shared" si="15"/>
        <v>747859.35000000009</v>
      </c>
    </row>
    <row r="860" spans="1:13" ht="20" customHeight="1" x14ac:dyDescent="0.15">
      <c r="A860" s="12"/>
      <c r="B860" s="13" t="s">
        <v>632</v>
      </c>
      <c r="C860" s="14" t="s">
        <v>25</v>
      </c>
      <c r="D860" s="15" t="s">
        <v>26</v>
      </c>
      <c r="E860" s="15" t="s">
        <v>651</v>
      </c>
      <c r="F860" s="16">
        <v>661</v>
      </c>
      <c r="G860" s="17">
        <v>39910.720000000001</v>
      </c>
      <c r="H860" s="17">
        <v>6227.46</v>
      </c>
      <c r="I860" s="17">
        <v>26380985.920000002</v>
      </c>
      <c r="J860" s="15" t="s">
        <v>30</v>
      </c>
      <c r="K860" s="15" t="s">
        <v>18</v>
      </c>
      <c r="L860" s="9">
        <f>YEAR(E860)</f>
        <v>2023</v>
      </c>
      <c r="M860" s="11">
        <f t="shared" si="15"/>
        <v>4116351.06</v>
      </c>
    </row>
    <row r="861" spans="1:13" ht="20" customHeight="1" x14ac:dyDescent="0.15">
      <c r="A861" s="12"/>
      <c r="B861" s="13" t="s">
        <v>632</v>
      </c>
      <c r="C861" s="14" t="s">
        <v>14</v>
      </c>
      <c r="D861" s="15" t="s">
        <v>26</v>
      </c>
      <c r="E861" s="15" t="s">
        <v>652</v>
      </c>
      <c r="F861" s="16">
        <v>563</v>
      </c>
      <c r="G861" s="17">
        <v>21775.759999999998</v>
      </c>
      <c r="H861" s="17">
        <v>2517.02</v>
      </c>
      <c r="I861" s="17">
        <v>12259752.880000001</v>
      </c>
      <c r="J861" s="15" t="s">
        <v>17</v>
      </c>
      <c r="K861" s="15" t="s">
        <v>18</v>
      </c>
      <c r="L861" s="9">
        <f>YEAR(E861)</f>
        <v>2023</v>
      </c>
      <c r="M861" s="11">
        <f t="shared" si="15"/>
        <v>1417082.26</v>
      </c>
    </row>
    <row r="862" spans="1:13" ht="20" customHeight="1" x14ac:dyDescent="0.15">
      <c r="A862" s="12"/>
      <c r="B862" s="13" t="s">
        <v>632</v>
      </c>
      <c r="C862" s="14" t="s">
        <v>19</v>
      </c>
      <c r="D862" s="15" t="s">
        <v>26</v>
      </c>
      <c r="E862" s="15" t="s">
        <v>654</v>
      </c>
      <c r="F862" s="16">
        <v>476</v>
      </c>
      <c r="G862" s="17">
        <v>46857.65</v>
      </c>
      <c r="H862" s="17">
        <v>3468.63</v>
      </c>
      <c r="I862" s="19">
        <v>22304241.399999999</v>
      </c>
      <c r="J862" s="15" t="s">
        <v>17</v>
      </c>
      <c r="K862" s="15" t="s">
        <v>18</v>
      </c>
      <c r="L862" s="9">
        <f>YEAR(E862)</f>
        <v>2023</v>
      </c>
      <c r="M862" s="11">
        <f t="shared" si="15"/>
        <v>1651067.8800000001</v>
      </c>
    </row>
    <row r="863" spans="1:13" ht="20" customHeight="1" x14ac:dyDescent="0.15">
      <c r="A863" s="12"/>
      <c r="B863" s="13" t="s">
        <v>632</v>
      </c>
      <c r="C863" s="14" t="s">
        <v>38</v>
      </c>
      <c r="D863" s="15" t="s">
        <v>153</v>
      </c>
      <c r="E863" s="15" t="s">
        <v>658</v>
      </c>
      <c r="F863" s="16">
        <v>763</v>
      </c>
      <c r="G863" s="17">
        <v>44083.97</v>
      </c>
      <c r="H863" s="17">
        <v>2597.65</v>
      </c>
      <c r="I863" s="17">
        <v>33636069.109999999</v>
      </c>
      <c r="J863" s="15" t="s">
        <v>28</v>
      </c>
      <c r="K863" s="15" t="s">
        <v>18</v>
      </c>
      <c r="L863" s="9">
        <f>YEAR(E863)</f>
        <v>2023</v>
      </c>
      <c r="M863" s="11">
        <f t="shared" si="15"/>
        <v>1982006.95</v>
      </c>
    </row>
    <row r="864" spans="1:13" ht="20" customHeight="1" x14ac:dyDescent="0.15">
      <c r="A864" s="12"/>
      <c r="B864" s="13" t="s">
        <v>632</v>
      </c>
      <c r="C864" s="14" t="s">
        <v>31</v>
      </c>
      <c r="D864" s="15" t="s">
        <v>153</v>
      </c>
      <c r="E864" s="15" t="s">
        <v>607</v>
      </c>
      <c r="F864" s="16">
        <v>741</v>
      </c>
      <c r="G864" s="17">
        <v>28606.38</v>
      </c>
      <c r="H864" s="17">
        <v>6771.24</v>
      </c>
      <c r="I864" s="17">
        <v>21197327.579999998</v>
      </c>
      <c r="J864" s="15" t="s">
        <v>17</v>
      </c>
      <c r="K864" s="15" t="s">
        <v>18</v>
      </c>
      <c r="L864" s="9">
        <f>YEAR(E864)</f>
        <v>2023</v>
      </c>
      <c r="M864" s="11">
        <f t="shared" si="15"/>
        <v>5017488.84</v>
      </c>
    </row>
    <row r="865" spans="1:13" ht="20" customHeight="1" x14ac:dyDescent="0.15">
      <c r="A865" s="12"/>
      <c r="B865" s="13" t="s">
        <v>632</v>
      </c>
      <c r="C865" s="14" t="s">
        <v>38</v>
      </c>
      <c r="D865" s="15" t="s">
        <v>153</v>
      </c>
      <c r="E865" s="15" t="s">
        <v>206</v>
      </c>
      <c r="F865" s="16">
        <v>131</v>
      </c>
      <c r="G865" s="17">
        <v>48048.54</v>
      </c>
      <c r="H865" s="17">
        <v>3265.53</v>
      </c>
      <c r="I865" s="17">
        <v>6294358.7400000002</v>
      </c>
      <c r="J865" s="15" t="s">
        <v>30</v>
      </c>
      <c r="K865" s="15" t="s">
        <v>18</v>
      </c>
      <c r="L865" s="9">
        <f>YEAR(E865)</f>
        <v>2023</v>
      </c>
      <c r="M865" s="11">
        <f t="shared" si="15"/>
        <v>427784.43000000005</v>
      </c>
    </row>
    <row r="866" spans="1:13" ht="20" customHeight="1" x14ac:dyDescent="0.15">
      <c r="A866" s="12"/>
      <c r="B866" s="13" t="s">
        <v>632</v>
      </c>
      <c r="C866" s="14" t="s">
        <v>43</v>
      </c>
      <c r="D866" s="15" t="s">
        <v>153</v>
      </c>
      <c r="E866" s="15" t="s">
        <v>663</v>
      </c>
      <c r="F866" s="16">
        <v>893</v>
      </c>
      <c r="G866" s="17">
        <v>13305.27</v>
      </c>
      <c r="H866" s="17">
        <v>7510.66</v>
      </c>
      <c r="I866" s="17">
        <v>11881606.109999999</v>
      </c>
      <c r="J866" s="15" t="s">
        <v>28</v>
      </c>
      <c r="K866" s="15" t="s">
        <v>18</v>
      </c>
      <c r="L866" s="9">
        <f>YEAR(E866)</f>
        <v>2023</v>
      </c>
      <c r="M866" s="11">
        <f t="shared" si="15"/>
        <v>6707019.3799999999</v>
      </c>
    </row>
    <row r="867" spans="1:13" ht="20" customHeight="1" x14ac:dyDescent="0.15">
      <c r="A867" s="12"/>
      <c r="B867" s="13" t="s">
        <v>632</v>
      </c>
      <c r="C867" s="14" t="s">
        <v>23</v>
      </c>
      <c r="D867" s="15" t="s">
        <v>153</v>
      </c>
      <c r="E867" s="15" t="s">
        <v>664</v>
      </c>
      <c r="F867" s="16">
        <v>238</v>
      </c>
      <c r="G867" s="16">
        <v>11883</v>
      </c>
      <c r="H867" s="17">
        <v>2853.43</v>
      </c>
      <c r="I867" s="16">
        <v>2828154</v>
      </c>
      <c r="J867" s="15" t="s">
        <v>17</v>
      </c>
      <c r="K867" s="15" t="s">
        <v>18</v>
      </c>
      <c r="L867" s="9">
        <f>YEAR(E867)</f>
        <v>2023</v>
      </c>
      <c r="M867" s="11">
        <f t="shared" si="15"/>
        <v>679116.34</v>
      </c>
    </row>
    <row r="868" spans="1:13" ht="20" customHeight="1" x14ac:dyDescent="0.15">
      <c r="A868" s="12"/>
      <c r="B868" s="13" t="s">
        <v>632</v>
      </c>
      <c r="C868" s="14" t="s">
        <v>35</v>
      </c>
      <c r="D868" s="15" t="s">
        <v>53</v>
      </c>
      <c r="E868" s="15" t="s">
        <v>665</v>
      </c>
      <c r="F868" s="16">
        <v>709</v>
      </c>
      <c r="G868" s="19">
        <v>23947.5</v>
      </c>
      <c r="H868" s="17">
        <v>6158.33</v>
      </c>
      <c r="I868" s="19">
        <v>16978777.5</v>
      </c>
      <c r="J868" s="15" t="s">
        <v>30</v>
      </c>
      <c r="K868" s="15" t="s">
        <v>18</v>
      </c>
      <c r="L868" s="9">
        <f>YEAR(E868)</f>
        <v>2023</v>
      </c>
      <c r="M868" s="11">
        <f t="shared" si="15"/>
        <v>4366255.97</v>
      </c>
    </row>
    <row r="869" spans="1:13" ht="20" customHeight="1" x14ac:dyDescent="0.15">
      <c r="A869" s="12"/>
      <c r="B869" s="13" t="s">
        <v>632</v>
      </c>
      <c r="C869" s="14" t="s">
        <v>35</v>
      </c>
      <c r="D869" s="15" t="s">
        <v>53</v>
      </c>
      <c r="E869" s="15" t="s">
        <v>666</v>
      </c>
      <c r="F869" s="16">
        <v>531</v>
      </c>
      <c r="G869" s="17">
        <v>32237.75</v>
      </c>
      <c r="H869" s="17">
        <v>7713.03</v>
      </c>
      <c r="I869" s="17">
        <v>17118245.25</v>
      </c>
      <c r="J869" s="15" t="s">
        <v>22</v>
      </c>
      <c r="K869" s="15" t="s">
        <v>18</v>
      </c>
      <c r="L869" s="9">
        <f>YEAR(E869)</f>
        <v>2023</v>
      </c>
      <c r="M869" s="11">
        <f t="shared" si="15"/>
        <v>4095618.9299999997</v>
      </c>
    </row>
    <row r="870" spans="1:13" ht="20" customHeight="1" x14ac:dyDescent="0.15">
      <c r="A870" s="12"/>
      <c r="B870" s="13" t="s">
        <v>632</v>
      </c>
      <c r="C870" s="14" t="s">
        <v>31</v>
      </c>
      <c r="D870" s="15" t="s">
        <v>53</v>
      </c>
      <c r="E870" s="15" t="s">
        <v>539</v>
      </c>
      <c r="F870" s="16">
        <v>952</v>
      </c>
      <c r="G870" s="17">
        <v>15607.62</v>
      </c>
      <c r="H870" s="17">
        <v>5086.57</v>
      </c>
      <c r="I870" s="17">
        <v>14858454.24</v>
      </c>
      <c r="J870" s="15" t="s">
        <v>17</v>
      </c>
      <c r="K870" s="15" t="s">
        <v>18</v>
      </c>
      <c r="L870" s="9">
        <f>YEAR(E870)</f>
        <v>2023</v>
      </c>
      <c r="M870" s="11">
        <f t="shared" si="15"/>
        <v>4842414.6399999997</v>
      </c>
    </row>
    <row r="871" spans="1:13" ht="20" customHeight="1" x14ac:dyDescent="0.15">
      <c r="A871" s="12"/>
      <c r="B871" s="13" t="s">
        <v>632</v>
      </c>
      <c r="C871" s="14" t="s">
        <v>38</v>
      </c>
      <c r="D871" s="15" t="s">
        <v>53</v>
      </c>
      <c r="E871" s="15" t="s">
        <v>321</v>
      </c>
      <c r="F871" s="16">
        <v>196</v>
      </c>
      <c r="G871" s="19">
        <v>39859.199999999997</v>
      </c>
      <c r="H871" s="17">
        <v>7877.05</v>
      </c>
      <c r="I871" s="19">
        <v>7812403.2000000002</v>
      </c>
      <c r="J871" s="15" t="s">
        <v>17</v>
      </c>
      <c r="K871" s="15" t="s">
        <v>18</v>
      </c>
      <c r="L871" s="9">
        <f>YEAR(E871)</f>
        <v>2023</v>
      </c>
      <c r="M871" s="11">
        <f t="shared" si="15"/>
        <v>1543901.8</v>
      </c>
    </row>
    <row r="872" spans="1:13" ht="20" customHeight="1" x14ac:dyDescent="0.15">
      <c r="A872" s="12"/>
      <c r="B872" s="13" t="s">
        <v>632</v>
      </c>
      <c r="C872" s="14" t="s">
        <v>79</v>
      </c>
      <c r="D872" s="15" t="s">
        <v>53</v>
      </c>
      <c r="E872" s="15" t="s">
        <v>667</v>
      </c>
      <c r="F872" s="16">
        <v>408</v>
      </c>
      <c r="G872" s="17">
        <v>39571.269999999997</v>
      </c>
      <c r="H872" s="17">
        <v>5584.52</v>
      </c>
      <c r="I872" s="17">
        <v>16145078.16</v>
      </c>
      <c r="J872" s="15" t="s">
        <v>17</v>
      </c>
      <c r="K872" s="15" t="s">
        <v>18</v>
      </c>
      <c r="L872" s="9">
        <f>YEAR(E872)</f>
        <v>2023</v>
      </c>
      <c r="M872" s="11">
        <f t="shared" si="15"/>
        <v>2278484.16</v>
      </c>
    </row>
    <row r="873" spans="1:13" ht="20" customHeight="1" x14ac:dyDescent="0.15">
      <c r="A873" s="12"/>
      <c r="B873" s="13" t="s">
        <v>632</v>
      </c>
      <c r="C873" s="14" t="s">
        <v>43</v>
      </c>
      <c r="D873" s="15" t="s">
        <v>15</v>
      </c>
      <c r="E873" s="15" t="s">
        <v>676</v>
      </c>
      <c r="F873" s="16">
        <v>785</v>
      </c>
      <c r="G873" s="16">
        <v>19604</v>
      </c>
      <c r="H873" s="17">
        <v>4682.57</v>
      </c>
      <c r="I873" s="16">
        <v>15389140</v>
      </c>
      <c r="J873" s="15" t="s">
        <v>17</v>
      </c>
      <c r="K873" s="15" t="s">
        <v>18</v>
      </c>
      <c r="L873" s="9">
        <f>YEAR(E873)</f>
        <v>2023</v>
      </c>
      <c r="M873" s="11">
        <f t="shared" si="15"/>
        <v>3675817.4499999997</v>
      </c>
    </row>
    <row r="874" spans="1:13" ht="20" customHeight="1" x14ac:dyDescent="0.15">
      <c r="A874" s="12"/>
      <c r="B874" s="13" t="s">
        <v>632</v>
      </c>
      <c r="C874" s="14" t="s">
        <v>57</v>
      </c>
      <c r="D874" s="15" t="s">
        <v>15</v>
      </c>
      <c r="E874" s="15" t="s">
        <v>677</v>
      </c>
      <c r="F874" s="16">
        <v>447</v>
      </c>
      <c r="G874" s="19">
        <v>49544.5</v>
      </c>
      <c r="H874" s="17">
        <v>6381.92</v>
      </c>
      <c r="I874" s="19">
        <v>22146391.5</v>
      </c>
      <c r="J874" s="15" t="s">
        <v>17</v>
      </c>
      <c r="K874" s="15" t="s">
        <v>18</v>
      </c>
      <c r="L874" s="9">
        <f>YEAR(E874)</f>
        <v>2023</v>
      </c>
      <c r="M874" s="11">
        <f t="shared" si="15"/>
        <v>2852718.24</v>
      </c>
    </row>
    <row r="875" spans="1:13" ht="20" customHeight="1" x14ac:dyDescent="0.15">
      <c r="A875" s="12"/>
      <c r="B875" s="13" t="s">
        <v>632</v>
      </c>
      <c r="C875" s="14" t="s">
        <v>31</v>
      </c>
      <c r="D875" s="15" t="s">
        <v>15</v>
      </c>
      <c r="E875" s="15" t="s">
        <v>294</v>
      </c>
      <c r="F875" s="16">
        <v>972</v>
      </c>
      <c r="G875" s="17">
        <v>28660.03</v>
      </c>
      <c r="H875" s="17">
        <v>8220.25</v>
      </c>
      <c r="I875" s="17">
        <v>27857549.16</v>
      </c>
      <c r="J875" s="15" t="s">
        <v>28</v>
      </c>
      <c r="K875" s="15" t="s">
        <v>18</v>
      </c>
      <c r="L875" s="9">
        <f>YEAR(E875)</f>
        <v>2023</v>
      </c>
      <c r="M875" s="11">
        <f t="shared" si="15"/>
        <v>7990083</v>
      </c>
    </row>
    <row r="876" spans="1:13" ht="20" customHeight="1" x14ac:dyDescent="0.15">
      <c r="A876" s="12"/>
      <c r="B876" s="13" t="s">
        <v>632</v>
      </c>
      <c r="C876" s="14" t="s">
        <v>14</v>
      </c>
      <c r="D876" s="15" t="s">
        <v>15</v>
      </c>
      <c r="E876" s="15" t="s">
        <v>678</v>
      </c>
      <c r="F876" s="16">
        <v>246</v>
      </c>
      <c r="G876" s="17">
        <v>39938.99</v>
      </c>
      <c r="H876" s="17">
        <v>9327.0499999999993</v>
      </c>
      <c r="I876" s="17">
        <v>9824991.5399999991</v>
      </c>
      <c r="J876" s="15" t="s">
        <v>17</v>
      </c>
      <c r="K876" s="15" t="s">
        <v>18</v>
      </c>
      <c r="L876" s="9">
        <f>YEAR(E876)</f>
        <v>2023</v>
      </c>
      <c r="M876" s="11">
        <f t="shared" si="15"/>
        <v>2294454.2999999998</v>
      </c>
    </row>
    <row r="877" spans="1:13" ht="20.75" customHeight="1" x14ac:dyDescent="0.15">
      <c r="A877" s="12"/>
      <c r="B877" s="13" t="s">
        <v>632</v>
      </c>
      <c r="C877" s="14" t="s">
        <v>38</v>
      </c>
      <c r="D877" s="15" t="s">
        <v>139</v>
      </c>
      <c r="E877" s="15" t="s">
        <v>680</v>
      </c>
      <c r="F877" s="16">
        <v>558</v>
      </c>
      <c r="G877" s="19">
        <v>27269.5</v>
      </c>
      <c r="H877" s="17">
        <v>7661.93</v>
      </c>
      <c r="I877" s="16">
        <v>15216381</v>
      </c>
      <c r="J877" s="15" t="s">
        <v>17</v>
      </c>
      <c r="K877" s="15" t="s">
        <v>18</v>
      </c>
      <c r="L877" s="9">
        <f>YEAR(E877)</f>
        <v>2023</v>
      </c>
      <c r="M877" s="11">
        <f t="shared" si="15"/>
        <v>4275356.9400000004</v>
      </c>
    </row>
    <row r="878" spans="1:13" ht="21" customHeight="1" x14ac:dyDescent="0.15">
      <c r="A878" s="12"/>
      <c r="B878" s="13" t="s">
        <v>632</v>
      </c>
      <c r="C878" s="14" t="s">
        <v>19</v>
      </c>
      <c r="D878" s="15" t="s">
        <v>139</v>
      </c>
      <c r="E878" s="15" t="s">
        <v>460</v>
      </c>
      <c r="F878" s="16">
        <v>576</v>
      </c>
      <c r="G878" s="17">
        <v>49473.14</v>
      </c>
      <c r="H878" s="17">
        <v>6506.39</v>
      </c>
      <c r="I878" s="17">
        <v>28496528.640000001</v>
      </c>
      <c r="J878" s="15" t="s">
        <v>17</v>
      </c>
      <c r="K878" s="15" t="s">
        <v>18</v>
      </c>
      <c r="L878" s="9">
        <f>YEAR(E878)</f>
        <v>2023</v>
      </c>
      <c r="M878" s="11">
        <f t="shared" si="15"/>
        <v>3747680.64</v>
      </c>
    </row>
    <row r="879" spans="1:13" ht="20.25" customHeight="1" x14ac:dyDescent="0.15">
      <c r="A879" s="12"/>
      <c r="B879" s="13" t="s">
        <v>632</v>
      </c>
      <c r="C879" s="14" t="s">
        <v>23</v>
      </c>
      <c r="D879" s="15" t="s">
        <v>107</v>
      </c>
      <c r="E879" s="15" t="s">
        <v>313</v>
      </c>
      <c r="F879" s="16">
        <v>483</v>
      </c>
      <c r="G879" s="17">
        <v>42817.53</v>
      </c>
      <c r="H879" s="17">
        <v>3137.24</v>
      </c>
      <c r="I879" s="17">
        <v>20680866.989999998</v>
      </c>
      <c r="J879" s="15" t="s">
        <v>22</v>
      </c>
      <c r="K879" s="15" t="s">
        <v>18</v>
      </c>
      <c r="L879" s="9">
        <f>YEAR(E879)</f>
        <v>2023</v>
      </c>
      <c r="M879" s="11">
        <f t="shared" si="15"/>
        <v>1515286.92</v>
      </c>
    </row>
    <row r="880" spans="1:13" ht="20" customHeight="1" x14ac:dyDescent="0.15">
      <c r="A880" s="12"/>
      <c r="B880" s="13" t="s">
        <v>632</v>
      </c>
      <c r="C880" s="14" t="s">
        <v>19</v>
      </c>
      <c r="D880" s="15" t="s">
        <v>107</v>
      </c>
      <c r="E880" s="15" t="s">
        <v>687</v>
      </c>
      <c r="F880" s="16">
        <v>812</v>
      </c>
      <c r="G880" s="17">
        <v>10721.81</v>
      </c>
      <c r="H880" s="17">
        <v>4908.79</v>
      </c>
      <c r="I880" s="17">
        <v>8706109.7200000007</v>
      </c>
      <c r="J880" s="15" t="s">
        <v>28</v>
      </c>
      <c r="K880" s="15" t="s">
        <v>18</v>
      </c>
      <c r="L880" s="9">
        <f>YEAR(E880)</f>
        <v>2023</v>
      </c>
      <c r="M880" s="11">
        <f t="shared" si="15"/>
        <v>3985937.48</v>
      </c>
    </row>
    <row r="881" spans="1:13" ht="20" customHeight="1" x14ac:dyDescent="0.15">
      <c r="A881" s="12"/>
      <c r="B881" s="13" t="s">
        <v>632</v>
      </c>
      <c r="C881" s="14" t="s">
        <v>79</v>
      </c>
      <c r="D881" s="15" t="s">
        <v>114</v>
      </c>
      <c r="E881" s="15" t="s">
        <v>457</v>
      </c>
      <c r="F881" s="16">
        <v>472</v>
      </c>
      <c r="G881" s="17">
        <v>24963.59</v>
      </c>
      <c r="H881" s="17">
        <v>3199.59</v>
      </c>
      <c r="I881" s="17">
        <v>11782814.48</v>
      </c>
      <c r="J881" s="15" t="s">
        <v>17</v>
      </c>
      <c r="K881" s="15" t="s">
        <v>18</v>
      </c>
      <c r="L881" s="9">
        <f>YEAR(E881)</f>
        <v>2023</v>
      </c>
      <c r="M881" s="11">
        <f t="shared" si="15"/>
        <v>1510206.48</v>
      </c>
    </row>
    <row r="882" spans="1:13" ht="20" customHeight="1" thickBot="1" x14ac:dyDescent="0.2">
      <c r="A882" s="12"/>
      <c r="B882" s="21" t="s">
        <v>632</v>
      </c>
      <c r="C882" s="22" t="s">
        <v>38</v>
      </c>
      <c r="D882" s="23" t="s">
        <v>114</v>
      </c>
      <c r="E882" s="23" t="s">
        <v>698</v>
      </c>
      <c r="F882" s="24">
        <v>247</v>
      </c>
      <c r="G882" s="25">
        <v>48726.71</v>
      </c>
      <c r="H882" s="25">
        <v>2469.69</v>
      </c>
      <c r="I882" s="25">
        <v>12035497.369999999</v>
      </c>
      <c r="J882" s="23" t="s">
        <v>17</v>
      </c>
      <c r="K882" s="23" t="s">
        <v>18</v>
      </c>
      <c r="L882" s="9">
        <f>YEAR(E882)</f>
        <v>2023</v>
      </c>
      <c r="M882" s="11">
        <f t="shared" si="15"/>
        <v>610013.43000000005</v>
      </c>
    </row>
    <row r="883" spans="1:13" ht="20" customHeight="1" x14ac:dyDescent="0.15">
      <c r="A883" s="50"/>
      <c r="B883" s="52"/>
      <c r="C883" s="53"/>
      <c r="D883" s="54"/>
      <c r="E883" s="54"/>
      <c r="F883" s="55"/>
      <c r="G883" s="56"/>
      <c r="H883" s="56"/>
      <c r="I883" s="56"/>
      <c r="J883" s="54"/>
      <c r="K883" s="54"/>
      <c r="L883" s="9"/>
      <c r="M883" s="11"/>
    </row>
    <row r="884" spans="1:13" ht="20" customHeight="1" thickBot="1" x14ac:dyDescent="0.2">
      <c r="A884" s="20"/>
      <c r="B884" s="2" t="s">
        <v>2</v>
      </c>
      <c r="C884" s="2" t="s">
        <v>3</v>
      </c>
      <c r="D884" s="2" t="s">
        <v>4</v>
      </c>
      <c r="E884" s="2" t="s">
        <v>5</v>
      </c>
      <c r="F884" s="2" t="s">
        <v>6</v>
      </c>
      <c r="G884" s="2" t="s">
        <v>7</v>
      </c>
      <c r="H884" s="2" t="s">
        <v>8</v>
      </c>
      <c r="I884" s="2" t="s">
        <v>9</v>
      </c>
      <c r="J884" s="2" t="s">
        <v>10</v>
      </c>
      <c r="K884" s="2" t="s">
        <v>11</v>
      </c>
      <c r="L884" s="31" t="s">
        <v>12</v>
      </c>
      <c r="M884" s="64" t="s">
        <v>793</v>
      </c>
    </row>
    <row r="885" spans="1:13" ht="20" customHeight="1" x14ac:dyDescent="0.15">
      <c r="A885" s="3" t="s">
        <v>707</v>
      </c>
      <c r="B885" s="6" t="s">
        <v>707</v>
      </c>
      <c r="C885" s="7" t="s">
        <v>35</v>
      </c>
      <c r="D885" s="8" t="s">
        <v>68</v>
      </c>
      <c r="E885" s="8" t="s">
        <v>376</v>
      </c>
      <c r="F885" s="9">
        <v>594</v>
      </c>
      <c r="G885" s="10">
        <v>32943.760000000002</v>
      </c>
      <c r="H885" s="26">
        <v>2699.9</v>
      </c>
      <c r="I885" s="10">
        <v>19568593.440000001</v>
      </c>
      <c r="J885" s="8" t="s">
        <v>28</v>
      </c>
      <c r="K885" s="8" t="s">
        <v>18</v>
      </c>
      <c r="L885" s="9">
        <f>YEAR(E885)</f>
        <v>2020</v>
      </c>
      <c r="M885" s="11">
        <f t="shared" si="15"/>
        <v>1603740.6</v>
      </c>
    </row>
    <row r="886" spans="1:13" ht="20" customHeight="1" x14ac:dyDescent="0.15">
      <c r="A886" s="5"/>
      <c r="B886" s="13" t="s">
        <v>707</v>
      </c>
      <c r="C886" s="14" t="s">
        <v>23</v>
      </c>
      <c r="D886" s="15" t="s">
        <v>68</v>
      </c>
      <c r="E886" s="15" t="s">
        <v>710</v>
      </c>
      <c r="F886" s="16">
        <v>594</v>
      </c>
      <c r="G886" s="17">
        <v>47688.67</v>
      </c>
      <c r="H886" s="17">
        <v>9913.49</v>
      </c>
      <c r="I886" s="17">
        <v>28327069.98</v>
      </c>
      <c r="J886" s="15" t="s">
        <v>17</v>
      </c>
      <c r="K886" s="15" t="s">
        <v>18</v>
      </c>
      <c r="L886" s="9">
        <f>YEAR(E886)</f>
        <v>2020</v>
      </c>
      <c r="M886" s="11">
        <f t="shared" si="15"/>
        <v>5888613.0599999996</v>
      </c>
    </row>
    <row r="887" spans="1:13" ht="20" customHeight="1" x14ac:dyDescent="0.15">
      <c r="A887" s="12"/>
      <c r="B887" s="13" t="s">
        <v>707</v>
      </c>
      <c r="C887" s="14" t="s">
        <v>31</v>
      </c>
      <c r="D887" s="15" t="s">
        <v>68</v>
      </c>
      <c r="E887" s="15" t="s">
        <v>372</v>
      </c>
      <c r="F887" s="16">
        <v>347</v>
      </c>
      <c r="G887" s="17">
        <v>11714.81</v>
      </c>
      <c r="H887" s="17">
        <v>2929.83</v>
      </c>
      <c r="I887" s="17">
        <v>4065039.07</v>
      </c>
      <c r="J887" s="15" t="s">
        <v>17</v>
      </c>
      <c r="K887" s="15" t="s">
        <v>18</v>
      </c>
      <c r="L887" s="9">
        <f>YEAR(E887)</f>
        <v>2020</v>
      </c>
      <c r="M887" s="11">
        <f t="shared" si="15"/>
        <v>1016651.01</v>
      </c>
    </row>
    <row r="888" spans="1:13" ht="20" customHeight="1" x14ac:dyDescent="0.15">
      <c r="A888" s="12"/>
      <c r="B888" s="13" t="s">
        <v>707</v>
      </c>
      <c r="C888" s="14" t="s">
        <v>38</v>
      </c>
      <c r="D888" s="15" t="s">
        <v>68</v>
      </c>
      <c r="E888" s="15" t="s">
        <v>363</v>
      </c>
      <c r="F888" s="16">
        <v>895</v>
      </c>
      <c r="G888" s="17">
        <v>43973.47</v>
      </c>
      <c r="H888" s="17">
        <v>2448.0500000000002</v>
      </c>
      <c r="I888" s="17">
        <v>39356255.649999999</v>
      </c>
      <c r="J888" s="15" t="s">
        <v>22</v>
      </c>
      <c r="K888" s="15" t="s">
        <v>18</v>
      </c>
      <c r="L888" s="9">
        <f>YEAR(E888)</f>
        <v>2020</v>
      </c>
      <c r="M888" s="11">
        <f t="shared" si="15"/>
        <v>2191004.75</v>
      </c>
    </row>
    <row r="889" spans="1:13" ht="20" customHeight="1" x14ac:dyDescent="0.15">
      <c r="A889" s="12"/>
      <c r="B889" s="13" t="s">
        <v>707</v>
      </c>
      <c r="C889" s="14" t="s">
        <v>25</v>
      </c>
      <c r="D889" s="15" t="s">
        <v>26</v>
      </c>
      <c r="E889" s="15" t="s">
        <v>363</v>
      </c>
      <c r="F889" s="16">
        <v>775</v>
      </c>
      <c r="G889" s="17">
        <v>17452.740000000002</v>
      </c>
      <c r="H889" s="17">
        <v>2686.62</v>
      </c>
      <c r="I889" s="19">
        <v>13525873.5</v>
      </c>
      <c r="J889" s="15" t="s">
        <v>22</v>
      </c>
      <c r="K889" s="15" t="s">
        <v>18</v>
      </c>
      <c r="L889" s="9">
        <f>YEAR(E889)</f>
        <v>2020</v>
      </c>
      <c r="M889" s="11">
        <f t="shared" si="15"/>
        <v>2082130.5</v>
      </c>
    </row>
    <row r="890" spans="1:13" ht="20" customHeight="1" x14ac:dyDescent="0.15">
      <c r="A890" s="12"/>
      <c r="B890" s="13" t="s">
        <v>707</v>
      </c>
      <c r="C890" s="14" t="s">
        <v>23</v>
      </c>
      <c r="D890" s="15" t="s">
        <v>68</v>
      </c>
      <c r="E890" s="15" t="s">
        <v>712</v>
      </c>
      <c r="F890" s="16">
        <v>402</v>
      </c>
      <c r="G890" s="17">
        <v>14516.01</v>
      </c>
      <c r="H890" s="17">
        <v>7997.27</v>
      </c>
      <c r="I890" s="17">
        <v>5835436.0199999996</v>
      </c>
      <c r="J890" s="15" t="s">
        <v>28</v>
      </c>
      <c r="K890" s="15" t="s">
        <v>18</v>
      </c>
      <c r="L890" s="9">
        <f>YEAR(E890)</f>
        <v>2020</v>
      </c>
      <c r="M890" s="11">
        <f t="shared" si="15"/>
        <v>3214902.54</v>
      </c>
    </row>
    <row r="891" spans="1:13" ht="20" customHeight="1" x14ac:dyDescent="0.15">
      <c r="A891" s="12"/>
      <c r="B891" s="13" t="s">
        <v>707</v>
      </c>
      <c r="C891" s="14" t="s">
        <v>35</v>
      </c>
      <c r="D891" s="15" t="s">
        <v>53</v>
      </c>
      <c r="E891" s="15" t="s">
        <v>712</v>
      </c>
      <c r="F891" s="16">
        <v>903</v>
      </c>
      <c r="G891" s="17">
        <v>21669.81</v>
      </c>
      <c r="H891" s="17">
        <v>8838.64</v>
      </c>
      <c r="I891" s="17">
        <v>19567838.43</v>
      </c>
      <c r="J891" s="15" t="s">
        <v>22</v>
      </c>
      <c r="K891" s="15" t="s">
        <v>18</v>
      </c>
      <c r="L891" s="9">
        <f>YEAR(E891)</f>
        <v>2020</v>
      </c>
      <c r="M891" s="11">
        <f t="shared" si="15"/>
        <v>7981291.9199999999</v>
      </c>
    </row>
    <row r="892" spans="1:13" ht="20" customHeight="1" x14ac:dyDescent="0.15">
      <c r="A892" s="12"/>
      <c r="B892" s="13" t="s">
        <v>707</v>
      </c>
      <c r="C892" s="14" t="s">
        <v>25</v>
      </c>
      <c r="D892" s="15" t="s">
        <v>53</v>
      </c>
      <c r="E892" s="15" t="s">
        <v>56</v>
      </c>
      <c r="F892" s="16">
        <v>816</v>
      </c>
      <c r="G892" s="17">
        <v>24557.22</v>
      </c>
      <c r="H892" s="17">
        <v>7507.36</v>
      </c>
      <c r="I892" s="17">
        <v>20038691.52</v>
      </c>
      <c r="J892" s="15" t="s">
        <v>30</v>
      </c>
      <c r="K892" s="15" t="s">
        <v>18</v>
      </c>
      <c r="L892" s="9">
        <f>YEAR(E892)</f>
        <v>2020</v>
      </c>
      <c r="M892" s="11">
        <f t="shared" si="15"/>
        <v>6126005.7599999998</v>
      </c>
    </row>
    <row r="893" spans="1:13" ht="20" customHeight="1" x14ac:dyDescent="0.15">
      <c r="A893" s="12"/>
      <c r="B893" s="13" t="s">
        <v>707</v>
      </c>
      <c r="C893" s="14" t="s">
        <v>14</v>
      </c>
      <c r="D893" s="15" t="s">
        <v>53</v>
      </c>
      <c r="E893" s="15" t="s">
        <v>78</v>
      </c>
      <c r="F893" s="16">
        <v>507</v>
      </c>
      <c r="G893" s="19">
        <v>31022.3</v>
      </c>
      <c r="H893" s="19">
        <v>9376.5</v>
      </c>
      <c r="I893" s="19">
        <v>15728306.1</v>
      </c>
      <c r="J893" s="15" t="s">
        <v>17</v>
      </c>
      <c r="K893" s="15" t="s">
        <v>18</v>
      </c>
      <c r="L893" s="9">
        <f>YEAR(E893)</f>
        <v>2020</v>
      </c>
      <c r="M893" s="11">
        <f t="shared" si="15"/>
        <v>4753885.5</v>
      </c>
    </row>
    <row r="894" spans="1:13" ht="20" customHeight="1" x14ac:dyDescent="0.15">
      <c r="A894" s="12"/>
      <c r="B894" s="13" t="s">
        <v>707</v>
      </c>
      <c r="C894" s="14" t="s">
        <v>23</v>
      </c>
      <c r="D894" s="15" t="s">
        <v>89</v>
      </c>
      <c r="E894" s="15" t="s">
        <v>671</v>
      </c>
      <c r="F894" s="16">
        <v>422</v>
      </c>
      <c r="G894" s="17">
        <v>19028.66</v>
      </c>
      <c r="H894" s="17">
        <v>9601.94</v>
      </c>
      <c r="I894" s="17">
        <v>8030094.5199999996</v>
      </c>
      <c r="J894" s="15" t="s">
        <v>17</v>
      </c>
      <c r="K894" s="15" t="s">
        <v>18</v>
      </c>
      <c r="L894" s="9">
        <f>YEAR(E894)</f>
        <v>2020</v>
      </c>
      <c r="M894" s="11">
        <f t="shared" si="15"/>
        <v>4052018.68</v>
      </c>
    </row>
    <row r="895" spans="1:13" ht="20" customHeight="1" x14ac:dyDescent="0.15">
      <c r="A895" s="12"/>
      <c r="B895" s="13" t="s">
        <v>707</v>
      </c>
      <c r="C895" s="14" t="s">
        <v>31</v>
      </c>
      <c r="D895" s="15" t="s">
        <v>89</v>
      </c>
      <c r="E895" s="15" t="s">
        <v>726</v>
      </c>
      <c r="F895" s="16">
        <v>256</v>
      </c>
      <c r="G895" s="17">
        <v>34710.58</v>
      </c>
      <c r="H895" s="17">
        <v>6530.19</v>
      </c>
      <c r="I895" s="17">
        <v>8885908.4800000004</v>
      </c>
      <c r="J895" s="15" t="s">
        <v>17</v>
      </c>
      <c r="K895" s="15" t="s">
        <v>18</v>
      </c>
      <c r="L895" s="9">
        <f>YEAR(E895)</f>
        <v>2020</v>
      </c>
      <c r="M895" s="11">
        <f t="shared" si="15"/>
        <v>1671728.64</v>
      </c>
    </row>
    <row r="896" spans="1:13" ht="20" customHeight="1" x14ac:dyDescent="0.15">
      <c r="A896" s="12"/>
      <c r="B896" s="13" t="s">
        <v>707</v>
      </c>
      <c r="C896" s="14" t="s">
        <v>23</v>
      </c>
      <c r="D896" s="15" t="s">
        <v>89</v>
      </c>
      <c r="E896" s="15" t="s">
        <v>728</v>
      </c>
      <c r="F896" s="16">
        <v>905</v>
      </c>
      <c r="G896" s="17">
        <v>42903.63</v>
      </c>
      <c r="H896" s="17">
        <v>2926.81</v>
      </c>
      <c r="I896" s="17">
        <v>38827785.149999999</v>
      </c>
      <c r="J896" s="15" t="s">
        <v>17</v>
      </c>
      <c r="K896" s="15" t="s">
        <v>18</v>
      </c>
      <c r="L896" s="9">
        <f>YEAR(E896)</f>
        <v>2020</v>
      </c>
      <c r="M896" s="11">
        <f t="shared" si="15"/>
        <v>2648763.0499999998</v>
      </c>
    </row>
    <row r="897" spans="1:13" ht="20" customHeight="1" x14ac:dyDescent="0.15">
      <c r="A897" s="12"/>
      <c r="B897" s="13" t="s">
        <v>707</v>
      </c>
      <c r="C897" s="14" t="s">
        <v>23</v>
      </c>
      <c r="D897" s="15" t="s">
        <v>89</v>
      </c>
      <c r="E897" s="15" t="s">
        <v>730</v>
      </c>
      <c r="F897" s="16">
        <v>223</v>
      </c>
      <c r="G897" s="17">
        <v>38450.54</v>
      </c>
      <c r="H897" s="17">
        <v>9971.93</v>
      </c>
      <c r="I897" s="17">
        <v>8574470.4199999999</v>
      </c>
      <c r="J897" s="15" t="s">
        <v>17</v>
      </c>
      <c r="K897" s="15" t="s">
        <v>18</v>
      </c>
      <c r="L897" s="9">
        <f>YEAR(E897)</f>
        <v>2020</v>
      </c>
      <c r="M897" s="11">
        <f t="shared" si="15"/>
        <v>2223740.39</v>
      </c>
    </row>
    <row r="898" spans="1:13" ht="20" customHeight="1" x14ac:dyDescent="0.15">
      <c r="A898" s="12"/>
      <c r="B898" s="13" t="s">
        <v>707</v>
      </c>
      <c r="C898" s="14" t="s">
        <v>38</v>
      </c>
      <c r="D898" s="15" t="s">
        <v>107</v>
      </c>
      <c r="E898" s="15" t="s">
        <v>125</v>
      </c>
      <c r="F898" s="16">
        <v>109</v>
      </c>
      <c r="G898" s="17">
        <v>26372.46</v>
      </c>
      <c r="H898" s="17">
        <v>8505.26</v>
      </c>
      <c r="I898" s="17">
        <v>2874598.14</v>
      </c>
      <c r="J898" s="15" t="s">
        <v>17</v>
      </c>
      <c r="K898" s="15" t="s">
        <v>18</v>
      </c>
      <c r="L898" s="9">
        <f>YEAR(E898)</f>
        <v>2020</v>
      </c>
      <c r="M898" s="11">
        <f t="shared" si="15"/>
        <v>927073.34</v>
      </c>
    </row>
    <row r="899" spans="1:13" ht="20" customHeight="1" x14ac:dyDescent="0.15">
      <c r="A899" s="12"/>
      <c r="B899" s="13" t="s">
        <v>707</v>
      </c>
      <c r="C899" s="14" t="s">
        <v>35</v>
      </c>
      <c r="D899" s="15" t="s">
        <v>107</v>
      </c>
      <c r="E899" s="15" t="s">
        <v>735</v>
      </c>
      <c r="F899" s="16">
        <v>583</v>
      </c>
      <c r="G899" s="17">
        <v>40492.17</v>
      </c>
      <c r="H899" s="17">
        <v>5945.15</v>
      </c>
      <c r="I899" s="17">
        <v>23606935.109999999</v>
      </c>
      <c r="J899" s="15" t="s">
        <v>22</v>
      </c>
      <c r="K899" s="15" t="s">
        <v>18</v>
      </c>
      <c r="L899" s="9">
        <f>YEAR(E899)</f>
        <v>2020</v>
      </c>
      <c r="M899" s="11">
        <f t="shared" si="15"/>
        <v>3466022.4499999997</v>
      </c>
    </row>
    <row r="900" spans="1:13" ht="20" customHeight="1" x14ac:dyDescent="0.15">
      <c r="A900" s="12"/>
      <c r="B900" s="13" t="s">
        <v>707</v>
      </c>
      <c r="C900" s="14" t="s">
        <v>23</v>
      </c>
      <c r="D900" s="15" t="s">
        <v>107</v>
      </c>
      <c r="E900" s="15" t="s">
        <v>739</v>
      </c>
      <c r="F900" s="16">
        <v>983</v>
      </c>
      <c r="G900" s="19">
        <v>32503.8</v>
      </c>
      <c r="H900" s="19">
        <v>5624.4</v>
      </c>
      <c r="I900" s="19">
        <v>31951235.399999999</v>
      </c>
      <c r="J900" s="15" t="s">
        <v>17</v>
      </c>
      <c r="K900" s="15" t="s">
        <v>18</v>
      </c>
      <c r="L900" s="9">
        <f>YEAR(E900)</f>
        <v>2020</v>
      </c>
      <c r="M900" s="11">
        <f t="shared" si="15"/>
        <v>5528785.1999999993</v>
      </c>
    </row>
    <row r="901" spans="1:13" ht="20" customHeight="1" x14ac:dyDescent="0.15">
      <c r="A901" s="12"/>
      <c r="B901" s="13" t="s">
        <v>707</v>
      </c>
      <c r="C901" s="14" t="s">
        <v>57</v>
      </c>
      <c r="D901" s="15" t="s">
        <v>153</v>
      </c>
      <c r="E901" s="15" t="s">
        <v>745</v>
      </c>
      <c r="F901" s="16">
        <v>764</v>
      </c>
      <c r="G901" s="17">
        <v>43203.73</v>
      </c>
      <c r="H901" s="17">
        <v>8734.57</v>
      </c>
      <c r="I901" s="17">
        <v>33007649.719999999</v>
      </c>
      <c r="J901" s="15" t="s">
        <v>28</v>
      </c>
      <c r="K901" s="15" t="s">
        <v>18</v>
      </c>
      <c r="L901" s="9">
        <f>YEAR(E901)</f>
        <v>2020</v>
      </c>
      <c r="M901" s="11">
        <f t="shared" ref="M901:M964" si="16">H901*F901</f>
        <v>6673211.4799999995</v>
      </c>
    </row>
    <row r="902" spans="1:13" ht="20" customHeight="1" x14ac:dyDescent="0.15">
      <c r="A902" s="12"/>
      <c r="B902" s="13" t="s">
        <v>707</v>
      </c>
      <c r="C902" s="14" t="s">
        <v>14</v>
      </c>
      <c r="D902" s="15" t="s">
        <v>153</v>
      </c>
      <c r="E902" s="15" t="s">
        <v>746</v>
      </c>
      <c r="F902" s="16">
        <v>934</v>
      </c>
      <c r="G902" s="17">
        <v>19744.29</v>
      </c>
      <c r="H902" s="17">
        <v>8570.41</v>
      </c>
      <c r="I902" s="17">
        <v>18441166.859999999</v>
      </c>
      <c r="J902" s="15" t="s">
        <v>28</v>
      </c>
      <c r="K902" s="15" t="s">
        <v>18</v>
      </c>
      <c r="L902" s="9">
        <f>YEAR(E902)</f>
        <v>2020</v>
      </c>
      <c r="M902" s="11">
        <f t="shared" si="16"/>
        <v>8004762.9399999995</v>
      </c>
    </row>
    <row r="903" spans="1:13" ht="20" customHeight="1" x14ac:dyDescent="0.15">
      <c r="A903" s="12"/>
      <c r="B903" s="13" t="s">
        <v>707</v>
      </c>
      <c r="C903" s="14" t="s">
        <v>19</v>
      </c>
      <c r="D903" s="15" t="s">
        <v>153</v>
      </c>
      <c r="E903" s="15" t="s">
        <v>748</v>
      </c>
      <c r="F903" s="16">
        <v>995</v>
      </c>
      <c r="G903" s="17">
        <v>23095.37</v>
      </c>
      <c r="H903" s="17">
        <v>8369.26</v>
      </c>
      <c r="I903" s="17">
        <v>22979893.149999999</v>
      </c>
      <c r="J903" s="15" t="s">
        <v>17</v>
      </c>
      <c r="K903" s="15" t="s">
        <v>18</v>
      </c>
      <c r="L903" s="9">
        <f>YEAR(E903)</f>
        <v>2020</v>
      </c>
      <c r="M903" s="11">
        <f t="shared" si="16"/>
        <v>8327413.7000000002</v>
      </c>
    </row>
    <row r="904" spans="1:13" ht="20" customHeight="1" x14ac:dyDescent="0.15">
      <c r="A904" s="12"/>
      <c r="B904" s="13" t="s">
        <v>707</v>
      </c>
      <c r="C904" s="14" t="s">
        <v>25</v>
      </c>
      <c r="D904" s="15" t="s">
        <v>153</v>
      </c>
      <c r="E904" s="15" t="s">
        <v>754</v>
      </c>
      <c r="F904" s="16">
        <v>280</v>
      </c>
      <c r="G904" s="19">
        <v>25327.4</v>
      </c>
      <c r="H904" s="17">
        <v>6295.63</v>
      </c>
      <c r="I904" s="16">
        <v>7091672</v>
      </c>
      <c r="J904" s="15" t="s">
        <v>17</v>
      </c>
      <c r="K904" s="15" t="s">
        <v>18</v>
      </c>
      <c r="L904" s="9">
        <f>YEAR(E904)</f>
        <v>2020</v>
      </c>
      <c r="M904" s="11">
        <f t="shared" si="16"/>
        <v>1762776.4000000001</v>
      </c>
    </row>
    <row r="905" spans="1:13" ht="20" customHeight="1" x14ac:dyDescent="0.15">
      <c r="A905" s="12"/>
      <c r="B905" s="13" t="s">
        <v>707</v>
      </c>
      <c r="C905" s="14" t="s">
        <v>31</v>
      </c>
      <c r="D905" s="15" t="s">
        <v>153</v>
      </c>
      <c r="E905" s="15" t="s">
        <v>755</v>
      </c>
      <c r="F905" s="16">
        <v>336</v>
      </c>
      <c r="G905" s="17">
        <v>45460.52</v>
      </c>
      <c r="H905" s="17">
        <v>6073.91</v>
      </c>
      <c r="I905" s="17">
        <v>15274734.720000001</v>
      </c>
      <c r="J905" s="15" t="s">
        <v>30</v>
      </c>
      <c r="K905" s="15" t="s">
        <v>18</v>
      </c>
      <c r="L905" s="9">
        <f>YEAR(E905)</f>
        <v>2020</v>
      </c>
      <c r="M905" s="11">
        <f t="shared" si="16"/>
        <v>2040833.76</v>
      </c>
    </row>
    <row r="906" spans="1:13" ht="20" customHeight="1" x14ac:dyDescent="0.15">
      <c r="A906" s="12"/>
      <c r="B906" s="13" t="s">
        <v>707</v>
      </c>
      <c r="C906" s="14" t="s">
        <v>25</v>
      </c>
      <c r="D906" s="15" t="s">
        <v>139</v>
      </c>
      <c r="E906" s="15" t="s">
        <v>759</v>
      </c>
      <c r="F906" s="16">
        <v>619</v>
      </c>
      <c r="G906" s="17">
        <v>40038.51</v>
      </c>
      <c r="H906" s="17">
        <v>7040.64</v>
      </c>
      <c r="I906" s="17">
        <v>24783837.690000001</v>
      </c>
      <c r="J906" s="15" t="s">
        <v>22</v>
      </c>
      <c r="K906" s="15" t="s">
        <v>18</v>
      </c>
      <c r="L906" s="9">
        <f>YEAR(E906)</f>
        <v>2020</v>
      </c>
      <c r="M906" s="11">
        <f t="shared" si="16"/>
        <v>4358156.16</v>
      </c>
    </row>
    <row r="907" spans="1:13" ht="20" customHeight="1" x14ac:dyDescent="0.15">
      <c r="A907" s="12"/>
      <c r="B907" s="13" t="s">
        <v>707</v>
      </c>
      <c r="C907" s="14" t="s">
        <v>57</v>
      </c>
      <c r="D907" s="15" t="s">
        <v>114</v>
      </c>
      <c r="E907" s="15" t="s">
        <v>762</v>
      </c>
      <c r="F907" s="16">
        <v>545</v>
      </c>
      <c r="G907" s="17">
        <v>36328.03</v>
      </c>
      <c r="H907" s="17">
        <v>9914.9500000000007</v>
      </c>
      <c r="I907" s="17">
        <v>19798776.350000001</v>
      </c>
      <c r="J907" s="15" t="s">
        <v>17</v>
      </c>
      <c r="K907" s="15" t="s">
        <v>18</v>
      </c>
      <c r="L907" s="9">
        <f>YEAR(E907)</f>
        <v>2020</v>
      </c>
      <c r="M907" s="11">
        <f t="shared" si="16"/>
        <v>5403647.75</v>
      </c>
    </row>
    <row r="908" spans="1:13" ht="20" customHeight="1" x14ac:dyDescent="0.15">
      <c r="A908" s="12"/>
      <c r="B908" s="13" t="s">
        <v>707</v>
      </c>
      <c r="C908" s="14" t="s">
        <v>31</v>
      </c>
      <c r="D908" s="15" t="s">
        <v>70</v>
      </c>
      <c r="E908" s="15" t="s">
        <v>768</v>
      </c>
      <c r="F908" s="16">
        <v>613</v>
      </c>
      <c r="G908" s="17">
        <v>24452.58</v>
      </c>
      <c r="H908" s="17">
        <v>6241.25</v>
      </c>
      <c r="I908" s="17">
        <v>14989431.539999999</v>
      </c>
      <c r="J908" s="15" t="s">
        <v>17</v>
      </c>
      <c r="K908" s="15" t="s">
        <v>18</v>
      </c>
      <c r="L908" s="9">
        <f>YEAR(E908)</f>
        <v>2020</v>
      </c>
      <c r="M908" s="11">
        <f t="shared" si="16"/>
        <v>3825886.25</v>
      </c>
    </row>
    <row r="909" spans="1:13" ht="20" customHeight="1" x14ac:dyDescent="0.15">
      <c r="A909" s="12"/>
      <c r="B909" s="13" t="s">
        <v>707</v>
      </c>
      <c r="C909" s="14" t="s">
        <v>23</v>
      </c>
      <c r="D909" s="15" t="s">
        <v>70</v>
      </c>
      <c r="E909" s="15" t="s">
        <v>769</v>
      </c>
      <c r="F909" s="16">
        <v>346</v>
      </c>
      <c r="G909" s="17">
        <v>45875.11</v>
      </c>
      <c r="H909" s="17">
        <v>3490.75</v>
      </c>
      <c r="I909" s="17">
        <v>15872788.060000001</v>
      </c>
      <c r="J909" s="15" t="s">
        <v>17</v>
      </c>
      <c r="K909" s="15" t="s">
        <v>18</v>
      </c>
      <c r="L909" s="9">
        <f>YEAR(E909)</f>
        <v>2020</v>
      </c>
      <c r="M909" s="11">
        <f t="shared" si="16"/>
        <v>1207799.5</v>
      </c>
    </row>
    <row r="910" spans="1:13" ht="20" customHeight="1" x14ac:dyDescent="0.15">
      <c r="A910" s="12"/>
      <c r="B910" s="13" t="s">
        <v>707</v>
      </c>
      <c r="C910" s="14" t="s">
        <v>25</v>
      </c>
      <c r="D910" s="15" t="s">
        <v>70</v>
      </c>
      <c r="E910" s="15" t="s">
        <v>770</v>
      </c>
      <c r="F910" s="16">
        <v>558</v>
      </c>
      <c r="G910" s="17">
        <v>42069.64</v>
      </c>
      <c r="H910" s="17">
        <v>4852.43</v>
      </c>
      <c r="I910" s="17">
        <v>23474859.120000001</v>
      </c>
      <c r="J910" s="15" t="s">
        <v>17</v>
      </c>
      <c r="K910" s="15" t="s">
        <v>18</v>
      </c>
      <c r="L910" s="9">
        <f>YEAR(E910)</f>
        <v>2020</v>
      </c>
      <c r="M910" s="11">
        <f t="shared" si="16"/>
        <v>2707655.94</v>
      </c>
    </row>
    <row r="911" spans="1:13" ht="20" customHeight="1" x14ac:dyDescent="0.15">
      <c r="A911" s="12"/>
      <c r="B911" s="13" t="s">
        <v>707</v>
      </c>
      <c r="C911" s="14" t="s">
        <v>23</v>
      </c>
      <c r="D911" s="15" t="s">
        <v>70</v>
      </c>
      <c r="E911" s="15" t="s">
        <v>373</v>
      </c>
      <c r="F911" s="16">
        <v>803</v>
      </c>
      <c r="G911" s="17">
        <v>13464.75</v>
      </c>
      <c r="H911" s="17">
        <v>4787.78</v>
      </c>
      <c r="I911" s="17">
        <v>10812194.25</v>
      </c>
      <c r="J911" s="15" t="s">
        <v>28</v>
      </c>
      <c r="K911" s="15" t="s">
        <v>18</v>
      </c>
      <c r="L911" s="9">
        <f>YEAR(E911)</f>
        <v>2020</v>
      </c>
      <c r="M911" s="11">
        <f t="shared" si="16"/>
        <v>3844587.34</v>
      </c>
    </row>
    <row r="912" spans="1:13" ht="20" customHeight="1" x14ac:dyDescent="0.15">
      <c r="A912" s="12"/>
      <c r="B912" s="13" t="s">
        <v>707</v>
      </c>
      <c r="C912" s="14" t="s">
        <v>43</v>
      </c>
      <c r="D912" s="15" t="s">
        <v>15</v>
      </c>
      <c r="E912" s="15" t="s">
        <v>777</v>
      </c>
      <c r="F912" s="16">
        <v>452</v>
      </c>
      <c r="G912" s="17">
        <v>12026.68</v>
      </c>
      <c r="H912" s="17">
        <v>3115.04</v>
      </c>
      <c r="I912" s="17">
        <v>5436059.3600000003</v>
      </c>
      <c r="J912" s="15" t="s">
        <v>17</v>
      </c>
      <c r="K912" s="15" t="s">
        <v>18</v>
      </c>
      <c r="L912" s="9">
        <f>YEAR(E912)</f>
        <v>2020</v>
      </c>
      <c r="M912" s="11">
        <f t="shared" si="16"/>
        <v>1407998.08</v>
      </c>
    </row>
    <row r="913" spans="1:13" ht="20" customHeight="1" x14ac:dyDescent="0.15">
      <c r="A913" s="12"/>
      <c r="B913" s="13" t="s">
        <v>707</v>
      </c>
      <c r="C913" s="14" t="s">
        <v>35</v>
      </c>
      <c r="D913" s="15" t="s">
        <v>15</v>
      </c>
      <c r="E913" s="15" t="s">
        <v>50</v>
      </c>
      <c r="F913" s="16">
        <v>268</v>
      </c>
      <c r="G913" s="17">
        <v>41452.959999999999</v>
      </c>
      <c r="H913" s="17">
        <v>9960.67</v>
      </c>
      <c r="I913" s="17">
        <v>11109393.279999999</v>
      </c>
      <c r="J913" s="15" t="s">
        <v>22</v>
      </c>
      <c r="K913" s="15" t="s">
        <v>18</v>
      </c>
      <c r="L913" s="9">
        <f>YEAR(E913)</f>
        <v>2020</v>
      </c>
      <c r="M913" s="11">
        <f t="shared" si="16"/>
        <v>2669459.56</v>
      </c>
    </row>
    <row r="914" spans="1:13" ht="20" customHeight="1" x14ac:dyDescent="0.15">
      <c r="A914" s="12"/>
      <c r="B914" s="13" t="s">
        <v>707</v>
      </c>
      <c r="C914" s="14" t="s">
        <v>57</v>
      </c>
      <c r="D914" s="15" t="s">
        <v>15</v>
      </c>
      <c r="E914" s="15" t="s">
        <v>305</v>
      </c>
      <c r="F914" s="16">
        <v>433</v>
      </c>
      <c r="G914" s="17">
        <v>23950.53</v>
      </c>
      <c r="H914" s="17">
        <v>9015.9699999999993</v>
      </c>
      <c r="I914" s="17">
        <v>10370579.49</v>
      </c>
      <c r="J914" s="15" t="s">
        <v>17</v>
      </c>
      <c r="K914" s="15" t="s">
        <v>18</v>
      </c>
      <c r="L914" s="9">
        <f>YEAR(E914)</f>
        <v>2020</v>
      </c>
      <c r="M914" s="11">
        <f t="shared" si="16"/>
        <v>3903915.01</v>
      </c>
    </row>
    <row r="915" spans="1:13" ht="20" customHeight="1" x14ac:dyDescent="0.15">
      <c r="A915" s="12"/>
      <c r="B915" s="13" t="s">
        <v>707</v>
      </c>
      <c r="C915" s="14" t="s">
        <v>23</v>
      </c>
      <c r="D915" s="15" t="s">
        <v>15</v>
      </c>
      <c r="E915" s="15" t="s">
        <v>119</v>
      </c>
      <c r="F915" s="16">
        <v>613</v>
      </c>
      <c r="G915" s="17">
        <v>43133.82</v>
      </c>
      <c r="H915" s="19">
        <v>8333.2000000000007</v>
      </c>
      <c r="I915" s="17">
        <v>26441031.66</v>
      </c>
      <c r="J915" s="15" t="s">
        <v>17</v>
      </c>
      <c r="K915" s="15" t="s">
        <v>18</v>
      </c>
      <c r="L915" s="9">
        <f>YEAR(E915)</f>
        <v>2020</v>
      </c>
      <c r="M915" s="11">
        <f t="shared" si="16"/>
        <v>5108251.6000000006</v>
      </c>
    </row>
    <row r="916" spans="1:13" ht="20" customHeight="1" x14ac:dyDescent="0.15">
      <c r="A916" s="12"/>
      <c r="B916" s="13" t="s">
        <v>707</v>
      </c>
      <c r="C916" s="14" t="s">
        <v>38</v>
      </c>
      <c r="D916" s="15" t="s">
        <v>26</v>
      </c>
      <c r="E916" s="15" t="s">
        <v>159</v>
      </c>
      <c r="F916" s="16">
        <v>646</v>
      </c>
      <c r="G916" s="17">
        <v>38364.15</v>
      </c>
      <c r="H916" s="17">
        <v>9462.15</v>
      </c>
      <c r="I916" s="19">
        <v>24783240.899999999</v>
      </c>
      <c r="J916" s="15" t="s">
        <v>30</v>
      </c>
      <c r="K916" s="15" t="s">
        <v>18</v>
      </c>
      <c r="L916" s="9">
        <f>YEAR(E916)</f>
        <v>2020</v>
      </c>
      <c r="M916" s="11">
        <f t="shared" si="16"/>
        <v>6112548.8999999994</v>
      </c>
    </row>
    <row r="917" spans="1:13" ht="20" customHeight="1" x14ac:dyDescent="0.15">
      <c r="A917" s="12"/>
      <c r="B917" s="13" t="s">
        <v>707</v>
      </c>
      <c r="C917" s="14" t="s">
        <v>31</v>
      </c>
      <c r="D917" s="15" t="s">
        <v>26</v>
      </c>
      <c r="E917" s="15" t="s">
        <v>564</v>
      </c>
      <c r="F917" s="16">
        <v>341</v>
      </c>
      <c r="G917" s="17">
        <v>41425.589999999997</v>
      </c>
      <c r="H917" s="17">
        <v>9653.4699999999993</v>
      </c>
      <c r="I917" s="17">
        <v>14126126.189999999</v>
      </c>
      <c r="J917" s="15" t="s">
        <v>17</v>
      </c>
      <c r="K917" s="15" t="s">
        <v>18</v>
      </c>
      <c r="L917" s="9">
        <f>YEAR(E917)</f>
        <v>2020</v>
      </c>
      <c r="M917" s="11">
        <f t="shared" si="16"/>
        <v>3291833.2699999996</v>
      </c>
    </row>
    <row r="918" spans="1:13" ht="20" customHeight="1" x14ac:dyDescent="0.15">
      <c r="A918" s="12"/>
      <c r="B918" s="13" t="s">
        <v>707</v>
      </c>
      <c r="C918" s="14" t="s">
        <v>31</v>
      </c>
      <c r="D918" s="15" t="s">
        <v>26</v>
      </c>
      <c r="E918" s="15" t="s">
        <v>133</v>
      </c>
      <c r="F918" s="16">
        <v>586</v>
      </c>
      <c r="G918" s="19">
        <v>27772.799999999999</v>
      </c>
      <c r="H918" s="17">
        <v>7589.35</v>
      </c>
      <c r="I918" s="19">
        <v>16274860.800000001</v>
      </c>
      <c r="J918" s="15" t="s">
        <v>30</v>
      </c>
      <c r="K918" s="15" t="s">
        <v>18</v>
      </c>
      <c r="L918" s="9">
        <f>YEAR(E918)</f>
        <v>2020</v>
      </c>
      <c r="M918" s="11">
        <f t="shared" si="16"/>
        <v>4447359.1000000006</v>
      </c>
    </row>
    <row r="919" spans="1:13" ht="20" customHeight="1" x14ac:dyDescent="0.15">
      <c r="A919" s="12"/>
      <c r="B919" s="13" t="s">
        <v>707</v>
      </c>
      <c r="C919" s="14" t="s">
        <v>38</v>
      </c>
      <c r="D919" s="15" t="s">
        <v>68</v>
      </c>
      <c r="E919" s="15" t="s">
        <v>155</v>
      </c>
      <c r="F919" s="16">
        <v>762</v>
      </c>
      <c r="G919" s="17">
        <v>31063.94</v>
      </c>
      <c r="H919" s="17">
        <v>8486.77</v>
      </c>
      <c r="I919" s="17">
        <v>23670722.280000001</v>
      </c>
      <c r="J919" s="15" t="s">
        <v>17</v>
      </c>
      <c r="K919" s="15" t="s">
        <v>18</v>
      </c>
      <c r="L919" s="9">
        <f>YEAR(E919)</f>
        <v>2021</v>
      </c>
      <c r="M919" s="11">
        <f t="shared" si="16"/>
        <v>6466918.7400000002</v>
      </c>
    </row>
    <row r="920" spans="1:13" ht="20" customHeight="1" x14ac:dyDescent="0.15">
      <c r="A920" s="12"/>
      <c r="B920" s="13" t="s">
        <v>707</v>
      </c>
      <c r="C920" s="14" t="s">
        <v>14</v>
      </c>
      <c r="D920" s="15" t="s">
        <v>68</v>
      </c>
      <c r="E920" s="15" t="s">
        <v>116</v>
      </c>
      <c r="F920" s="16">
        <v>386</v>
      </c>
      <c r="G920" s="17">
        <v>12324.08</v>
      </c>
      <c r="H920" s="17">
        <v>8623.86</v>
      </c>
      <c r="I920" s="17">
        <v>4757094.88</v>
      </c>
      <c r="J920" s="15" t="s">
        <v>17</v>
      </c>
      <c r="K920" s="15" t="s">
        <v>18</v>
      </c>
      <c r="L920" s="9">
        <f>YEAR(E920)</f>
        <v>2021</v>
      </c>
      <c r="M920" s="11">
        <f t="shared" si="16"/>
        <v>3328809.9600000004</v>
      </c>
    </row>
    <row r="921" spans="1:13" ht="20" customHeight="1" x14ac:dyDescent="0.15">
      <c r="A921" s="12"/>
      <c r="B921" s="13" t="s">
        <v>707</v>
      </c>
      <c r="C921" s="14" t="s">
        <v>23</v>
      </c>
      <c r="D921" s="15" t="s">
        <v>53</v>
      </c>
      <c r="E921" s="15" t="s">
        <v>715</v>
      </c>
      <c r="F921" s="16">
        <v>649</v>
      </c>
      <c r="G921" s="17">
        <v>33652.550000000003</v>
      </c>
      <c r="H921" s="19">
        <v>2030.3</v>
      </c>
      <c r="I921" s="17">
        <v>21840504.949999999</v>
      </c>
      <c r="J921" s="15" t="s">
        <v>17</v>
      </c>
      <c r="K921" s="15" t="s">
        <v>18</v>
      </c>
      <c r="L921" s="9">
        <f>YEAR(E921)</f>
        <v>2021</v>
      </c>
      <c r="M921" s="11">
        <f t="shared" si="16"/>
        <v>1317664.7</v>
      </c>
    </row>
    <row r="922" spans="1:13" ht="20" customHeight="1" x14ac:dyDescent="0.15">
      <c r="A922" s="12"/>
      <c r="B922" s="13" t="s">
        <v>707</v>
      </c>
      <c r="C922" s="14" t="s">
        <v>35</v>
      </c>
      <c r="D922" s="15" t="s">
        <v>53</v>
      </c>
      <c r="E922" s="15" t="s">
        <v>716</v>
      </c>
      <c r="F922" s="16">
        <v>212</v>
      </c>
      <c r="G922" s="17">
        <v>13659.53</v>
      </c>
      <c r="H922" s="17">
        <v>4407.05</v>
      </c>
      <c r="I922" s="17">
        <v>2895820.36</v>
      </c>
      <c r="J922" s="15" t="s">
        <v>17</v>
      </c>
      <c r="K922" s="15" t="s">
        <v>18</v>
      </c>
      <c r="L922" s="9">
        <f>YEAR(E922)</f>
        <v>2021</v>
      </c>
      <c r="M922" s="11">
        <f t="shared" si="16"/>
        <v>934294.60000000009</v>
      </c>
    </row>
    <row r="923" spans="1:13" ht="20" customHeight="1" x14ac:dyDescent="0.15">
      <c r="A923" s="12"/>
      <c r="B923" s="13" t="s">
        <v>707</v>
      </c>
      <c r="C923" s="14" t="s">
        <v>38</v>
      </c>
      <c r="D923" s="15" t="s">
        <v>53</v>
      </c>
      <c r="E923" s="15" t="s">
        <v>718</v>
      </c>
      <c r="F923" s="16">
        <v>990</v>
      </c>
      <c r="G923" s="17">
        <v>16931.73</v>
      </c>
      <c r="H923" s="17">
        <v>3464.19</v>
      </c>
      <c r="I923" s="19">
        <v>16762412.699999999</v>
      </c>
      <c r="J923" s="15" t="s">
        <v>30</v>
      </c>
      <c r="K923" s="15" t="s">
        <v>18</v>
      </c>
      <c r="L923" s="9">
        <f>YEAR(E923)</f>
        <v>2021</v>
      </c>
      <c r="M923" s="11">
        <f t="shared" si="16"/>
        <v>3429548.1</v>
      </c>
    </row>
    <row r="924" spans="1:13" ht="20" customHeight="1" x14ac:dyDescent="0.15">
      <c r="A924" s="12"/>
      <c r="B924" s="13" t="s">
        <v>707</v>
      </c>
      <c r="C924" s="14" t="s">
        <v>57</v>
      </c>
      <c r="D924" s="15" t="s">
        <v>53</v>
      </c>
      <c r="E924" s="15" t="s">
        <v>719</v>
      </c>
      <c r="F924" s="16">
        <v>860</v>
      </c>
      <c r="G924" s="19">
        <v>39176.400000000001</v>
      </c>
      <c r="H924" s="17">
        <v>7591.77</v>
      </c>
      <c r="I924" s="16">
        <v>33691704</v>
      </c>
      <c r="J924" s="15" t="s">
        <v>28</v>
      </c>
      <c r="K924" s="15" t="s">
        <v>18</v>
      </c>
      <c r="L924" s="9">
        <f>YEAR(E924)</f>
        <v>2021</v>
      </c>
      <c r="M924" s="11">
        <f t="shared" si="16"/>
        <v>6528922.2000000002</v>
      </c>
    </row>
    <row r="925" spans="1:13" ht="20" customHeight="1" x14ac:dyDescent="0.15">
      <c r="A925" s="12"/>
      <c r="B925" s="13" t="s">
        <v>707</v>
      </c>
      <c r="C925" s="14" t="s">
        <v>31</v>
      </c>
      <c r="D925" s="15" t="s">
        <v>53</v>
      </c>
      <c r="E925" s="15" t="s">
        <v>720</v>
      </c>
      <c r="F925" s="16">
        <v>378</v>
      </c>
      <c r="G925" s="17">
        <v>12485.68</v>
      </c>
      <c r="H925" s="17">
        <v>9250.08</v>
      </c>
      <c r="I925" s="17">
        <v>4719587.04</v>
      </c>
      <c r="J925" s="15" t="s">
        <v>30</v>
      </c>
      <c r="K925" s="15" t="s">
        <v>18</v>
      </c>
      <c r="L925" s="9">
        <f>YEAR(E925)</f>
        <v>2021</v>
      </c>
      <c r="M925" s="11">
        <f t="shared" si="16"/>
        <v>3496530.2399999998</v>
      </c>
    </row>
    <row r="926" spans="1:13" ht="20" customHeight="1" x14ac:dyDescent="0.15">
      <c r="A926" s="12"/>
      <c r="B926" s="13" t="s">
        <v>707</v>
      </c>
      <c r="C926" s="14" t="s">
        <v>38</v>
      </c>
      <c r="D926" s="15" t="s">
        <v>53</v>
      </c>
      <c r="E926" s="15" t="s">
        <v>69</v>
      </c>
      <c r="F926" s="16">
        <v>930</v>
      </c>
      <c r="G926" s="17">
        <v>11752.59</v>
      </c>
      <c r="H926" s="17">
        <v>7463.08</v>
      </c>
      <c r="I926" s="19">
        <v>10929908.699999999</v>
      </c>
      <c r="J926" s="15" t="s">
        <v>17</v>
      </c>
      <c r="K926" s="15" t="s">
        <v>18</v>
      </c>
      <c r="L926" s="9">
        <f>YEAR(E926)</f>
        <v>2021</v>
      </c>
      <c r="M926" s="11">
        <f t="shared" si="16"/>
        <v>6940664.4000000004</v>
      </c>
    </row>
    <row r="927" spans="1:13" ht="20" customHeight="1" x14ac:dyDescent="0.15">
      <c r="A927" s="12"/>
      <c r="B927" s="13" t="s">
        <v>707</v>
      </c>
      <c r="C927" s="14" t="s">
        <v>43</v>
      </c>
      <c r="D927" s="15" t="s">
        <v>89</v>
      </c>
      <c r="E927" s="15" t="s">
        <v>722</v>
      </c>
      <c r="F927" s="16">
        <v>377</v>
      </c>
      <c r="G927" s="17">
        <v>28535.67</v>
      </c>
      <c r="H927" s="17">
        <v>6210.24</v>
      </c>
      <c r="I927" s="17">
        <v>10757947.59</v>
      </c>
      <c r="J927" s="15" t="s">
        <v>28</v>
      </c>
      <c r="K927" s="15" t="s">
        <v>18</v>
      </c>
      <c r="L927" s="9">
        <f>YEAR(E927)</f>
        <v>2021</v>
      </c>
      <c r="M927" s="11">
        <f t="shared" si="16"/>
        <v>2341260.48</v>
      </c>
    </row>
    <row r="928" spans="1:13" ht="20" customHeight="1" x14ac:dyDescent="0.15">
      <c r="A928" s="12"/>
      <c r="B928" s="13" t="s">
        <v>707</v>
      </c>
      <c r="C928" s="14" t="s">
        <v>35</v>
      </c>
      <c r="D928" s="15" t="s">
        <v>89</v>
      </c>
      <c r="E928" s="15" t="s">
        <v>725</v>
      </c>
      <c r="F928" s="16">
        <v>490</v>
      </c>
      <c r="G928" s="19">
        <v>30620.6</v>
      </c>
      <c r="H928" s="17">
        <v>8193.51</v>
      </c>
      <c r="I928" s="16">
        <v>15004094</v>
      </c>
      <c r="J928" s="15" t="s">
        <v>30</v>
      </c>
      <c r="K928" s="15" t="s">
        <v>18</v>
      </c>
      <c r="L928" s="9">
        <f>YEAR(E928)</f>
        <v>2021</v>
      </c>
      <c r="M928" s="11">
        <f t="shared" si="16"/>
        <v>4014819.9</v>
      </c>
    </row>
    <row r="929" spans="1:13" ht="20" customHeight="1" x14ac:dyDescent="0.15">
      <c r="A929" s="12"/>
      <c r="B929" s="13" t="s">
        <v>707</v>
      </c>
      <c r="C929" s="14" t="s">
        <v>79</v>
      </c>
      <c r="D929" s="15" t="s">
        <v>89</v>
      </c>
      <c r="E929" s="15" t="s">
        <v>727</v>
      </c>
      <c r="F929" s="16">
        <v>220</v>
      </c>
      <c r="G929" s="17">
        <v>18365.32</v>
      </c>
      <c r="H929" s="17">
        <v>9655.52</v>
      </c>
      <c r="I929" s="19">
        <v>4040370.4</v>
      </c>
      <c r="J929" s="15" t="s">
        <v>30</v>
      </c>
      <c r="K929" s="15" t="s">
        <v>18</v>
      </c>
      <c r="L929" s="9">
        <f>YEAR(E929)</f>
        <v>2021</v>
      </c>
      <c r="M929" s="11">
        <f t="shared" si="16"/>
        <v>2124214.4</v>
      </c>
    </row>
    <row r="930" spans="1:13" ht="20" customHeight="1" x14ac:dyDescent="0.15">
      <c r="A930" s="12"/>
      <c r="B930" s="13" t="s">
        <v>707</v>
      </c>
      <c r="C930" s="14" t="s">
        <v>43</v>
      </c>
      <c r="D930" s="15" t="s">
        <v>89</v>
      </c>
      <c r="E930" s="15" t="s">
        <v>188</v>
      </c>
      <c r="F930" s="16">
        <v>762</v>
      </c>
      <c r="G930" s="17">
        <v>31052.45</v>
      </c>
      <c r="H930" s="17">
        <v>5531.35</v>
      </c>
      <c r="I930" s="19">
        <v>23661966.899999999</v>
      </c>
      <c r="J930" s="15" t="s">
        <v>17</v>
      </c>
      <c r="K930" s="15" t="s">
        <v>18</v>
      </c>
      <c r="L930" s="9">
        <f>YEAR(E930)</f>
        <v>2021</v>
      </c>
      <c r="M930" s="11">
        <f t="shared" si="16"/>
        <v>4214888.7</v>
      </c>
    </row>
    <row r="931" spans="1:13" ht="20" customHeight="1" x14ac:dyDescent="0.15">
      <c r="A931" s="12"/>
      <c r="B931" s="13" t="s">
        <v>707</v>
      </c>
      <c r="C931" s="14" t="s">
        <v>31</v>
      </c>
      <c r="D931" s="15" t="s">
        <v>107</v>
      </c>
      <c r="E931" s="15" t="s">
        <v>732</v>
      </c>
      <c r="F931" s="16">
        <v>846</v>
      </c>
      <c r="G931" s="17">
        <v>35637.29</v>
      </c>
      <c r="H931" s="17">
        <v>4083.88</v>
      </c>
      <c r="I931" s="17">
        <v>30149147.34</v>
      </c>
      <c r="J931" s="15" t="s">
        <v>22</v>
      </c>
      <c r="K931" s="15" t="s">
        <v>18</v>
      </c>
      <c r="L931" s="9">
        <f>YEAR(E931)</f>
        <v>2021</v>
      </c>
      <c r="M931" s="11">
        <f t="shared" si="16"/>
        <v>3454962.48</v>
      </c>
    </row>
    <row r="932" spans="1:13" ht="20" customHeight="1" x14ac:dyDescent="0.15">
      <c r="A932" s="12"/>
      <c r="B932" s="13" t="s">
        <v>707</v>
      </c>
      <c r="C932" s="14" t="s">
        <v>19</v>
      </c>
      <c r="D932" s="15" t="s">
        <v>107</v>
      </c>
      <c r="E932" s="15" t="s">
        <v>733</v>
      </c>
      <c r="F932" s="16">
        <v>414</v>
      </c>
      <c r="G932" s="19">
        <v>42114.2</v>
      </c>
      <c r="H932" s="17">
        <v>5486.61</v>
      </c>
      <c r="I932" s="19">
        <v>17435278.800000001</v>
      </c>
      <c r="J932" s="15" t="s">
        <v>17</v>
      </c>
      <c r="K932" s="15" t="s">
        <v>18</v>
      </c>
      <c r="L932" s="9">
        <f>YEAR(E932)</f>
        <v>2021</v>
      </c>
      <c r="M932" s="11">
        <f t="shared" si="16"/>
        <v>2271456.54</v>
      </c>
    </row>
    <row r="933" spans="1:13" ht="20" customHeight="1" x14ac:dyDescent="0.15">
      <c r="A933" s="12"/>
      <c r="B933" s="13" t="s">
        <v>707</v>
      </c>
      <c r="C933" s="14" t="s">
        <v>31</v>
      </c>
      <c r="D933" s="15" t="s">
        <v>107</v>
      </c>
      <c r="E933" s="15" t="s">
        <v>734</v>
      </c>
      <c r="F933" s="16">
        <v>711</v>
      </c>
      <c r="G933" s="17">
        <v>30663.26</v>
      </c>
      <c r="H933" s="17">
        <v>3202.33</v>
      </c>
      <c r="I933" s="17">
        <v>21801577.859999999</v>
      </c>
      <c r="J933" s="15" t="s">
        <v>17</v>
      </c>
      <c r="K933" s="15" t="s">
        <v>18</v>
      </c>
      <c r="L933" s="9">
        <f>YEAR(E933)</f>
        <v>2021</v>
      </c>
      <c r="M933" s="11">
        <f t="shared" si="16"/>
        <v>2276856.63</v>
      </c>
    </row>
    <row r="934" spans="1:13" ht="20" customHeight="1" x14ac:dyDescent="0.15">
      <c r="A934" s="12"/>
      <c r="B934" s="13" t="s">
        <v>707</v>
      </c>
      <c r="C934" s="14" t="s">
        <v>79</v>
      </c>
      <c r="D934" s="15" t="s">
        <v>107</v>
      </c>
      <c r="E934" s="15" t="s">
        <v>738</v>
      </c>
      <c r="F934" s="16">
        <v>190</v>
      </c>
      <c r="G934" s="17">
        <v>22327.68</v>
      </c>
      <c r="H934" s="17">
        <v>6223.45</v>
      </c>
      <c r="I934" s="19">
        <v>4242259.2</v>
      </c>
      <c r="J934" s="15" t="s">
        <v>17</v>
      </c>
      <c r="K934" s="15" t="s">
        <v>18</v>
      </c>
      <c r="L934" s="9">
        <f>YEAR(E934)</f>
        <v>2021</v>
      </c>
      <c r="M934" s="11">
        <f t="shared" si="16"/>
        <v>1182455.5</v>
      </c>
    </row>
    <row r="935" spans="1:13" ht="20" customHeight="1" x14ac:dyDescent="0.15">
      <c r="A935" s="12"/>
      <c r="B935" s="13" t="s">
        <v>707</v>
      </c>
      <c r="C935" s="14" t="s">
        <v>38</v>
      </c>
      <c r="D935" s="15" t="s">
        <v>153</v>
      </c>
      <c r="E935" s="15" t="s">
        <v>742</v>
      </c>
      <c r="F935" s="16">
        <v>877</v>
      </c>
      <c r="G935" s="17">
        <v>33879.550000000003</v>
      </c>
      <c r="H935" s="17">
        <v>5665.66</v>
      </c>
      <c r="I935" s="17">
        <v>29712365.350000001</v>
      </c>
      <c r="J935" s="15" t="s">
        <v>17</v>
      </c>
      <c r="K935" s="15" t="s">
        <v>18</v>
      </c>
      <c r="L935" s="9">
        <f>YEAR(E935)</f>
        <v>2021</v>
      </c>
      <c r="M935" s="11">
        <f t="shared" si="16"/>
        <v>4968783.82</v>
      </c>
    </row>
    <row r="936" spans="1:13" ht="20" customHeight="1" x14ac:dyDescent="0.15">
      <c r="A936" s="12"/>
      <c r="B936" s="13" t="s">
        <v>707</v>
      </c>
      <c r="C936" s="14" t="s">
        <v>19</v>
      </c>
      <c r="D936" s="15" t="s">
        <v>153</v>
      </c>
      <c r="E936" s="15" t="s">
        <v>749</v>
      </c>
      <c r="F936" s="16">
        <v>320</v>
      </c>
      <c r="G936" s="17">
        <v>18171.759999999998</v>
      </c>
      <c r="H936" s="17">
        <v>8433.08</v>
      </c>
      <c r="I936" s="19">
        <v>5814963.2000000002</v>
      </c>
      <c r="J936" s="15" t="s">
        <v>28</v>
      </c>
      <c r="K936" s="15" t="s">
        <v>18</v>
      </c>
      <c r="L936" s="9">
        <f>YEAR(E936)</f>
        <v>2021</v>
      </c>
      <c r="M936" s="11">
        <f t="shared" si="16"/>
        <v>2698585.6</v>
      </c>
    </row>
    <row r="937" spans="1:13" ht="20" customHeight="1" x14ac:dyDescent="0.15">
      <c r="A937" s="12"/>
      <c r="B937" s="13" t="s">
        <v>707</v>
      </c>
      <c r="C937" s="14" t="s">
        <v>43</v>
      </c>
      <c r="D937" s="15" t="s">
        <v>153</v>
      </c>
      <c r="E937" s="15" t="s">
        <v>757</v>
      </c>
      <c r="F937" s="16">
        <v>284</v>
      </c>
      <c r="G937" s="17">
        <v>34203.29</v>
      </c>
      <c r="H937" s="17">
        <v>5562.73</v>
      </c>
      <c r="I937" s="17">
        <v>9713734.3599999994</v>
      </c>
      <c r="J937" s="15" t="s">
        <v>17</v>
      </c>
      <c r="K937" s="15" t="s">
        <v>18</v>
      </c>
      <c r="L937" s="9">
        <f>YEAR(E937)</f>
        <v>2021</v>
      </c>
      <c r="M937" s="11">
        <f t="shared" si="16"/>
        <v>1579815.3199999998</v>
      </c>
    </row>
    <row r="938" spans="1:13" ht="20" customHeight="1" x14ac:dyDescent="0.15">
      <c r="A938" s="12"/>
      <c r="B938" s="13" t="s">
        <v>707</v>
      </c>
      <c r="C938" s="14" t="s">
        <v>35</v>
      </c>
      <c r="D938" s="15" t="s">
        <v>139</v>
      </c>
      <c r="E938" s="15" t="s">
        <v>758</v>
      </c>
      <c r="F938" s="16">
        <v>993</v>
      </c>
      <c r="G938" s="17">
        <v>41505.97</v>
      </c>
      <c r="H938" s="19">
        <v>4434.8999999999996</v>
      </c>
      <c r="I938" s="17">
        <v>41215428.210000001</v>
      </c>
      <c r="J938" s="15" t="s">
        <v>28</v>
      </c>
      <c r="K938" s="15" t="s">
        <v>18</v>
      </c>
      <c r="L938" s="9">
        <f>YEAR(E938)</f>
        <v>2021</v>
      </c>
      <c r="M938" s="11">
        <f t="shared" si="16"/>
        <v>4403855.6999999993</v>
      </c>
    </row>
    <row r="939" spans="1:13" ht="20" customHeight="1" x14ac:dyDescent="0.15">
      <c r="A939" s="12"/>
      <c r="B939" s="13" t="s">
        <v>707</v>
      </c>
      <c r="C939" s="14" t="s">
        <v>25</v>
      </c>
      <c r="D939" s="15" t="s">
        <v>139</v>
      </c>
      <c r="E939" s="15" t="s">
        <v>415</v>
      </c>
      <c r="F939" s="16">
        <v>972</v>
      </c>
      <c r="G939" s="17">
        <v>17424.12</v>
      </c>
      <c r="H939" s="17">
        <v>6738.21</v>
      </c>
      <c r="I939" s="17">
        <v>16936244.640000001</v>
      </c>
      <c r="J939" s="15" t="s">
        <v>22</v>
      </c>
      <c r="K939" s="15" t="s">
        <v>18</v>
      </c>
      <c r="L939" s="9">
        <f>YEAR(E939)</f>
        <v>2021</v>
      </c>
      <c r="M939" s="11">
        <f t="shared" si="16"/>
        <v>6549540.1200000001</v>
      </c>
    </row>
    <row r="940" spans="1:13" ht="20" customHeight="1" x14ac:dyDescent="0.15">
      <c r="A940" s="12"/>
      <c r="B940" s="13" t="s">
        <v>707</v>
      </c>
      <c r="C940" s="14" t="s">
        <v>14</v>
      </c>
      <c r="D940" s="15" t="s">
        <v>114</v>
      </c>
      <c r="E940" s="15" t="s">
        <v>194</v>
      </c>
      <c r="F940" s="16">
        <v>263</v>
      </c>
      <c r="G940" s="17">
        <v>33990.480000000003</v>
      </c>
      <c r="H940" s="17">
        <v>8787.7800000000007</v>
      </c>
      <c r="I940" s="17">
        <v>8939496.2400000002</v>
      </c>
      <c r="J940" s="15" t="s">
        <v>17</v>
      </c>
      <c r="K940" s="15" t="s">
        <v>18</v>
      </c>
      <c r="L940" s="9">
        <f>YEAR(E940)</f>
        <v>2021</v>
      </c>
      <c r="M940" s="11">
        <f t="shared" si="16"/>
        <v>2311186.14</v>
      </c>
    </row>
    <row r="941" spans="1:13" ht="20" customHeight="1" x14ac:dyDescent="0.15">
      <c r="A941" s="12"/>
      <c r="B941" s="13" t="s">
        <v>707</v>
      </c>
      <c r="C941" s="14" t="s">
        <v>14</v>
      </c>
      <c r="D941" s="15" t="s">
        <v>114</v>
      </c>
      <c r="E941" s="15" t="s">
        <v>465</v>
      </c>
      <c r="F941" s="16">
        <v>962</v>
      </c>
      <c r="G941" s="17">
        <v>12987.93</v>
      </c>
      <c r="H941" s="19">
        <v>6995.2</v>
      </c>
      <c r="I941" s="17">
        <v>12494388.66</v>
      </c>
      <c r="J941" s="15" t="s">
        <v>17</v>
      </c>
      <c r="K941" s="15" t="s">
        <v>18</v>
      </c>
      <c r="L941" s="9">
        <f>YEAR(E941)</f>
        <v>2021</v>
      </c>
      <c r="M941" s="11">
        <f t="shared" si="16"/>
        <v>6729382.3999999994</v>
      </c>
    </row>
    <row r="942" spans="1:13" ht="20" customHeight="1" x14ac:dyDescent="0.15">
      <c r="A942" s="12"/>
      <c r="B942" s="13" t="s">
        <v>707</v>
      </c>
      <c r="C942" s="14" t="s">
        <v>35</v>
      </c>
      <c r="D942" s="15" t="s">
        <v>70</v>
      </c>
      <c r="E942" s="15" t="s">
        <v>764</v>
      </c>
      <c r="F942" s="16">
        <v>181</v>
      </c>
      <c r="G942" s="19">
        <v>12844.9</v>
      </c>
      <c r="H942" s="17">
        <v>4897.6499999999996</v>
      </c>
      <c r="I942" s="19">
        <v>2324926.9</v>
      </c>
      <c r="J942" s="15" t="s">
        <v>17</v>
      </c>
      <c r="K942" s="15" t="s">
        <v>18</v>
      </c>
      <c r="L942" s="9">
        <f>YEAR(E942)</f>
        <v>2021</v>
      </c>
      <c r="M942" s="11">
        <f t="shared" si="16"/>
        <v>886474.64999999991</v>
      </c>
    </row>
    <row r="943" spans="1:13" ht="20" customHeight="1" x14ac:dyDescent="0.15">
      <c r="A943" s="12"/>
      <c r="B943" s="13" t="s">
        <v>707</v>
      </c>
      <c r="C943" s="14" t="s">
        <v>31</v>
      </c>
      <c r="D943" s="15" t="s">
        <v>70</v>
      </c>
      <c r="E943" s="15" t="s">
        <v>765</v>
      </c>
      <c r="F943" s="16">
        <v>291</v>
      </c>
      <c r="G943" s="17">
        <v>46984.32</v>
      </c>
      <c r="H943" s="17">
        <v>3639.36</v>
      </c>
      <c r="I943" s="17">
        <v>13672437.119999999</v>
      </c>
      <c r="J943" s="15" t="s">
        <v>17</v>
      </c>
      <c r="K943" s="15" t="s">
        <v>18</v>
      </c>
      <c r="L943" s="9">
        <f>YEAR(E943)</f>
        <v>2021</v>
      </c>
      <c r="M943" s="11">
        <f t="shared" si="16"/>
        <v>1059053.76</v>
      </c>
    </row>
    <row r="944" spans="1:13" ht="20" customHeight="1" x14ac:dyDescent="0.15">
      <c r="A944" s="12"/>
      <c r="B944" s="13" t="s">
        <v>707</v>
      </c>
      <c r="C944" s="14" t="s">
        <v>14</v>
      </c>
      <c r="D944" s="15" t="s">
        <v>70</v>
      </c>
      <c r="E944" s="15" t="s">
        <v>766</v>
      </c>
      <c r="F944" s="16">
        <v>750</v>
      </c>
      <c r="G944" s="17">
        <v>48870.19</v>
      </c>
      <c r="H944" s="17">
        <v>9474.77</v>
      </c>
      <c r="I944" s="19">
        <v>36652642.5</v>
      </c>
      <c r="J944" s="15" t="s">
        <v>17</v>
      </c>
      <c r="K944" s="15" t="s">
        <v>18</v>
      </c>
      <c r="L944" s="9">
        <f>YEAR(E944)</f>
        <v>2021</v>
      </c>
      <c r="M944" s="11">
        <f t="shared" si="16"/>
        <v>7106077.5</v>
      </c>
    </row>
    <row r="945" spans="1:13" ht="20" customHeight="1" x14ac:dyDescent="0.15">
      <c r="A945" s="12"/>
      <c r="B945" s="13" t="s">
        <v>707</v>
      </c>
      <c r="C945" s="14" t="s">
        <v>79</v>
      </c>
      <c r="D945" s="15" t="s">
        <v>70</v>
      </c>
      <c r="E945" s="15" t="s">
        <v>767</v>
      </c>
      <c r="F945" s="16">
        <v>719</v>
      </c>
      <c r="G945" s="17">
        <v>31328.17</v>
      </c>
      <c r="H945" s="17">
        <v>4687.24</v>
      </c>
      <c r="I945" s="17">
        <v>22524954.23</v>
      </c>
      <c r="J945" s="15" t="s">
        <v>17</v>
      </c>
      <c r="K945" s="15" t="s">
        <v>18</v>
      </c>
      <c r="L945" s="9">
        <f>YEAR(E945)</f>
        <v>2021</v>
      </c>
      <c r="M945" s="11">
        <f t="shared" si="16"/>
        <v>3370125.56</v>
      </c>
    </row>
    <row r="946" spans="1:13" ht="20" customHeight="1" x14ac:dyDescent="0.15">
      <c r="A946" s="12"/>
      <c r="B946" s="13" t="s">
        <v>707</v>
      </c>
      <c r="C946" s="14" t="s">
        <v>23</v>
      </c>
      <c r="D946" s="15" t="s">
        <v>70</v>
      </c>
      <c r="E946" s="15" t="s">
        <v>773</v>
      </c>
      <c r="F946" s="16">
        <v>769</v>
      </c>
      <c r="G946" s="17">
        <v>48785.86</v>
      </c>
      <c r="H946" s="17">
        <v>9075.51</v>
      </c>
      <c r="I946" s="17">
        <v>37516326.340000004</v>
      </c>
      <c r="J946" s="15" t="s">
        <v>17</v>
      </c>
      <c r="K946" s="15" t="s">
        <v>18</v>
      </c>
      <c r="L946" s="9">
        <f>YEAR(E946)</f>
        <v>2021</v>
      </c>
      <c r="M946" s="11">
        <f t="shared" si="16"/>
        <v>6979067.1900000004</v>
      </c>
    </row>
    <row r="947" spans="1:13" ht="20" customHeight="1" x14ac:dyDescent="0.15">
      <c r="A947" s="12"/>
      <c r="B947" s="13" t="s">
        <v>707</v>
      </c>
      <c r="C947" s="14" t="s">
        <v>25</v>
      </c>
      <c r="D947" s="15" t="s">
        <v>15</v>
      </c>
      <c r="E947" s="15" t="s">
        <v>776</v>
      </c>
      <c r="F947" s="16">
        <v>807</v>
      </c>
      <c r="G947" s="17">
        <v>18090.87</v>
      </c>
      <c r="H947" s="17">
        <v>7265.71</v>
      </c>
      <c r="I947" s="17">
        <v>14599332.09</v>
      </c>
      <c r="J947" s="15" t="s">
        <v>17</v>
      </c>
      <c r="K947" s="15" t="s">
        <v>18</v>
      </c>
      <c r="L947" s="9">
        <f>YEAR(E947)</f>
        <v>2021</v>
      </c>
      <c r="M947" s="11">
        <f t="shared" si="16"/>
        <v>5863427.9699999997</v>
      </c>
    </row>
    <row r="948" spans="1:13" ht="20" customHeight="1" x14ac:dyDescent="0.15">
      <c r="A948" s="12"/>
      <c r="B948" s="13" t="s">
        <v>707</v>
      </c>
      <c r="C948" s="14" t="s">
        <v>31</v>
      </c>
      <c r="D948" s="15" t="s">
        <v>15</v>
      </c>
      <c r="E948" s="15" t="s">
        <v>44</v>
      </c>
      <c r="F948" s="16">
        <v>228</v>
      </c>
      <c r="G948" s="17">
        <v>41382.33</v>
      </c>
      <c r="H948" s="17">
        <v>6303.59</v>
      </c>
      <c r="I948" s="17">
        <v>9435171.2400000002</v>
      </c>
      <c r="J948" s="15" t="s">
        <v>17</v>
      </c>
      <c r="K948" s="15" t="s">
        <v>18</v>
      </c>
      <c r="L948" s="9">
        <f>YEAR(E948)</f>
        <v>2021</v>
      </c>
      <c r="M948" s="11">
        <f t="shared" si="16"/>
        <v>1437218.52</v>
      </c>
    </row>
    <row r="949" spans="1:13" ht="20" customHeight="1" x14ac:dyDescent="0.15">
      <c r="A949" s="12"/>
      <c r="B949" s="13" t="s">
        <v>707</v>
      </c>
      <c r="C949" s="14" t="s">
        <v>14</v>
      </c>
      <c r="D949" s="15" t="s">
        <v>15</v>
      </c>
      <c r="E949" s="15" t="s">
        <v>778</v>
      </c>
      <c r="F949" s="16">
        <v>811</v>
      </c>
      <c r="G949" s="17">
        <v>36623.160000000003</v>
      </c>
      <c r="H949" s="19">
        <v>8224.9</v>
      </c>
      <c r="I949" s="17">
        <v>29701382.760000002</v>
      </c>
      <c r="J949" s="15" t="s">
        <v>17</v>
      </c>
      <c r="K949" s="15" t="s">
        <v>18</v>
      </c>
      <c r="L949" s="9">
        <f>YEAR(E949)</f>
        <v>2021</v>
      </c>
      <c r="M949" s="11">
        <f t="shared" si="16"/>
        <v>6670393.8999999994</v>
      </c>
    </row>
    <row r="950" spans="1:13" ht="20" customHeight="1" x14ac:dyDescent="0.15">
      <c r="A950" s="12"/>
      <c r="B950" s="13" t="s">
        <v>707</v>
      </c>
      <c r="C950" s="14" t="s">
        <v>79</v>
      </c>
      <c r="D950" s="15" t="s">
        <v>15</v>
      </c>
      <c r="E950" s="15" t="s">
        <v>782</v>
      </c>
      <c r="F950" s="16">
        <v>814</v>
      </c>
      <c r="G950" s="17">
        <v>30126.69</v>
      </c>
      <c r="H950" s="17">
        <v>4693.67</v>
      </c>
      <c r="I950" s="17">
        <v>24523125.66</v>
      </c>
      <c r="J950" s="15" t="s">
        <v>30</v>
      </c>
      <c r="K950" s="15" t="s">
        <v>18</v>
      </c>
      <c r="L950" s="9">
        <f>YEAR(E950)</f>
        <v>2021</v>
      </c>
      <c r="M950" s="11">
        <f t="shared" si="16"/>
        <v>3820647.38</v>
      </c>
    </row>
    <row r="951" spans="1:13" ht="20" customHeight="1" x14ac:dyDescent="0.15">
      <c r="A951" s="12"/>
      <c r="B951" s="13" t="s">
        <v>707</v>
      </c>
      <c r="C951" s="14" t="s">
        <v>19</v>
      </c>
      <c r="D951" s="15" t="s">
        <v>26</v>
      </c>
      <c r="E951" s="15" t="s">
        <v>783</v>
      </c>
      <c r="F951" s="16">
        <v>810</v>
      </c>
      <c r="G951" s="17">
        <v>29162.35</v>
      </c>
      <c r="H951" s="17">
        <v>8685.33</v>
      </c>
      <c r="I951" s="19">
        <v>23621503.5</v>
      </c>
      <c r="J951" s="15" t="s">
        <v>17</v>
      </c>
      <c r="K951" s="15" t="s">
        <v>18</v>
      </c>
      <c r="L951" s="9">
        <f>YEAR(E951)</f>
        <v>2021</v>
      </c>
      <c r="M951" s="11">
        <f t="shared" si="16"/>
        <v>7035117.2999999998</v>
      </c>
    </row>
    <row r="952" spans="1:13" ht="20" customHeight="1" x14ac:dyDescent="0.15">
      <c r="A952" s="12"/>
      <c r="B952" s="13" t="s">
        <v>707</v>
      </c>
      <c r="C952" s="14" t="s">
        <v>23</v>
      </c>
      <c r="D952" s="15" t="s">
        <v>68</v>
      </c>
      <c r="E952" s="15" t="s">
        <v>464</v>
      </c>
      <c r="F952" s="16">
        <v>373</v>
      </c>
      <c r="G952" s="17">
        <v>13415.94</v>
      </c>
      <c r="H952" s="17">
        <v>9590.9500000000007</v>
      </c>
      <c r="I952" s="17">
        <v>5004145.62</v>
      </c>
      <c r="J952" s="15" t="s">
        <v>17</v>
      </c>
      <c r="K952" s="15" t="s">
        <v>18</v>
      </c>
      <c r="L952" s="9">
        <f>YEAR(E952)</f>
        <v>2022</v>
      </c>
      <c r="M952" s="11">
        <f t="shared" si="16"/>
        <v>3577424.35</v>
      </c>
    </row>
    <row r="953" spans="1:13" ht="20" customHeight="1" x14ac:dyDescent="0.15">
      <c r="A953" s="12"/>
      <c r="B953" s="13" t="s">
        <v>707</v>
      </c>
      <c r="C953" s="14" t="s">
        <v>25</v>
      </c>
      <c r="D953" s="15" t="s">
        <v>68</v>
      </c>
      <c r="E953" s="15" t="s">
        <v>709</v>
      </c>
      <c r="F953" s="16">
        <v>321</v>
      </c>
      <c r="G953" s="17">
        <v>14556.35</v>
      </c>
      <c r="H953" s="17">
        <v>5906.37</v>
      </c>
      <c r="I953" s="17">
        <v>4672588.3499999996</v>
      </c>
      <c r="J953" s="15" t="s">
        <v>17</v>
      </c>
      <c r="K953" s="15" t="s">
        <v>18</v>
      </c>
      <c r="L953" s="9">
        <f>YEAR(E953)</f>
        <v>2022</v>
      </c>
      <c r="M953" s="11">
        <f t="shared" si="16"/>
        <v>1895944.77</v>
      </c>
    </row>
    <row r="954" spans="1:13" ht="20" customHeight="1" x14ac:dyDescent="0.15">
      <c r="A954" s="12"/>
      <c r="B954" s="13" t="s">
        <v>707</v>
      </c>
      <c r="C954" s="14" t="s">
        <v>19</v>
      </c>
      <c r="D954" s="15" t="s">
        <v>68</v>
      </c>
      <c r="E954" s="15" t="s">
        <v>711</v>
      </c>
      <c r="F954" s="16">
        <v>856</v>
      </c>
      <c r="G954" s="17">
        <v>38044.129999999997</v>
      </c>
      <c r="H954" s="17">
        <v>2728.58</v>
      </c>
      <c r="I954" s="17">
        <v>32565775.280000001</v>
      </c>
      <c r="J954" s="15" t="s">
        <v>17</v>
      </c>
      <c r="K954" s="15" t="s">
        <v>18</v>
      </c>
      <c r="L954" s="9">
        <f>YEAR(E954)</f>
        <v>2022</v>
      </c>
      <c r="M954" s="11">
        <f t="shared" si="16"/>
        <v>2335664.48</v>
      </c>
    </row>
    <row r="955" spans="1:13" ht="20" customHeight="1" x14ac:dyDescent="0.15">
      <c r="A955" s="12"/>
      <c r="B955" s="13" t="s">
        <v>707</v>
      </c>
      <c r="C955" s="14" t="s">
        <v>57</v>
      </c>
      <c r="D955" s="15" t="s">
        <v>68</v>
      </c>
      <c r="E955" s="15" t="s">
        <v>51</v>
      </c>
      <c r="F955" s="16">
        <v>880</v>
      </c>
      <c r="G955" s="17">
        <v>40170.32</v>
      </c>
      <c r="H955" s="17">
        <v>6843.59</v>
      </c>
      <c r="I955" s="19">
        <v>35349881.600000001</v>
      </c>
      <c r="J955" s="15" t="s">
        <v>28</v>
      </c>
      <c r="K955" s="15" t="s">
        <v>18</v>
      </c>
      <c r="L955" s="9">
        <f>YEAR(E955)</f>
        <v>2022</v>
      </c>
      <c r="M955" s="11">
        <f t="shared" si="16"/>
        <v>6022359.2000000002</v>
      </c>
    </row>
    <row r="956" spans="1:13" ht="20" customHeight="1" x14ac:dyDescent="0.15">
      <c r="A956" s="12"/>
      <c r="B956" s="13" t="s">
        <v>707</v>
      </c>
      <c r="C956" s="14" t="s">
        <v>25</v>
      </c>
      <c r="D956" s="15" t="s">
        <v>53</v>
      </c>
      <c r="E956" s="15" t="s">
        <v>713</v>
      </c>
      <c r="F956" s="16">
        <v>589</v>
      </c>
      <c r="G956" s="17">
        <v>16688.990000000002</v>
      </c>
      <c r="H956" s="17">
        <v>5445.11</v>
      </c>
      <c r="I956" s="17">
        <v>9829815.1099999994</v>
      </c>
      <c r="J956" s="15" t="s">
        <v>17</v>
      </c>
      <c r="K956" s="15" t="s">
        <v>18</v>
      </c>
      <c r="L956" s="9">
        <f>YEAR(E956)</f>
        <v>2022</v>
      </c>
      <c r="M956" s="11">
        <f t="shared" si="16"/>
        <v>3207169.79</v>
      </c>
    </row>
    <row r="957" spans="1:13" ht="20" customHeight="1" x14ac:dyDescent="0.15">
      <c r="A957" s="12"/>
      <c r="B957" s="13" t="s">
        <v>707</v>
      </c>
      <c r="C957" s="14" t="s">
        <v>23</v>
      </c>
      <c r="D957" s="15" t="s">
        <v>53</v>
      </c>
      <c r="E957" s="15" t="s">
        <v>714</v>
      </c>
      <c r="F957" s="16">
        <v>905</v>
      </c>
      <c r="G957" s="17">
        <v>13158.97</v>
      </c>
      <c r="H957" s="17">
        <v>3692.93</v>
      </c>
      <c r="I957" s="17">
        <v>11908867.85</v>
      </c>
      <c r="J957" s="15" t="s">
        <v>17</v>
      </c>
      <c r="K957" s="15" t="s">
        <v>18</v>
      </c>
      <c r="L957" s="9">
        <f>YEAR(E957)</f>
        <v>2022</v>
      </c>
      <c r="M957" s="11">
        <f t="shared" si="16"/>
        <v>3342101.65</v>
      </c>
    </row>
    <row r="958" spans="1:13" ht="20" customHeight="1" x14ac:dyDescent="0.15">
      <c r="A958" s="12"/>
      <c r="B958" s="13" t="s">
        <v>707</v>
      </c>
      <c r="C958" s="14" t="s">
        <v>79</v>
      </c>
      <c r="D958" s="15" t="s">
        <v>53</v>
      </c>
      <c r="E958" s="15" t="s">
        <v>717</v>
      </c>
      <c r="F958" s="16">
        <v>113</v>
      </c>
      <c r="G958" s="17">
        <v>44959.45</v>
      </c>
      <c r="H958" s="17">
        <v>6092.14</v>
      </c>
      <c r="I958" s="17">
        <v>5080417.8499999996</v>
      </c>
      <c r="J958" s="15" t="s">
        <v>17</v>
      </c>
      <c r="K958" s="15" t="s">
        <v>18</v>
      </c>
      <c r="L958" s="9">
        <f>YEAR(E958)</f>
        <v>2022</v>
      </c>
      <c r="M958" s="11">
        <f t="shared" si="16"/>
        <v>688411.82000000007</v>
      </c>
    </row>
    <row r="959" spans="1:13" ht="20" customHeight="1" x14ac:dyDescent="0.15">
      <c r="A959" s="12"/>
      <c r="B959" s="13" t="s">
        <v>707</v>
      </c>
      <c r="C959" s="14" t="s">
        <v>31</v>
      </c>
      <c r="D959" s="15" t="s">
        <v>53</v>
      </c>
      <c r="E959" s="15" t="s">
        <v>63</v>
      </c>
      <c r="F959" s="16">
        <v>757</v>
      </c>
      <c r="G959" s="17">
        <v>33275.53</v>
      </c>
      <c r="H959" s="17">
        <v>8144.09</v>
      </c>
      <c r="I959" s="17">
        <v>25189576.210000001</v>
      </c>
      <c r="J959" s="15" t="s">
        <v>17</v>
      </c>
      <c r="K959" s="15" t="s">
        <v>18</v>
      </c>
      <c r="L959" s="9">
        <f>YEAR(E959)</f>
        <v>2022</v>
      </c>
      <c r="M959" s="11">
        <f t="shared" si="16"/>
        <v>6165076.1299999999</v>
      </c>
    </row>
    <row r="960" spans="1:13" ht="20" customHeight="1" x14ac:dyDescent="0.15">
      <c r="A960" s="12"/>
      <c r="B960" s="13" t="s">
        <v>707</v>
      </c>
      <c r="C960" s="14" t="s">
        <v>25</v>
      </c>
      <c r="D960" s="15" t="s">
        <v>53</v>
      </c>
      <c r="E960" s="15" t="s">
        <v>721</v>
      </c>
      <c r="F960" s="16">
        <v>343</v>
      </c>
      <c r="G960" s="17">
        <v>28619.01</v>
      </c>
      <c r="H960" s="17">
        <v>8180.16</v>
      </c>
      <c r="I960" s="17">
        <v>9816320.4299999997</v>
      </c>
      <c r="J960" s="15" t="s">
        <v>17</v>
      </c>
      <c r="K960" s="15" t="s">
        <v>18</v>
      </c>
      <c r="L960" s="9">
        <f>YEAR(E960)</f>
        <v>2022</v>
      </c>
      <c r="M960" s="11">
        <f t="shared" si="16"/>
        <v>2805794.88</v>
      </c>
    </row>
    <row r="961" spans="1:13" ht="20" customHeight="1" x14ac:dyDescent="0.15">
      <c r="A961" s="12"/>
      <c r="B961" s="13" t="s">
        <v>707</v>
      </c>
      <c r="C961" s="14" t="s">
        <v>43</v>
      </c>
      <c r="D961" s="15" t="s">
        <v>89</v>
      </c>
      <c r="E961" s="15" t="s">
        <v>724</v>
      </c>
      <c r="F961" s="16">
        <v>431</v>
      </c>
      <c r="G961" s="17">
        <v>30944.44</v>
      </c>
      <c r="H961" s="17">
        <v>4854.76</v>
      </c>
      <c r="I961" s="17">
        <v>13337053.640000001</v>
      </c>
      <c r="J961" s="15" t="s">
        <v>22</v>
      </c>
      <c r="K961" s="15" t="s">
        <v>18</v>
      </c>
      <c r="L961" s="9">
        <f>YEAR(E961)</f>
        <v>2022</v>
      </c>
      <c r="M961" s="11">
        <f t="shared" si="16"/>
        <v>2092401.56</v>
      </c>
    </row>
    <row r="962" spans="1:13" ht="20" customHeight="1" x14ac:dyDescent="0.15">
      <c r="A962" s="12"/>
      <c r="B962" s="13" t="s">
        <v>707</v>
      </c>
      <c r="C962" s="14" t="s">
        <v>38</v>
      </c>
      <c r="D962" s="15" t="s">
        <v>89</v>
      </c>
      <c r="E962" s="15" t="s">
        <v>209</v>
      </c>
      <c r="F962" s="16">
        <v>249</v>
      </c>
      <c r="G962" s="17">
        <v>43575.519999999997</v>
      </c>
      <c r="H962" s="17">
        <v>5482.79</v>
      </c>
      <c r="I962" s="17">
        <v>10850304.48</v>
      </c>
      <c r="J962" s="15" t="s">
        <v>17</v>
      </c>
      <c r="K962" s="15" t="s">
        <v>18</v>
      </c>
      <c r="L962" s="9">
        <f>YEAR(E962)</f>
        <v>2022</v>
      </c>
      <c r="M962" s="11">
        <f t="shared" si="16"/>
        <v>1365214.71</v>
      </c>
    </row>
    <row r="963" spans="1:13" ht="20" customHeight="1" x14ac:dyDescent="0.15">
      <c r="A963" s="12"/>
      <c r="B963" s="13" t="s">
        <v>707</v>
      </c>
      <c r="C963" s="14" t="s">
        <v>57</v>
      </c>
      <c r="D963" s="15" t="s">
        <v>89</v>
      </c>
      <c r="E963" s="15" t="s">
        <v>190</v>
      </c>
      <c r="F963" s="16">
        <v>615</v>
      </c>
      <c r="G963" s="17">
        <v>29388.41</v>
      </c>
      <c r="H963" s="19">
        <v>4431.2</v>
      </c>
      <c r="I963" s="17">
        <v>18073872.149999999</v>
      </c>
      <c r="J963" s="15" t="s">
        <v>17</v>
      </c>
      <c r="K963" s="15" t="s">
        <v>18</v>
      </c>
      <c r="L963" s="9">
        <f>YEAR(E963)</f>
        <v>2022</v>
      </c>
      <c r="M963" s="11">
        <f t="shared" si="16"/>
        <v>2725188</v>
      </c>
    </row>
    <row r="964" spans="1:13" ht="20" customHeight="1" x14ac:dyDescent="0.15">
      <c r="A964" s="12"/>
      <c r="B964" s="13" t="s">
        <v>707</v>
      </c>
      <c r="C964" s="14" t="s">
        <v>35</v>
      </c>
      <c r="D964" s="15" t="s">
        <v>107</v>
      </c>
      <c r="E964" s="15" t="s">
        <v>309</v>
      </c>
      <c r="F964" s="16">
        <v>662</v>
      </c>
      <c r="G964" s="17">
        <v>33103.72</v>
      </c>
      <c r="H964" s="19">
        <v>8786.6</v>
      </c>
      <c r="I964" s="17">
        <v>21914662.640000001</v>
      </c>
      <c r="J964" s="15" t="s">
        <v>22</v>
      </c>
      <c r="K964" s="15" t="s">
        <v>18</v>
      </c>
      <c r="L964" s="9">
        <f>YEAR(E964)</f>
        <v>2022</v>
      </c>
      <c r="M964" s="11">
        <f t="shared" si="16"/>
        <v>5816729.2000000002</v>
      </c>
    </row>
    <row r="965" spans="1:13" ht="20" customHeight="1" x14ac:dyDescent="0.15">
      <c r="A965" s="12"/>
      <c r="B965" s="13" t="s">
        <v>707</v>
      </c>
      <c r="C965" s="14" t="s">
        <v>38</v>
      </c>
      <c r="D965" s="15" t="s">
        <v>107</v>
      </c>
      <c r="E965" s="15" t="s">
        <v>737</v>
      </c>
      <c r="F965" s="16">
        <v>471</v>
      </c>
      <c r="G965" s="19">
        <v>38081.699999999997</v>
      </c>
      <c r="H965" s="17">
        <v>8208.7199999999993</v>
      </c>
      <c r="I965" s="19">
        <v>17936480.699999999</v>
      </c>
      <c r="J965" s="15" t="s">
        <v>30</v>
      </c>
      <c r="K965" s="15" t="s">
        <v>18</v>
      </c>
      <c r="L965" s="9">
        <f>YEAR(E965)</f>
        <v>2022</v>
      </c>
      <c r="M965" s="11">
        <f t="shared" ref="M965:M1017" si="17">H965*F965</f>
        <v>3866307.1199999996</v>
      </c>
    </row>
    <row r="966" spans="1:13" ht="20" customHeight="1" x14ac:dyDescent="0.15">
      <c r="A966" s="12"/>
      <c r="B966" s="13" t="s">
        <v>707</v>
      </c>
      <c r="C966" s="14" t="s">
        <v>35</v>
      </c>
      <c r="D966" s="15" t="s">
        <v>107</v>
      </c>
      <c r="E966" s="15" t="s">
        <v>410</v>
      </c>
      <c r="F966" s="16">
        <v>949</v>
      </c>
      <c r="G966" s="17">
        <v>38419.360000000001</v>
      </c>
      <c r="H966" s="17">
        <v>3631.91</v>
      </c>
      <c r="I966" s="17">
        <v>36459972.640000001</v>
      </c>
      <c r="J966" s="15" t="s">
        <v>30</v>
      </c>
      <c r="K966" s="15" t="s">
        <v>18</v>
      </c>
      <c r="L966" s="9">
        <f>YEAR(E966)</f>
        <v>2022</v>
      </c>
      <c r="M966" s="11">
        <f t="shared" si="17"/>
        <v>3446682.59</v>
      </c>
    </row>
    <row r="967" spans="1:13" ht="20" customHeight="1" x14ac:dyDescent="0.15">
      <c r="A967" s="12"/>
      <c r="B967" s="13" t="s">
        <v>707</v>
      </c>
      <c r="C967" s="14" t="s">
        <v>31</v>
      </c>
      <c r="D967" s="15" t="s">
        <v>107</v>
      </c>
      <c r="E967" s="15" t="s">
        <v>192</v>
      </c>
      <c r="F967" s="16">
        <v>497</v>
      </c>
      <c r="G967" s="17">
        <v>36446.19</v>
      </c>
      <c r="H967" s="17">
        <v>6203.23</v>
      </c>
      <c r="I967" s="17">
        <v>18113756.43</v>
      </c>
      <c r="J967" s="15" t="s">
        <v>28</v>
      </c>
      <c r="K967" s="15" t="s">
        <v>18</v>
      </c>
      <c r="L967" s="9">
        <f>YEAR(E967)</f>
        <v>2022</v>
      </c>
      <c r="M967" s="11">
        <f t="shared" si="17"/>
        <v>3083005.3099999996</v>
      </c>
    </row>
    <row r="968" spans="1:13" ht="20" customHeight="1" x14ac:dyDescent="0.15">
      <c r="A968" s="12"/>
      <c r="B968" s="13" t="s">
        <v>707</v>
      </c>
      <c r="C968" s="14" t="s">
        <v>38</v>
      </c>
      <c r="D968" s="15" t="s">
        <v>107</v>
      </c>
      <c r="E968" s="15" t="s">
        <v>740</v>
      </c>
      <c r="F968" s="16">
        <v>476</v>
      </c>
      <c r="G968" s="17">
        <v>14011.07</v>
      </c>
      <c r="H968" s="17">
        <v>5099.37</v>
      </c>
      <c r="I968" s="17">
        <v>6669269.3200000003</v>
      </c>
      <c r="J968" s="15" t="s">
        <v>30</v>
      </c>
      <c r="K968" s="15" t="s">
        <v>18</v>
      </c>
      <c r="L968" s="9">
        <f>YEAR(E968)</f>
        <v>2022</v>
      </c>
      <c r="M968" s="11">
        <f t="shared" si="17"/>
        <v>2427300.12</v>
      </c>
    </row>
    <row r="969" spans="1:13" ht="20" customHeight="1" x14ac:dyDescent="0.15">
      <c r="A969" s="12"/>
      <c r="B969" s="13" t="s">
        <v>707</v>
      </c>
      <c r="C969" s="14" t="s">
        <v>14</v>
      </c>
      <c r="D969" s="15" t="s">
        <v>153</v>
      </c>
      <c r="E969" s="15" t="s">
        <v>743</v>
      </c>
      <c r="F969" s="16">
        <v>622</v>
      </c>
      <c r="G969" s="17">
        <v>11709.51</v>
      </c>
      <c r="H969" s="17">
        <v>2043.12</v>
      </c>
      <c r="I969" s="17">
        <v>7283315.2199999997</v>
      </c>
      <c r="J969" s="15" t="s">
        <v>30</v>
      </c>
      <c r="K969" s="15" t="s">
        <v>18</v>
      </c>
      <c r="L969" s="9">
        <f>YEAR(E969)</f>
        <v>2022</v>
      </c>
      <c r="M969" s="11">
        <f t="shared" si="17"/>
        <v>1270820.6399999999</v>
      </c>
    </row>
    <row r="970" spans="1:13" ht="20" customHeight="1" x14ac:dyDescent="0.15">
      <c r="A970" s="12"/>
      <c r="B970" s="13" t="s">
        <v>707</v>
      </c>
      <c r="C970" s="14" t="s">
        <v>31</v>
      </c>
      <c r="D970" s="15" t="s">
        <v>153</v>
      </c>
      <c r="E970" s="15" t="s">
        <v>744</v>
      </c>
      <c r="F970" s="16">
        <v>109</v>
      </c>
      <c r="G970" s="17">
        <v>30617.79</v>
      </c>
      <c r="H970" s="17">
        <v>6262.87</v>
      </c>
      <c r="I970" s="17">
        <v>3337339.11</v>
      </c>
      <c r="J970" s="15" t="s">
        <v>28</v>
      </c>
      <c r="K970" s="15" t="s">
        <v>18</v>
      </c>
      <c r="L970" s="9">
        <f>YEAR(E970)</f>
        <v>2022</v>
      </c>
      <c r="M970" s="11">
        <f t="shared" si="17"/>
        <v>682652.83</v>
      </c>
    </row>
    <row r="971" spans="1:13" ht="20" customHeight="1" x14ac:dyDescent="0.15">
      <c r="A971" s="12"/>
      <c r="B971" s="13" t="s">
        <v>707</v>
      </c>
      <c r="C971" s="14" t="s">
        <v>19</v>
      </c>
      <c r="D971" s="15" t="s">
        <v>153</v>
      </c>
      <c r="E971" s="15" t="s">
        <v>747</v>
      </c>
      <c r="F971" s="16">
        <v>137</v>
      </c>
      <c r="G971" s="17">
        <v>15527.66</v>
      </c>
      <c r="H971" s="17">
        <v>8331.52</v>
      </c>
      <c r="I971" s="17">
        <v>2127289.42</v>
      </c>
      <c r="J971" s="15" t="s">
        <v>17</v>
      </c>
      <c r="K971" s="15" t="s">
        <v>18</v>
      </c>
      <c r="L971" s="9">
        <f>YEAR(E971)</f>
        <v>2022</v>
      </c>
      <c r="M971" s="11">
        <f t="shared" si="17"/>
        <v>1141418.24</v>
      </c>
    </row>
    <row r="972" spans="1:13" ht="20" customHeight="1" x14ac:dyDescent="0.15">
      <c r="A972" s="12"/>
      <c r="B972" s="13" t="s">
        <v>707</v>
      </c>
      <c r="C972" s="14" t="s">
        <v>57</v>
      </c>
      <c r="D972" s="15" t="s">
        <v>153</v>
      </c>
      <c r="E972" s="15" t="s">
        <v>750</v>
      </c>
      <c r="F972" s="16">
        <v>776</v>
      </c>
      <c r="G972" s="17">
        <v>37554.32</v>
      </c>
      <c r="H972" s="17">
        <v>6300.28</v>
      </c>
      <c r="I972" s="17">
        <v>29142152.32</v>
      </c>
      <c r="J972" s="15" t="s">
        <v>17</v>
      </c>
      <c r="K972" s="15" t="s">
        <v>18</v>
      </c>
      <c r="L972" s="9">
        <f>YEAR(E972)</f>
        <v>2022</v>
      </c>
      <c r="M972" s="11">
        <f t="shared" si="17"/>
        <v>4889017.28</v>
      </c>
    </row>
    <row r="973" spans="1:13" ht="20" customHeight="1" x14ac:dyDescent="0.15">
      <c r="A973" s="12"/>
      <c r="B973" s="13" t="s">
        <v>707</v>
      </c>
      <c r="C973" s="14" t="s">
        <v>79</v>
      </c>
      <c r="D973" s="15" t="s">
        <v>153</v>
      </c>
      <c r="E973" s="15" t="s">
        <v>752</v>
      </c>
      <c r="F973" s="16">
        <v>329</v>
      </c>
      <c r="G973" s="17">
        <v>43020.95</v>
      </c>
      <c r="H973" s="17">
        <v>6895.44</v>
      </c>
      <c r="I973" s="17">
        <v>14153892.550000001</v>
      </c>
      <c r="J973" s="15" t="s">
        <v>30</v>
      </c>
      <c r="K973" s="15" t="s">
        <v>18</v>
      </c>
      <c r="L973" s="9">
        <f>YEAR(E973)</f>
        <v>2022</v>
      </c>
      <c r="M973" s="11">
        <f t="shared" si="17"/>
        <v>2268599.7599999998</v>
      </c>
    </row>
    <row r="974" spans="1:13" ht="20" customHeight="1" x14ac:dyDescent="0.15">
      <c r="A974" s="12"/>
      <c r="B974" s="13" t="s">
        <v>707</v>
      </c>
      <c r="C974" s="14" t="s">
        <v>79</v>
      </c>
      <c r="D974" s="15" t="s">
        <v>153</v>
      </c>
      <c r="E974" s="15" t="s">
        <v>753</v>
      </c>
      <c r="F974" s="16">
        <v>484</v>
      </c>
      <c r="G974" s="19">
        <v>19067.8</v>
      </c>
      <c r="H974" s="17">
        <v>3327.57</v>
      </c>
      <c r="I974" s="19">
        <v>9228815.1999999993</v>
      </c>
      <c r="J974" s="15" t="s">
        <v>30</v>
      </c>
      <c r="K974" s="15" t="s">
        <v>18</v>
      </c>
      <c r="L974" s="9">
        <f>YEAR(E974)</f>
        <v>2022</v>
      </c>
      <c r="M974" s="11">
        <f t="shared" si="17"/>
        <v>1610543.8800000001</v>
      </c>
    </row>
    <row r="975" spans="1:13" ht="20" customHeight="1" x14ac:dyDescent="0.15">
      <c r="A975" s="12"/>
      <c r="B975" s="13" t="s">
        <v>707</v>
      </c>
      <c r="C975" s="14" t="s">
        <v>57</v>
      </c>
      <c r="D975" s="15" t="s">
        <v>153</v>
      </c>
      <c r="E975" s="15" t="s">
        <v>688</v>
      </c>
      <c r="F975" s="16">
        <v>969</v>
      </c>
      <c r="G975" s="19">
        <v>33912.199999999997</v>
      </c>
      <c r="H975" s="19">
        <v>6646.6</v>
      </c>
      <c r="I975" s="19">
        <v>32860921.800000001</v>
      </c>
      <c r="J975" s="15" t="s">
        <v>17</v>
      </c>
      <c r="K975" s="15" t="s">
        <v>18</v>
      </c>
      <c r="L975" s="9">
        <f>YEAR(E975)</f>
        <v>2022</v>
      </c>
      <c r="M975" s="11">
        <f t="shared" si="17"/>
        <v>6440555.4000000004</v>
      </c>
    </row>
    <row r="976" spans="1:13" ht="20" customHeight="1" x14ac:dyDescent="0.15">
      <c r="A976" s="12"/>
      <c r="B976" s="13" t="s">
        <v>707</v>
      </c>
      <c r="C976" s="14" t="s">
        <v>14</v>
      </c>
      <c r="D976" s="15" t="s">
        <v>139</v>
      </c>
      <c r="E976" s="15" t="s">
        <v>526</v>
      </c>
      <c r="F976" s="16">
        <v>716</v>
      </c>
      <c r="G976" s="19">
        <v>19523.8</v>
      </c>
      <c r="H976" s="17">
        <v>7102.27</v>
      </c>
      <c r="I976" s="19">
        <v>13979040.800000001</v>
      </c>
      <c r="J976" s="15" t="s">
        <v>30</v>
      </c>
      <c r="K976" s="15" t="s">
        <v>18</v>
      </c>
      <c r="L976" s="9">
        <f>YEAR(E976)</f>
        <v>2022</v>
      </c>
      <c r="M976" s="11">
        <f t="shared" si="17"/>
        <v>5085225.32</v>
      </c>
    </row>
    <row r="977" spans="1:13" ht="20" customHeight="1" x14ac:dyDescent="0.15">
      <c r="A977" s="12"/>
      <c r="B977" s="13" t="s">
        <v>707</v>
      </c>
      <c r="C977" s="14" t="s">
        <v>43</v>
      </c>
      <c r="D977" s="15" t="s">
        <v>114</v>
      </c>
      <c r="E977" s="15" t="s">
        <v>95</v>
      </c>
      <c r="F977" s="16">
        <v>180</v>
      </c>
      <c r="G977" s="17">
        <v>35098.42</v>
      </c>
      <c r="H977" s="17">
        <v>3193.55</v>
      </c>
      <c r="I977" s="19">
        <v>6317715.5999999996</v>
      </c>
      <c r="J977" s="15" t="s">
        <v>28</v>
      </c>
      <c r="K977" s="15" t="s">
        <v>18</v>
      </c>
      <c r="L977" s="9">
        <f>YEAR(E977)</f>
        <v>2022</v>
      </c>
      <c r="M977" s="11">
        <f t="shared" si="17"/>
        <v>574839</v>
      </c>
    </row>
    <row r="978" spans="1:13" ht="20" customHeight="1" x14ac:dyDescent="0.15">
      <c r="A978" s="12"/>
      <c r="B978" s="13" t="s">
        <v>707</v>
      </c>
      <c r="C978" s="14" t="s">
        <v>79</v>
      </c>
      <c r="D978" s="15" t="s">
        <v>114</v>
      </c>
      <c r="E978" s="15" t="s">
        <v>760</v>
      </c>
      <c r="F978" s="16">
        <v>573</v>
      </c>
      <c r="G978" s="19">
        <v>25825.9</v>
      </c>
      <c r="H978" s="17">
        <v>5873.67</v>
      </c>
      <c r="I978" s="19">
        <v>14798240.699999999</v>
      </c>
      <c r="J978" s="15" t="s">
        <v>17</v>
      </c>
      <c r="K978" s="15" t="s">
        <v>18</v>
      </c>
      <c r="L978" s="9">
        <f>YEAR(E978)</f>
        <v>2022</v>
      </c>
      <c r="M978" s="11">
        <f t="shared" si="17"/>
        <v>3365612.91</v>
      </c>
    </row>
    <row r="979" spans="1:13" ht="20" customHeight="1" x14ac:dyDescent="0.15">
      <c r="A979" s="12"/>
      <c r="B979" s="13" t="s">
        <v>707</v>
      </c>
      <c r="C979" s="14" t="s">
        <v>31</v>
      </c>
      <c r="D979" s="15" t="s">
        <v>26</v>
      </c>
      <c r="E979" s="15" t="s">
        <v>760</v>
      </c>
      <c r="F979" s="16">
        <v>674</v>
      </c>
      <c r="G979" s="17">
        <v>31768.74</v>
      </c>
      <c r="H979" s="17">
        <v>3973.93</v>
      </c>
      <c r="I979" s="17">
        <v>21412130.760000002</v>
      </c>
      <c r="J979" s="15" t="s">
        <v>17</v>
      </c>
      <c r="K979" s="15" t="s">
        <v>18</v>
      </c>
      <c r="L979" s="9">
        <f>YEAR(E979)</f>
        <v>2022</v>
      </c>
      <c r="M979" s="11">
        <f t="shared" si="17"/>
        <v>2678428.8199999998</v>
      </c>
    </row>
    <row r="980" spans="1:13" ht="20" customHeight="1" x14ac:dyDescent="0.15">
      <c r="A980" s="12"/>
      <c r="B980" s="13" t="s">
        <v>707</v>
      </c>
      <c r="C980" s="14" t="s">
        <v>14</v>
      </c>
      <c r="D980" s="15" t="s">
        <v>114</v>
      </c>
      <c r="E980" s="15" t="s">
        <v>761</v>
      </c>
      <c r="F980" s="16">
        <v>519</v>
      </c>
      <c r="G980" s="17">
        <v>23287.18</v>
      </c>
      <c r="H980" s="17">
        <v>9858.14</v>
      </c>
      <c r="I980" s="17">
        <v>12086046.42</v>
      </c>
      <c r="J980" s="15" t="s">
        <v>30</v>
      </c>
      <c r="K980" s="15" t="s">
        <v>18</v>
      </c>
      <c r="L980" s="9">
        <f>YEAR(E980)</f>
        <v>2022</v>
      </c>
      <c r="M980" s="11">
        <f t="shared" si="17"/>
        <v>5116374.66</v>
      </c>
    </row>
    <row r="981" spans="1:13" ht="20" customHeight="1" x14ac:dyDescent="0.15">
      <c r="A981" s="12"/>
      <c r="B981" s="13" t="s">
        <v>707</v>
      </c>
      <c r="C981" s="14" t="s">
        <v>19</v>
      </c>
      <c r="D981" s="15" t="s">
        <v>15</v>
      </c>
      <c r="E981" s="15" t="s">
        <v>779</v>
      </c>
      <c r="F981" s="16">
        <v>669</v>
      </c>
      <c r="G981" s="17">
        <v>27099.759999999998</v>
      </c>
      <c r="H981" s="17">
        <v>9279.52</v>
      </c>
      <c r="I981" s="17">
        <v>18129739.440000001</v>
      </c>
      <c r="J981" s="15" t="s">
        <v>28</v>
      </c>
      <c r="K981" s="15" t="s">
        <v>18</v>
      </c>
      <c r="L981" s="9">
        <f>YEAR(E981)</f>
        <v>2022</v>
      </c>
      <c r="M981" s="11">
        <f t="shared" si="17"/>
        <v>6207998.8799999999</v>
      </c>
    </row>
    <row r="982" spans="1:13" ht="20" customHeight="1" x14ac:dyDescent="0.15">
      <c r="A982" s="12"/>
      <c r="B982" s="13" t="s">
        <v>707</v>
      </c>
      <c r="C982" s="14" t="s">
        <v>31</v>
      </c>
      <c r="D982" s="15" t="s">
        <v>15</v>
      </c>
      <c r="E982" s="15" t="s">
        <v>780</v>
      </c>
      <c r="F982" s="16">
        <v>586</v>
      </c>
      <c r="G982" s="17">
        <v>33793.72</v>
      </c>
      <c r="H982" s="17">
        <v>9831.9500000000007</v>
      </c>
      <c r="I982" s="17">
        <v>19803119.920000002</v>
      </c>
      <c r="J982" s="15" t="s">
        <v>30</v>
      </c>
      <c r="K982" s="15" t="s">
        <v>18</v>
      </c>
      <c r="L982" s="9">
        <f>YEAR(E982)</f>
        <v>2022</v>
      </c>
      <c r="M982" s="11">
        <f t="shared" si="17"/>
        <v>5761522.7000000002</v>
      </c>
    </row>
    <row r="983" spans="1:13" ht="20" customHeight="1" x14ac:dyDescent="0.15">
      <c r="A983" s="12"/>
      <c r="B983" s="13" t="s">
        <v>707</v>
      </c>
      <c r="C983" s="14" t="s">
        <v>19</v>
      </c>
      <c r="D983" s="15" t="s">
        <v>26</v>
      </c>
      <c r="E983" s="15" t="s">
        <v>541</v>
      </c>
      <c r="F983" s="16">
        <v>679</v>
      </c>
      <c r="G983" s="17">
        <v>35641.08</v>
      </c>
      <c r="H983" s="17">
        <v>6425.87</v>
      </c>
      <c r="I983" s="17">
        <v>24200293.32</v>
      </c>
      <c r="J983" s="15" t="s">
        <v>28</v>
      </c>
      <c r="K983" s="15" t="s">
        <v>18</v>
      </c>
      <c r="L983" s="9">
        <f>YEAR(E983)</f>
        <v>2022</v>
      </c>
      <c r="M983" s="11">
        <f t="shared" si="17"/>
        <v>4363165.7299999995</v>
      </c>
    </row>
    <row r="984" spans="1:13" ht="20" customHeight="1" x14ac:dyDescent="0.15">
      <c r="A984" s="12"/>
      <c r="B984" s="13" t="s">
        <v>707</v>
      </c>
      <c r="C984" s="14" t="s">
        <v>31</v>
      </c>
      <c r="D984" s="15" t="s">
        <v>68</v>
      </c>
      <c r="E984" s="15" t="s">
        <v>708</v>
      </c>
      <c r="F984" s="16">
        <v>924</v>
      </c>
      <c r="G984" s="19">
        <v>40546.5</v>
      </c>
      <c r="H984" s="17">
        <v>6374.24</v>
      </c>
      <c r="I984" s="16">
        <v>37464966</v>
      </c>
      <c r="J984" s="15" t="s">
        <v>30</v>
      </c>
      <c r="K984" s="15" t="s">
        <v>18</v>
      </c>
      <c r="L984" s="9">
        <f>YEAR(E984)</f>
        <v>2023</v>
      </c>
      <c r="M984" s="11">
        <f t="shared" si="17"/>
        <v>5889797.7599999998</v>
      </c>
    </row>
    <row r="985" spans="1:13" ht="20" customHeight="1" x14ac:dyDescent="0.15">
      <c r="A985" s="12"/>
      <c r="B985" s="13" t="s">
        <v>707</v>
      </c>
      <c r="C985" s="14" t="s">
        <v>25</v>
      </c>
      <c r="D985" s="15" t="s">
        <v>53</v>
      </c>
      <c r="E985" s="15" t="s">
        <v>459</v>
      </c>
      <c r="F985" s="16">
        <v>329</v>
      </c>
      <c r="G985" s="17">
        <v>41907.39</v>
      </c>
      <c r="H985" s="17">
        <v>3974.45</v>
      </c>
      <c r="I985" s="17">
        <v>13787531.310000001</v>
      </c>
      <c r="J985" s="15" t="s">
        <v>22</v>
      </c>
      <c r="K985" s="15" t="s">
        <v>18</v>
      </c>
      <c r="L985" s="9">
        <f>YEAR(E985)</f>
        <v>2023</v>
      </c>
      <c r="M985" s="11">
        <f t="shared" si="17"/>
        <v>1307594.05</v>
      </c>
    </row>
    <row r="986" spans="1:13" ht="20" customHeight="1" x14ac:dyDescent="0.15">
      <c r="A986" s="12"/>
      <c r="B986" s="13" t="s">
        <v>707</v>
      </c>
      <c r="C986" s="14" t="s">
        <v>31</v>
      </c>
      <c r="D986" s="15" t="s">
        <v>89</v>
      </c>
      <c r="E986" s="15" t="s">
        <v>723</v>
      </c>
      <c r="F986" s="16">
        <v>410</v>
      </c>
      <c r="G986" s="17">
        <v>23384.86</v>
      </c>
      <c r="H986" s="17">
        <v>9149.14</v>
      </c>
      <c r="I986" s="19">
        <v>9587792.5999999996</v>
      </c>
      <c r="J986" s="15" t="s">
        <v>22</v>
      </c>
      <c r="K986" s="15" t="s">
        <v>18</v>
      </c>
      <c r="L986" s="9">
        <f>YEAR(E986)</f>
        <v>2023</v>
      </c>
      <c r="M986" s="11">
        <f t="shared" si="17"/>
        <v>3751147.4</v>
      </c>
    </row>
    <row r="987" spans="1:13" ht="20" customHeight="1" x14ac:dyDescent="0.15">
      <c r="A987" s="12"/>
      <c r="B987" s="13" t="s">
        <v>707</v>
      </c>
      <c r="C987" s="14" t="s">
        <v>31</v>
      </c>
      <c r="D987" s="15" t="s">
        <v>89</v>
      </c>
      <c r="E987" s="15" t="s">
        <v>729</v>
      </c>
      <c r="F987" s="16">
        <v>810</v>
      </c>
      <c r="G987" s="17">
        <v>25588.62</v>
      </c>
      <c r="H987" s="17">
        <v>3915.42</v>
      </c>
      <c r="I987" s="19">
        <v>20726782.199999999</v>
      </c>
      <c r="J987" s="15" t="s">
        <v>22</v>
      </c>
      <c r="K987" s="15" t="s">
        <v>18</v>
      </c>
      <c r="L987" s="9">
        <f>YEAR(E987)</f>
        <v>2023</v>
      </c>
      <c r="M987" s="11">
        <f t="shared" si="17"/>
        <v>3171490.2</v>
      </c>
    </row>
    <row r="988" spans="1:13" ht="20" customHeight="1" x14ac:dyDescent="0.15">
      <c r="A988" s="12"/>
      <c r="B988" s="13" t="s">
        <v>707</v>
      </c>
      <c r="C988" s="14" t="s">
        <v>35</v>
      </c>
      <c r="D988" s="15" t="s">
        <v>89</v>
      </c>
      <c r="E988" s="15" t="s">
        <v>235</v>
      </c>
      <c r="F988" s="16">
        <v>495</v>
      </c>
      <c r="G988" s="17">
        <v>49344.94</v>
      </c>
      <c r="H988" s="17">
        <v>3262.03</v>
      </c>
      <c r="I988" s="19">
        <v>24425745.300000001</v>
      </c>
      <c r="J988" s="15" t="s">
        <v>17</v>
      </c>
      <c r="K988" s="15" t="s">
        <v>18</v>
      </c>
      <c r="L988" s="9">
        <f>YEAR(E988)</f>
        <v>2023</v>
      </c>
      <c r="M988" s="11">
        <f t="shared" si="17"/>
        <v>1614704.85</v>
      </c>
    </row>
    <row r="989" spans="1:13" ht="20" customHeight="1" x14ac:dyDescent="0.15">
      <c r="A989" s="12"/>
      <c r="B989" s="13" t="s">
        <v>707</v>
      </c>
      <c r="C989" s="14" t="s">
        <v>57</v>
      </c>
      <c r="D989" s="15" t="s">
        <v>89</v>
      </c>
      <c r="E989" s="15" t="s">
        <v>403</v>
      </c>
      <c r="F989" s="16">
        <v>933</v>
      </c>
      <c r="G989" s="17">
        <v>21358.84</v>
      </c>
      <c r="H989" s="17">
        <v>5191.57</v>
      </c>
      <c r="I989" s="17">
        <v>19927797.719999999</v>
      </c>
      <c r="J989" s="15" t="s">
        <v>17</v>
      </c>
      <c r="K989" s="15" t="s">
        <v>18</v>
      </c>
      <c r="L989" s="9">
        <f>YEAR(E989)</f>
        <v>2023</v>
      </c>
      <c r="M989" s="11">
        <f t="shared" si="17"/>
        <v>4843734.8099999996</v>
      </c>
    </row>
    <row r="990" spans="1:13" ht="20" customHeight="1" x14ac:dyDescent="0.15">
      <c r="A990" s="12"/>
      <c r="B990" s="13" t="s">
        <v>707</v>
      </c>
      <c r="C990" s="14" t="s">
        <v>35</v>
      </c>
      <c r="D990" s="15" t="s">
        <v>89</v>
      </c>
      <c r="E990" s="15" t="s">
        <v>731</v>
      </c>
      <c r="F990" s="16">
        <v>797</v>
      </c>
      <c r="G990" s="17">
        <v>19485.29</v>
      </c>
      <c r="H990" s="19">
        <v>3002.8</v>
      </c>
      <c r="I990" s="17">
        <v>15529776.130000001</v>
      </c>
      <c r="J990" s="15" t="s">
        <v>17</v>
      </c>
      <c r="K990" s="15" t="s">
        <v>18</v>
      </c>
      <c r="L990" s="9">
        <f>YEAR(E990)</f>
        <v>2023</v>
      </c>
      <c r="M990" s="11">
        <f t="shared" si="17"/>
        <v>2393231.6</v>
      </c>
    </row>
    <row r="991" spans="1:13" ht="20" customHeight="1" x14ac:dyDescent="0.15">
      <c r="A991" s="12"/>
      <c r="B991" s="13" t="s">
        <v>707</v>
      </c>
      <c r="C991" s="14" t="s">
        <v>19</v>
      </c>
      <c r="D991" s="15" t="s">
        <v>107</v>
      </c>
      <c r="E991" s="15" t="s">
        <v>731</v>
      </c>
      <c r="F991" s="16">
        <v>864</v>
      </c>
      <c r="G991" s="17">
        <v>37353.61</v>
      </c>
      <c r="H991" s="17">
        <v>9363.41</v>
      </c>
      <c r="I991" s="17">
        <v>32273519.039999999</v>
      </c>
      <c r="J991" s="15" t="s">
        <v>30</v>
      </c>
      <c r="K991" s="15" t="s">
        <v>18</v>
      </c>
      <c r="L991" s="9">
        <f>YEAR(E991)</f>
        <v>2023</v>
      </c>
      <c r="M991" s="11">
        <f t="shared" si="17"/>
        <v>8089986.2400000002</v>
      </c>
    </row>
    <row r="992" spans="1:13" ht="20" customHeight="1" x14ac:dyDescent="0.15">
      <c r="A992" s="12"/>
      <c r="B992" s="13" t="s">
        <v>707</v>
      </c>
      <c r="C992" s="14" t="s">
        <v>25</v>
      </c>
      <c r="D992" s="15" t="s">
        <v>107</v>
      </c>
      <c r="E992" s="15" t="s">
        <v>566</v>
      </c>
      <c r="F992" s="16">
        <v>665</v>
      </c>
      <c r="G992" s="17">
        <v>47558.52</v>
      </c>
      <c r="H992" s="17">
        <v>7747.05</v>
      </c>
      <c r="I992" s="19">
        <v>31626415.800000001</v>
      </c>
      <c r="J992" s="15" t="s">
        <v>30</v>
      </c>
      <c r="K992" s="15" t="s">
        <v>18</v>
      </c>
      <c r="L992" s="9">
        <f>YEAR(E992)</f>
        <v>2023</v>
      </c>
      <c r="M992" s="11">
        <f t="shared" si="17"/>
        <v>5151788.25</v>
      </c>
    </row>
    <row r="993" spans="1:13" ht="20" customHeight="1" x14ac:dyDescent="0.15">
      <c r="A993" s="12"/>
      <c r="B993" s="13" t="s">
        <v>707</v>
      </c>
      <c r="C993" s="14" t="s">
        <v>38</v>
      </c>
      <c r="D993" s="15" t="s">
        <v>107</v>
      </c>
      <c r="E993" s="15" t="s">
        <v>480</v>
      </c>
      <c r="F993" s="16">
        <v>909</v>
      </c>
      <c r="G993" s="17">
        <v>12986.58</v>
      </c>
      <c r="H993" s="17">
        <v>5787.44</v>
      </c>
      <c r="I993" s="17">
        <v>11804801.220000001</v>
      </c>
      <c r="J993" s="15" t="s">
        <v>17</v>
      </c>
      <c r="K993" s="15" t="s">
        <v>18</v>
      </c>
      <c r="L993" s="9">
        <f>YEAR(E993)</f>
        <v>2023</v>
      </c>
      <c r="M993" s="11">
        <f t="shared" si="17"/>
        <v>5260782.96</v>
      </c>
    </row>
    <row r="994" spans="1:13" ht="20" customHeight="1" x14ac:dyDescent="0.15">
      <c r="A994" s="12"/>
      <c r="B994" s="13" t="s">
        <v>707</v>
      </c>
      <c r="C994" s="14" t="s">
        <v>19</v>
      </c>
      <c r="D994" s="15" t="s">
        <v>107</v>
      </c>
      <c r="E994" s="15" t="s">
        <v>501</v>
      </c>
      <c r="F994" s="16">
        <v>663</v>
      </c>
      <c r="G994" s="17">
        <v>30675.14</v>
      </c>
      <c r="H994" s="17">
        <v>2723.64</v>
      </c>
      <c r="I994" s="17">
        <v>20337617.82</v>
      </c>
      <c r="J994" s="15" t="s">
        <v>22</v>
      </c>
      <c r="K994" s="15" t="s">
        <v>18</v>
      </c>
      <c r="L994" s="9">
        <f>YEAR(E994)</f>
        <v>2023</v>
      </c>
      <c r="M994" s="11">
        <f t="shared" si="17"/>
        <v>1805773.3199999998</v>
      </c>
    </row>
    <row r="995" spans="1:13" ht="20" customHeight="1" x14ac:dyDescent="0.15">
      <c r="A995" s="12"/>
      <c r="B995" s="13" t="s">
        <v>707</v>
      </c>
      <c r="C995" s="14" t="s">
        <v>25</v>
      </c>
      <c r="D995" s="15" t="s">
        <v>139</v>
      </c>
      <c r="E995" s="15" t="s">
        <v>501</v>
      </c>
      <c r="F995" s="16">
        <v>266</v>
      </c>
      <c r="G995" s="17">
        <v>27835.87</v>
      </c>
      <c r="H995" s="17">
        <v>4866.09</v>
      </c>
      <c r="I995" s="17">
        <v>7404341.4199999999</v>
      </c>
      <c r="J995" s="15" t="s">
        <v>17</v>
      </c>
      <c r="K995" s="15" t="s">
        <v>18</v>
      </c>
      <c r="L995" s="9">
        <f>YEAR(E995)</f>
        <v>2023</v>
      </c>
      <c r="M995" s="11">
        <f t="shared" si="17"/>
        <v>1294379.94</v>
      </c>
    </row>
    <row r="996" spans="1:13" ht="20" customHeight="1" x14ac:dyDescent="0.15">
      <c r="A996" s="12"/>
      <c r="B996" s="13" t="s">
        <v>707</v>
      </c>
      <c r="C996" s="14" t="s">
        <v>79</v>
      </c>
      <c r="D996" s="15" t="s">
        <v>107</v>
      </c>
      <c r="E996" s="15" t="s">
        <v>736</v>
      </c>
      <c r="F996" s="16">
        <v>911</v>
      </c>
      <c r="G996" s="17">
        <v>24589.63</v>
      </c>
      <c r="H996" s="17">
        <v>5784.62</v>
      </c>
      <c r="I996" s="17">
        <v>22401152.93</v>
      </c>
      <c r="J996" s="15" t="s">
        <v>30</v>
      </c>
      <c r="K996" s="15" t="s">
        <v>18</v>
      </c>
      <c r="L996" s="9">
        <f>YEAR(E996)</f>
        <v>2023</v>
      </c>
      <c r="M996" s="11">
        <f t="shared" si="17"/>
        <v>5269788.82</v>
      </c>
    </row>
    <row r="997" spans="1:13" ht="20" customHeight="1" x14ac:dyDescent="0.15">
      <c r="A997" s="12"/>
      <c r="B997" s="13" t="s">
        <v>707</v>
      </c>
      <c r="C997" s="14" t="s">
        <v>23</v>
      </c>
      <c r="D997" s="15" t="s">
        <v>107</v>
      </c>
      <c r="E997" s="15" t="s">
        <v>101</v>
      </c>
      <c r="F997" s="16">
        <v>142</v>
      </c>
      <c r="G997" s="17">
        <v>14677.15</v>
      </c>
      <c r="H997" s="17">
        <v>7760.44</v>
      </c>
      <c r="I997" s="19">
        <v>2084155.3</v>
      </c>
      <c r="J997" s="15" t="s">
        <v>28</v>
      </c>
      <c r="K997" s="15" t="s">
        <v>18</v>
      </c>
      <c r="L997" s="9">
        <f>YEAR(E997)</f>
        <v>2023</v>
      </c>
      <c r="M997" s="11">
        <f t="shared" si="17"/>
        <v>1101982.48</v>
      </c>
    </row>
    <row r="998" spans="1:13" ht="20" customHeight="1" x14ac:dyDescent="0.15">
      <c r="A998" s="12"/>
      <c r="B998" s="13" t="s">
        <v>707</v>
      </c>
      <c r="C998" s="14" t="s">
        <v>79</v>
      </c>
      <c r="D998" s="15" t="s">
        <v>107</v>
      </c>
      <c r="E998" s="15" t="s">
        <v>687</v>
      </c>
      <c r="F998" s="16">
        <v>737</v>
      </c>
      <c r="G998" s="19">
        <v>19643.3</v>
      </c>
      <c r="H998" s="17">
        <v>9374.93</v>
      </c>
      <c r="I998" s="19">
        <v>14477112.1</v>
      </c>
      <c r="J998" s="15" t="s">
        <v>17</v>
      </c>
      <c r="K998" s="15" t="s">
        <v>18</v>
      </c>
      <c r="L998" s="9">
        <f>YEAR(E998)</f>
        <v>2023</v>
      </c>
      <c r="M998" s="11">
        <f t="shared" si="17"/>
        <v>6909323.4100000001</v>
      </c>
    </row>
    <row r="999" spans="1:13" ht="20" customHeight="1" x14ac:dyDescent="0.15">
      <c r="A999" s="12"/>
      <c r="B999" s="13" t="s">
        <v>707</v>
      </c>
      <c r="C999" s="14" t="s">
        <v>38</v>
      </c>
      <c r="D999" s="15" t="s">
        <v>139</v>
      </c>
      <c r="E999" s="15" t="s">
        <v>687</v>
      </c>
      <c r="F999" s="16">
        <v>234</v>
      </c>
      <c r="G999" s="17">
        <v>43772.23</v>
      </c>
      <c r="H999" s="17">
        <v>6472.47</v>
      </c>
      <c r="I999" s="17">
        <v>10242701.82</v>
      </c>
      <c r="J999" s="15" t="s">
        <v>17</v>
      </c>
      <c r="K999" s="15" t="s">
        <v>18</v>
      </c>
      <c r="L999" s="9">
        <f>YEAR(E999)</f>
        <v>2023</v>
      </c>
      <c r="M999" s="11">
        <f t="shared" si="17"/>
        <v>1514557.98</v>
      </c>
    </row>
    <row r="1000" spans="1:13" ht="20" customHeight="1" x14ac:dyDescent="0.15">
      <c r="A1000" s="12"/>
      <c r="B1000" s="13" t="s">
        <v>707</v>
      </c>
      <c r="C1000" s="14" t="s">
        <v>79</v>
      </c>
      <c r="D1000" s="15" t="s">
        <v>107</v>
      </c>
      <c r="E1000" s="15" t="s">
        <v>741</v>
      </c>
      <c r="F1000" s="16">
        <v>662</v>
      </c>
      <c r="G1000" s="17">
        <v>39462.230000000003</v>
      </c>
      <c r="H1000" s="17">
        <v>2455.1799999999998</v>
      </c>
      <c r="I1000" s="17">
        <v>26123996.260000002</v>
      </c>
      <c r="J1000" s="15" t="s">
        <v>22</v>
      </c>
      <c r="K1000" s="15" t="s">
        <v>18</v>
      </c>
      <c r="L1000" s="9">
        <f>YEAR(E1000)</f>
        <v>2023</v>
      </c>
      <c r="M1000" s="11">
        <f t="shared" si="17"/>
        <v>1625329.16</v>
      </c>
    </row>
    <row r="1001" spans="1:13" ht="20" customHeight="1" x14ac:dyDescent="0.15">
      <c r="A1001" s="12"/>
      <c r="B1001" s="13" t="s">
        <v>707</v>
      </c>
      <c r="C1001" s="14" t="s">
        <v>57</v>
      </c>
      <c r="D1001" s="15" t="s">
        <v>153</v>
      </c>
      <c r="E1001" s="15" t="s">
        <v>504</v>
      </c>
      <c r="F1001" s="16">
        <v>248</v>
      </c>
      <c r="G1001" s="19">
        <v>30929.200000000001</v>
      </c>
      <c r="H1001" s="17">
        <v>2548.66</v>
      </c>
      <c r="I1001" s="19">
        <v>7670441.5999999996</v>
      </c>
      <c r="J1001" s="15" t="s">
        <v>17</v>
      </c>
      <c r="K1001" s="15" t="s">
        <v>18</v>
      </c>
      <c r="L1001" s="9">
        <f>YEAR(E1001)</f>
        <v>2023</v>
      </c>
      <c r="M1001" s="11">
        <f t="shared" si="17"/>
        <v>632067.67999999993</v>
      </c>
    </row>
    <row r="1002" spans="1:13" ht="20" customHeight="1" x14ac:dyDescent="0.15">
      <c r="A1002" s="12"/>
      <c r="B1002" s="13" t="s">
        <v>707</v>
      </c>
      <c r="C1002" s="14" t="s">
        <v>31</v>
      </c>
      <c r="D1002" s="15" t="s">
        <v>153</v>
      </c>
      <c r="E1002" s="15" t="s">
        <v>751</v>
      </c>
      <c r="F1002" s="16">
        <v>228</v>
      </c>
      <c r="G1002" s="17">
        <v>18716.18</v>
      </c>
      <c r="H1002" s="17">
        <v>5460.56</v>
      </c>
      <c r="I1002" s="17">
        <v>4267289.04</v>
      </c>
      <c r="J1002" s="15" t="s">
        <v>30</v>
      </c>
      <c r="K1002" s="15" t="s">
        <v>18</v>
      </c>
      <c r="L1002" s="9">
        <f>YEAR(E1002)</f>
        <v>2023</v>
      </c>
      <c r="M1002" s="11">
        <f t="shared" si="17"/>
        <v>1245007.6800000002</v>
      </c>
    </row>
    <row r="1003" spans="1:13" ht="20" customHeight="1" x14ac:dyDescent="0.15">
      <c r="A1003" s="12"/>
      <c r="B1003" s="13" t="s">
        <v>707</v>
      </c>
      <c r="C1003" s="14" t="s">
        <v>57</v>
      </c>
      <c r="D1003" s="15" t="s">
        <v>153</v>
      </c>
      <c r="E1003" s="15" t="s">
        <v>756</v>
      </c>
      <c r="F1003" s="16">
        <v>907</v>
      </c>
      <c r="G1003" s="17">
        <v>42974.87</v>
      </c>
      <c r="H1003" s="17">
        <v>3303.73</v>
      </c>
      <c r="I1003" s="17">
        <v>38978207.090000004</v>
      </c>
      <c r="J1003" s="15" t="s">
        <v>17</v>
      </c>
      <c r="K1003" s="15" t="s">
        <v>18</v>
      </c>
      <c r="L1003" s="9">
        <f>YEAR(E1003)</f>
        <v>2023</v>
      </c>
      <c r="M1003" s="11">
        <f t="shared" si="17"/>
        <v>2996483.11</v>
      </c>
    </row>
    <row r="1004" spans="1:13" ht="20" customHeight="1" x14ac:dyDescent="0.15">
      <c r="A1004" s="12"/>
      <c r="B1004" s="13" t="s">
        <v>707</v>
      </c>
      <c r="C1004" s="14" t="s">
        <v>19</v>
      </c>
      <c r="D1004" s="15" t="s">
        <v>139</v>
      </c>
      <c r="E1004" s="15" t="s">
        <v>71</v>
      </c>
      <c r="F1004" s="16">
        <v>406</v>
      </c>
      <c r="G1004" s="17">
        <v>39603.82</v>
      </c>
      <c r="H1004" s="17">
        <v>5227.59</v>
      </c>
      <c r="I1004" s="17">
        <v>16079150.92</v>
      </c>
      <c r="J1004" s="15" t="s">
        <v>17</v>
      </c>
      <c r="K1004" s="15" t="s">
        <v>18</v>
      </c>
      <c r="L1004" s="9">
        <f>YEAR(E1004)</f>
        <v>2023</v>
      </c>
      <c r="M1004" s="11">
        <f t="shared" si="17"/>
        <v>2122401.54</v>
      </c>
    </row>
    <row r="1005" spans="1:13" ht="20" customHeight="1" x14ac:dyDescent="0.15">
      <c r="A1005" s="12"/>
      <c r="B1005" s="13" t="s">
        <v>707</v>
      </c>
      <c r="C1005" s="14" t="s">
        <v>25</v>
      </c>
      <c r="D1005" s="15" t="s">
        <v>139</v>
      </c>
      <c r="E1005" s="15" t="s">
        <v>378</v>
      </c>
      <c r="F1005" s="16">
        <v>667</v>
      </c>
      <c r="G1005" s="17">
        <v>20963.97</v>
      </c>
      <c r="H1005" s="17">
        <v>8605.9500000000007</v>
      </c>
      <c r="I1005" s="17">
        <v>13982967.99</v>
      </c>
      <c r="J1005" s="15" t="s">
        <v>30</v>
      </c>
      <c r="K1005" s="15" t="s">
        <v>18</v>
      </c>
      <c r="L1005" s="9">
        <f>YEAR(E1005)</f>
        <v>2023</v>
      </c>
      <c r="M1005" s="11">
        <f t="shared" si="17"/>
        <v>5740168.6500000004</v>
      </c>
    </row>
    <row r="1006" spans="1:13" ht="20" customHeight="1" x14ac:dyDescent="0.15">
      <c r="A1006" s="12"/>
      <c r="B1006" s="13" t="s">
        <v>707</v>
      </c>
      <c r="C1006" s="14" t="s">
        <v>38</v>
      </c>
      <c r="D1006" s="15" t="s">
        <v>139</v>
      </c>
      <c r="E1006" s="15" t="s">
        <v>239</v>
      </c>
      <c r="F1006" s="16">
        <v>964</v>
      </c>
      <c r="G1006" s="17">
        <v>19492.46</v>
      </c>
      <c r="H1006" s="17">
        <v>7012.52</v>
      </c>
      <c r="I1006" s="17">
        <v>18790731.440000001</v>
      </c>
      <c r="J1006" s="15" t="s">
        <v>28</v>
      </c>
      <c r="K1006" s="15" t="s">
        <v>18</v>
      </c>
      <c r="L1006" s="9">
        <f>YEAR(E1006)</f>
        <v>2023</v>
      </c>
      <c r="M1006" s="11">
        <f t="shared" si="17"/>
        <v>6760069.2800000003</v>
      </c>
    </row>
    <row r="1007" spans="1:13" ht="20" customHeight="1" x14ac:dyDescent="0.15">
      <c r="A1007" s="12"/>
      <c r="B1007" s="13" t="s">
        <v>707</v>
      </c>
      <c r="C1007" s="14" t="s">
        <v>57</v>
      </c>
      <c r="D1007" s="15" t="s">
        <v>139</v>
      </c>
      <c r="E1007" s="15" t="s">
        <v>651</v>
      </c>
      <c r="F1007" s="16">
        <v>256</v>
      </c>
      <c r="G1007" s="17">
        <v>17418.61</v>
      </c>
      <c r="H1007" s="17">
        <v>4900.83</v>
      </c>
      <c r="I1007" s="17">
        <v>4459164.16</v>
      </c>
      <c r="J1007" s="15" t="s">
        <v>30</v>
      </c>
      <c r="K1007" s="15" t="s">
        <v>18</v>
      </c>
      <c r="L1007" s="9">
        <f>YEAR(E1007)</f>
        <v>2023</v>
      </c>
      <c r="M1007" s="11">
        <f t="shared" si="17"/>
        <v>1254612.48</v>
      </c>
    </row>
    <row r="1008" spans="1:13" ht="20" customHeight="1" x14ac:dyDescent="0.15">
      <c r="A1008" s="12"/>
      <c r="B1008" s="13" t="s">
        <v>707</v>
      </c>
      <c r="C1008" s="14" t="s">
        <v>38</v>
      </c>
      <c r="D1008" s="15" t="s">
        <v>70</v>
      </c>
      <c r="E1008" s="15" t="s">
        <v>763</v>
      </c>
      <c r="F1008" s="16">
        <v>108</v>
      </c>
      <c r="G1008" s="17">
        <v>34228.639999999999</v>
      </c>
      <c r="H1008" s="17">
        <v>9645.39</v>
      </c>
      <c r="I1008" s="17">
        <v>3696693.12</v>
      </c>
      <c r="J1008" s="15" t="s">
        <v>17</v>
      </c>
      <c r="K1008" s="15" t="s">
        <v>18</v>
      </c>
      <c r="L1008" s="9">
        <f>YEAR(E1008)</f>
        <v>2023</v>
      </c>
      <c r="M1008" s="11">
        <f t="shared" si="17"/>
        <v>1041702.1199999999</v>
      </c>
    </row>
    <row r="1009" spans="1:13" ht="20" customHeight="1" x14ac:dyDescent="0.15">
      <c r="A1009" s="12"/>
      <c r="B1009" s="13" t="s">
        <v>707</v>
      </c>
      <c r="C1009" s="14" t="s">
        <v>57</v>
      </c>
      <c r="D1009" s="15" t="s">
        <v>70</v>
      </c>
      <c r="E1009" s="15" t="s">
        <v>771</v>
      </c>
      <c r="F1009" s="16">
        <v>588</v>
      </c>
      <c r="G1009" s="17">
        <v>36758.76</v>
      </c>
      <c r="H1009" s="17">
        <v>4729.76</v>
      </c>
      <c r="I1009" s="17">
        <v>21614150.879999999</v>
      </c>
      <c r="J1009" s="15" t="s">
        <v>17</v>
      </c>
      <c r="K1009" s="15" t="s">
        <v>18</v>
      </c>
      <c r="L1009" s="9">
        <f>YEAR(E1009)</f>
        <v>2023</v>
      </c>
      <c r="M1009" s="11">
        <f t="shared" si="17"/>
        <v>2781098.8800000004</v>
      </c>
    </row>
    <row r="1010" spans="1:13" ht="20" customHeight="1" x14ac:dyDescent="0.15">
      <c r="A1010" s="12"/>
      <c r="B1010" s="13" t="s">
        <v>707</v>
      </c>
      <c r="C1010" s="14" t="s">
        <v>23</v>
      </c>
      <c r="D1010" s="15" t="s">
        <v>70</v>
      </c>
      <c r="E1010" s="15" t="s">
        <v>431</v>
      </c>
      <c r="F1010" s="16">
        <v>230</v>
      </c>
      <c r="G1010" s="17">
        <v>46533.71</v>
      </c>
      <c r="H1010" s="17">
        <v>4092.35</v>
      </c>
      <c r="I1010" s="19">
        <v>10702753.300000001</v>
      </c>
      <c r="J1010" s="15" t="s">
        <v>28</v>
      </c>
      <c r="K1010" s="15" t="s">
        <v>18</v>
      </c>
      <c r="L1010" s="9">
        <f>YEAR(E1010)</f>
        <v>2023</v>
      </c>
      <c r="M1010" s="11">
        <f t="shared" si="17"/>
        <v>941240.5</v>
      </c>
    </row>
    <row r="1011" spans="1:13" ht="20" customHeight="1" x14ac:dyDescent="0.15">
      <c r="A1011" s="12"/>
      <c r="B1011" s="13" t="s">
        <v>707</v>
      </c>
      <c r="C1011" s="14" t="s">
        <v>23</v>
      </c>
      <c r="D1011" s="15" t="s">
        <v>70</v>
      </c>
      <c r="E1011" s="15" t="s">
        <v>772</v>
      </c>
      <c r="F1011" s="16">
        <v>654</v>
      </c>
      <c r="G1011" s="17">
        <v>10417.459999999999</v>
      </c>
      <c r="H1011" s="17">
        <v>5360.66</v>
      </c>
      <c r="I1011" s="17">
        <v>6813018.8399999999</v>
      </c>
      <c r="J1011" s="15" t="s">
        <v>17</v>
      </c>
      <c r="K1011" s="15" t="s">
        <v>18</v>
      </c>
      <c r="L1011" s="9">
        <f>YEAR(E1011)</f>
        <v>2023</v>
      </c>
      <c r="M1011" s="11">
        <f t="shared" si="17"/>
        <v>3505871.64</v>
      </c>
    </row>
    <row r="1012" spans="1:13" ht="20" customHeight="1" x14ac:dyDescent="0.15">
      <c r="A1012" s="12"/>
      <c r="B1012" s="13" t="s">
        <v>707</v>
      </c>
      <c r="C1012" s="14" t="s">
        <v>14</v>
      </c>
      <c r="D1012" s="15" t="s">
        <v>70</v>
      </c>
      <c r="E1012" s="15" t="s">
        <v>774</v>
      </c>
      <c r="F1012" s="16">
        <v>127</v>
      </c>
      <c r="G1012" s="17">
        <v>18303.060000000001</v>
      </c>
      <c r="H1012" s="17">
        <v>6427.12</v>
      </c>
      <c r="I1012" s="17">
        <v>2324488.62</v>
      </c>
      <c r="J1012" s="15" t="s">
        <v>17</v>
      </c>
      <c r="K1012" s="15" t="s">
        <v>18</v>
      </c>
      <c r="L1012" s="9">
        <f>YEAR(E1012)</f>
        <v>2023</v>
      </c>
      <c r="M1012" s="11">
        <f t="shared" si="17"/>
        <v>816244.24</v>
      </c>
    </row>
    <row r="1013" spans="1:13" ht="20" customHeight="1" x14ac:dyDescent="0.15">
      <c r="A1013" s="12"/>
      <c r="B1013" s="13" t="s">
        <v>707</v>
      </c>
      <c r="C1013" s="14" t="s">
        <v>38</v>
      </c>
      <c r="D1013" s="15" t="s">
        <v>70</v>
      </c>
      <c r="E1013" s="15" t="s">
        <v>315</v>
      </c>
      <c r="F1013" s="16">
        <v>478</v>
      </c>
      <c r="G1013" s="17">
        <v>15759.34</v>
      </c>
      <c r="H1013" s="17">
        <v>9407.02</v>
      </c>
      <c r="I1013" s="17">
        <v>7532964.5199999996</v>
      </c>
      <c r="J1013" s="15" t="s">
        <v>17</v>
      </c>
      <c r="K1013" s="15" t="s">
        <v>18</v>
      </c>
      <c r="L1013" s="9">
        <f>YEAR(E1013)</f>
        <v>2023</v>
      </c>
      <c r="M1013" s="11">
        <f t="shared" si="17"/>
        <v>4496555.5600000005</v>
      </c>
    </row>
    <row r="1014" spans="1:13" ht="20" customHeight="1" x14ac:dyDescent="0.15">
      <c r="A1014" s="12"/>
      <c r="B1014" s="13" t="s">
        <v>707</v>
      </c>
      <c r="C1014" s="14" t="s">
        <v>38</v>
      </c>
      <c r="D1014" s="15" t="s">
        <v>70</v>
      </c>
      <c r="E1014" s="15" t="s">
        <v>775</v>
      </c>
      <c r="F1014" s="16">
        <v>466</v>
      </c>
      <c r="G1014" s="17">
        <v>40846.78</v>
      </c>
      <c r="H1014" s="17">
        <v>8081.57</v>
      </c>
      <c r="I1014" s="17">
        <v>19034599.48</v>
      </c>
      <c r="J1014" s="15" t="s">
        <v>30</v>
      </c>
      <c r="K1014" s="15" t="s">
        <v>18</v>
      </c>
      <c r="L1014" s="9">
        <f>YEAR(E1014)</f>
        <v>2023</v>
      </c>
      <c r="M1014" s="11">
        <f t="shared" si="17"/>
        <v>3766011.6199999996</v>
      </c>
    </row>
    <row r="1015" spans="1:13" ht="20" customHeight="1" x14ac:dyDescent="0.15">
      <c r="A1015" s="12"/>
      <c r="B1015" s="13" t="s">
        <v>707</v>
      </c>
      <c r="C1015" s="14" t="s">
        <v>79</v>
      </c>
      <c r="D1015" s="15" t="s">
        <v>15</v>
      </c>
      <c r="E1015" s="15" t="s">
        <v>781</v>
      </c>
      <c r="F1015" s="16">
        <v>272</v>
      </c>
      <c r="G1015" s="17">
        <v>14549.25</v>
      </c>
      <c r="H1015" s="17">
        <v>7569.65</v>
      </c>
      <c r="I1015" s="16">
        <v>3957396</v>
      </c>
      <c r="J1015" s="15" t="s">
        <v>22</v>
      </c>
      <c r="K1015" s="15" t="s">
        <v>18</v>
      </c>
      <c r="L1015" s="9">
        <f>YEAR(E1015)</f>
        <v>2023</v>
      </c>
      <c r="M1015" s="11">
        <f t="shared" si="17"/>
        <v>2058944.7999999998</v>
      </c>
    </row>
    <row r="1016" spans="1:13" ht="20" customHeight="1" x14ac:dyDescent="0.15">
      <c r="A1016" s="12"/>
      <c r="B1016" s="13" t="s">
        <v>707</v>
      </c>
      <c r="C1016" s="14" t="s">
        <v>14</v>
      </c>
      <c r="D1016" s="15" t="s">
        <v>15</v>
      </c>
      <c r="E1016" s="15" t="s">
        <v>404</v>
      </c>
      <c r="F1016" s="16">
        <v>940</v>
      </c>
      <c r="G1016" s="17">
        <v>31473.119999999999</v>
      </c>
      <c r="H1016" s="17">
        <v>6282.47</v>
      </c>
      <c r="I1016" s="19">
        <v>29584732.800000001</v>
      </c>
      <c r="J1016" s="15" t="s">
        <v>17</v>
      </c>
      <c r="K1016" s="15" t="s">
        <v>18</v>
      </c>
      <c r="L1016" s="9">
        <f>YEAR(E1016)</f>
        <v>2023</v>
      </c>
      <c r="M1016" s="11">
        <f t="shared" si="17"/>
        <v>5905521.7999999998</v>
      </c>
    </row>
    <row r="1017" spans="1:13" ht="20" customHeight="1" x14ac:dyDescent="0.15">
      <c r="A1017" s="12"/>
      <c r="B1017" s="13" t="s">
        <v>707</v>
      </c>
      <c r="C1017" s="14" t="s">
        <v>25</v>
      </c>
      <c r="D1017" s="15" t="s">
        <v>26</v>
      </c>
      <c r="E1017" s="15" t="s">
        <v>784</v>
      </c>
      <c r="F1017" s="16">
        <v>859</v>
      </c>
      <c r="G1017" s="17">
        <v>43851.61</v>
      </c>
      <c r="H1017" s="17">
        <v>6799.28</v>
      </c>
      <c r="I1017" s="17">
        <v>37668532.990000002</v>
      </c>
      <c r="J1017" s="15" t="s">
        <v>22</v>
      </c>
      <c r="K1017" s="15" t="s">
        <v>18</v>
      </c>
      <c r="L1017" s="9">
        <f>YEAR(E1017)</f>
        <v>2023</v>
      </c>
      <c r="M1017" s="11">
        <f t="shared" si="17"/>
        <v>5840581.5199999996</v>
      </c>
    </row>
    <row r="1018" spans="1:13" ht="20" customHeight="1" x14ac:dyDescent="0.15">
      <c r="A1018" s="12"/>
      <c r="L1018" s="9"/>
    </row>
    <row r="1019" spans="1:13" ht="20" customHeight="1" x14ac:dyDescent="0.15">
      <c r="L1019" s="9"/>
    </row>
    <row r="1020" spans="1:13" ht="20" customHeight="1" x14ac:dyDescent="0.15">
      <c r="L1020" s="9"/>
    </row>
    <row r="1021" spans="1:13" ht="20" customHeight="1" x14ac:dyDescent="0.15">
      <c r="L1021" s="9"/>
    </row>
    <row r="1022" spans="1:13" ht="20" customHeight="1" x14ac:dyDescent="0.15">
      <c r="L1022" s="9"/>
    </row>
    <row r="1023" spans="1:13" ht="20" customHeight="1" x14ac:dyDescent="0.15">
      <c r="L1023" s="9"/>
    </row>
    <row r="1024" spans="1:13" ht="20" customHeight="1" x14ac:dyDescent="0.15">
      <c r="L1024" s="9"/>
    </row>
    <row r="1025" spans="12:12" ht="20" customHeight="1" x14ac:dyDescent="0.15">
      <c r="L1025" s="9"/>
    </row>
    <row r="1026" spans="12:12" ht="20" customHeight="1" x14ac:dyDescent="0.15">
      <c r="L1026" s="9"/>
    </row>
    <row r="1027" spans="12:12" ht="20" customHeight="1" x14ac:dyDescent="0.15">
      <c r="L1027" s="9"/>
    </row>
    <row r="1028" spans="12:12" ht="20" customHeight="1" x14ac:dyDescent="0.15">
      <c r="L1028" s="9"/>
    </row>
    <row r="1029" spans="12:12" ht="20" customHeight="1" x14ac:dyDescent="0.15">
      <c r="L1029" s="9"/>
    </row>
    <row r="1030" spans="12:12" ht="20" customHeight="1" x14ac:dyDescent="0.15">
      <c r="L1030" s="9"/>
    </row>
    <row r="1031" spans="12:12" ht="20" customHeight="1" x14ac:dyDescent="0.15">
      <c r="L1031" s="9"/>
    </row>
    <row r="1032" spans="12:12" ht="20" customHeight="1" x14ac:dyDescent="0.15">
      <c r="L1032" s="9"/>
    </row>
    <row r="1033" spans="12:12" ht="20" customHeight="1" x14ac:dyDescent="0.15">
      <c r="L1033" s="9"/>
    </row>
    <row r="1034" spans="12:12" ht="20" customHeight="1" x14ac:dyDescent="0.15">
      <c r="L1034" s="9"/>
    </row>
    <row r="1035" spans="12:12" ht="20" customHeight="1" x14ac:dyDescent="0.15">
      <c r="L1035" s="9"/>
    </row>
    <row r="1036" spans="12:12" ht="20" customHeight="1" x14ac:dyDescent="0.15">
      <c r="L1036" s="9"/>
    </row>
    <row r="1037" spans="12:12" ht="20" customHeight="1" x14ac:dyDescent="0.15">
      <c r="L1037" s="9"/>
    </row>
    <row r="1038" spans="12:12" ht="20" customHeight="1" x14ac:dyDescent="0.15">
      <c r="L1038" s="9"/>
    </row>
    <row r="1039" spans="12:12" ht="20" customHeight="1" x14ac:dyDescent="0.15">
      <c r="L1039" s="9"/>
    </row>
    <row r="1040" spans="12:12" ht="20" customHeight="1" x14ac:dyDescent="0.15">
      <c r="L1040" s="9"/>
    </row>
    <row r="1041" spans="12:12" ht="20" customHeight="1" x14ac:dyDescent="0.15">
      <c r="L1041" s="9"/>
    </row>
    <row r="1042" spans="12:12" ht="20" customHeight="1" x14ac:dyDescent="0.15">
      <c r="L1042" s="9"/>
    </row>
    <row r="1043" spans="12:12" ht="20" customHeight="1" x14ac:dyDescent="0.15">
      <c r="L1043" s="9"/>
    </row>
    <row r="1044" spans="12:12" ht="20" customHeight="1" x14ac:dyDescent="0.15">
      <c r="L1044" s="9"/>
    </row>
    <row r="1045" spans="12:12" ht="20" customHeight="1" x14ac:dyDescent="0.15">
      <c r="L1045" s="9"/>
    </row>
    <row r="1046" spans="12:12" ht="20" customHeight="1" x14ac:dyDescent="0.15">
      <c r="L1046" s="9"/>
    </row>
    <row r="1047" spans="12:12" ht="20" customHeight="1" x14ac:dyDescent="0.15">
      <c r="L1047" s="9"/>
    </row>
    <row r="1048" spans="12:12" ht="20" customHeight="1" x14ac:dyDescent="0.15">
      <c r="L1048" s="9"/>
    </row>
    <row r="1049" spans="12:12" ht="20" customHeight="1" x14ac:dyDescent="0.15">
      <c r="L1049" s="9"/>
    </row>
    <row r="1050" spans="12:12" ht="20" customHeight="1" x14ac:dyDescent="0.15">
      <c r="L1050" s="9"/>
    </row>
    <row r="1051" spans="12:12" ht="20" customHeight="1" x14ac:dyDescent="0.15">
      <c r="L1051" s="9"/>
    </row>
    <row r="1052" spans="12:12" ht="20" customHeight="1" x14ac:dyDescent="0.15">
      <c r="L1052" s="9"/>
    </row>
    <row r="1053" spans="12:12" ht="20" customHeight="1" x14ac:dyDescent="0.15">
      <c r="L1053" s="9"/>
    </row>
    <row r="1054" spans="12:12" ht="20" customHeight="1" x14ac:dyDescent="0.15">
      <c r="L1054" s="9"/>
    </row>
    <row r="1055" spans="12:12" ht="20" customHeight="1" x14ac:dyDescent="0.15">
      <c r="L1055" s="9"/>
    </row>
    <row r="1056" spans="12:12" ht="20" customHeight="1" x14ac:dyDescent="0.15">
      <c r="L1056" s="9"/>
    </row>
    <row r="1057" spans="12:12" ht="20" customHeight="1" x14ac:dyDescent="0.15">
      <c r="L1057" s="9"/>
    </row>
    <row r="1058" spans="12:12" ht="20" customHeight="1" x14ac:dyDescent="0.15">
      <c r="L1058" s="9"/>
    </row>
    <row r="1059" spans="12:12" ht="20" customHeight="1" x14ac:dyDescent="0.15">
      <c r="L1059" s="9"/>
    </row>
    <row r="1060" spans="12:12" ht="20" customHeight="1" x14ac:dyDescent="0.15">
      <c r="L1060" s="9"/>
    </row>
    <row r="1061" spans="12:12" ht="20" customHeight="1" x14ac:dyDescent="0.15">
      <c r="L1061" s="9"/>
    </row>
    <row r="1062" spans="12:12" ht="20" customHeight="1" x14ac:dyDescent="0.15">
      <c r="L1062" s="9"/>
    </row>
    <row r="1063" spans="12:12" ht="20" customHeight="1" x14ac:dyDescent="0.15">
      <c r="L1063" s="9"/>
    </row>
    <row r="1064" spans="12:12" ht="20" customHeight="1" x14ac:dyDescent="0.15">
      <c r="L1064" s="9"/>
    </row>
    <row r="1065" spans="12:12" ht="20" customHeight="1" x14ac:dyDescent="0.15">
      <c r="L1065" s="9"/>
    </row>
    <row r="1066" spans="12:12" ht="20" customHeight="1" x14ac:dyDescent="0.15">
      <c r="L1066" s="9"/>
    </row>
    <row r="1067" spans="12:12" ht="20" customHeight="1" x14ac:dyDescent="0.15">
      <c r="L1067" s="9"/>
    </row>
    <row r="1068" spans="12:12" ht="20" customHeight="1" x14ac:dyDescent="0.15">
      <c r="L1068" s="9"/>
    </row>
    <row r="1069" spans="12:12" ht="20" customHeight="1" x14ac:dyDescent="0.15">
      <c r="L1069" s="9"/>
    </row>
    <row r="1070" spans="12:12" ht="20" customHeight="1" x14ac:dyDescent="0.15">
      <c r="L1070" s="9"/>
    </row>
    <row r="1071" spans="12:12" ht="20" customHeight="1" x14ac:dyDescent="0.15">
      <c r="L1071" s="9"/>
    </row>
    <row r="1072" spans="12:12" ht="20" customHeight="1" x14ac:dyDescent="0.15">
      <c r="L1072" s="9"/>
    </row>
    <row r="1073" spans="12:12" ht="20" customHeight="1" x14ac:dyDescent="0.15">
      <c r="L1073" s="9"/>
    </row>
    <row r="1074" spans="12:12" ht="20" customHeight="1" x14ac:dyDescent="0.15">
      <c r="L1074" s="9"/>
    </row>
    <row r="1075" spans="12:12" ht="20" customHeight="1" x14ac:dyDescent="0.15">
      <c r="L1075" s="9"/>
    </row>
    <row r="1076" spans="12:12" ht="20" customHeight="1" x14ac:dyDescent="0.15">
      <c r="L1076" s="9"/>
    </row>
    <row r="1077" spans="12:12" ht="20" customHeight="1" x14ac:dyDescent="0.15">
      <c r="L1077" s="9"/>
    </row>
    <row r="1078" spans="12:12" ht="20" customHeight="1" x14ac:dyDescent="0.15">
      <c r="L1078" s="9"/>
    </row>
    <row r="1079" spans="12:12" ht="20" customHeight="1" x14ac:dyDescent="0.15">
      <c r="L1079" s="9"/>
    </row>
    <row r="1080" spans="12:12" ht="20" customHeight="1" x14ac:dyDescent="0.15">
      <c r="L1080" s="9"/>
    </row>
    <row r="1081" spans="12:12" ht="20" customHeight="1" x14ac:dyDescent="0.15">
      <c r="L1081" s="9"/>
    </row>
    <row r="1082" spans="12:12" ht="20" customHeight="1" x14ac:dyDescent="0.15">
      <c r="L1082" s="9"/>
    </row>
    <row r="1083" spans="12:12" ht="20" customHeight="1" x14ac:dyDescent="0.15">
      <c r="L1083" s="9"/>
    </row>
    <row r="1084" spans="12:12" ht="20" customHeight="1" x14ac:dyDescent="0.15">
      <c r="L1084" s="9"/>
    </row>
    <row r="1085" spans="12:12" ht="20" customHeight="1" x14ac:dyDescent="0.15">
      <c r="L1085" s="9"/>
    </row>
    <row r="1086" spans="12:12" ht="20" customHeight="1" x14ac:dyDescent="0.15">
      <c r="L1086" s="9"/>
    </row>
    <row r="1087" spans="12:12" ht="20" customHeight="1" x14ac:dyDescent="0.15">
      <c r="L1087" s="9"/>
    </row>
    <row r="1088" spans="12:12" ht="20" customHeight="1" x14ac:dyDescent="0.15">
      <c r="L1088" s="9"/>
    </row>
    <row r="1089" spans="12:12" ht="20" customHeight="1" x14ac:dyDescent="0.15">
      <c r="L1089" s="9"/>
    </row>
    <row r="1090" spans="12:12" ht="20" customHeight="1" x14ac:dyDescent="0.15">
      <c r="L1090" s="9"/>
    </row>
    <row r="1091" spans="12:12" ht="20" customHeight="1" x14ac:dyDescent="0.15">
      <c r="L1091" s="9"/>
    </row>
    <row r="1092" spans="12:12" ht="20" customHeight="1" x14ac:dyDescent="0.15">
      <c r="L1092" s="9"/>
    </row>
    <row r="1093" spans="12:12" ht="20" customHeight="1" x14ac:dyDescent="0.15">
      <c r="L1093" s="9"/>
    </row>
    <row r="1094" spans="12:12" ht="20" customHeight="1" x14ac:dyDescent="0.15">
      <c r="L1094" s="9"/>
    </row>
    <row r="1095" spans="12:12" ht="20" customHeight="1" x14ac:dyDescent="0.15">
      <c r="L1095" s="9"/>
    </row>
    <row r="1096" spans="12:12" ht="20" customHeight="1" x14ac:dyDescent="0.15">
      <c r="L1096" s="9"/>
    </row>
    <row r="1097" spans="12:12" ht="20" customHeight="1" x14ac:dyDescent="0.15">
      <c r="L1097" s="9"/>
    </row>
    <row r="1098" spans="12:12" ht="20" customHeight="1" x14ac:dyDescent="0.15">
      <c r="L1098" s="9"/>
    </row>
    <row r="1099" spans="12:12" ht="20" customHeight="1" x14ac:dyDescent="0.15">
      <c r="L1099" s="9"/>
    </row>
    <row r="1100" spans="12:12" ht="20" customHeight="1" x14ac:dyDescent="0.15">
      <c r="L1100" s="9"/>
    </row>
    <row r="1101" spans="12:12" ht="20" customHeight="1" x14ac:dyDescent="0.15">
      <c r="L1101" s="9"/>
    </row>
    <row r="1102" spans="12:12" ht="20" customHeight="1" x14ac:dyDescent="0.15">
      <c r="L1102" s="9"/>
    </row>
    <row r="1103" spans="12:12" ht="20" customHeight="1" x14ac:dyDescent="0.15">
      <c r="L1103" s="9"/>
    </row>
    <row r="1104" spans="12:12" ht="20" customHeight="1" x14ac:dyDescent="0.15">
      <c r="L1104" s="9"/>
    </row>
    <row r="1105" spans="12:12" ht="20" customHeight="1" x14ac:dyDescent="0.15">
      <c r="L1105" s="9"/>
    </row>
    <row r="1106" spans="12:12" ht="20" customHeight="1" x14ac:dyDescent="0.15">
      <c r="L1106" s="9"/>
    </row>
    <row r="1107" spans="12:12" ht="20" customHeight="1" x14ac:dyDescent="0.15">
      <c r="L1107" s="9"/>
    </row>
    <row r="1108" spans="12:12" ht="20" customHeight="1" x14ac:dyDescent="0.15">
      <c r="L1108" s="9"/>
    </row>
    <row r="1109" spans="12:12" ht="20" customHeight="1" x14ac:dyDescent="0.15">
      <c r="L1109" s="9"/>
    </row>
    <row r="1110" spans="12:12" ht="20" customHeight="1" x14ac:dyDescent="0.15">
      <c r="L1110" s="9"/>
    </row>
    <row r="1111" spans="12:12" ht="20" customHeight="1" x14ac:dyDescent="0.15">
      <c r="L1111" s="9"/>
    </row>
    <row r="1112" spans="12:12" ht="20" customHeight="1" x14ac:dyDescent="0.15">
      <c r="L1112" s="9"/>
    </row>
    <row r="1113" spans="12:12" ht="20" customHeight="1" x14ac:dyDescent="0.15">
      <c r="L1113" s="9"/>
    </row>
    <row r="1114" spans="12:12" ht="20" customHeight="1" x14ac:dyDescent="0.15">
      <c r="L1114" s="9"/>
    </row>
    <row r="1115" spans="12:12" ht="20" customHeight="1" x14ac:dyDescent="0.15">
      <c r="L1115" s="9"/>
    </row>
    <row r="1116" spans="12:12" ht="20" customHeight="1" x14ac:dyDescent="0.15">
      <c r="L1116" s="9"/>
    </row>
    <row r="1117" spans="12:12" ht="20" customHeight="1" x14ac:dyDescent="0.15">
      <c r="L1117" s="9"/>
    </row>
    <row r="1118" spans="12:12" ht="20" customHeight="1" x14ac:dyDescent="0.15">
      <c r="L1118" s="9"/>
    </row>
    <row r="1119" spans="12:12" ht="20" customHeight="1" x14ac:dyDescent="0.15">
      <c r="L1119" s="9"/>
    </row>
    <row r="1120" spans="12:12" ht="20" customHeight="1" x14ac:dyDescent="0.15">
      <c r="L1120" s="9"/>
    </row>
    <row r="1121" spans="12:12" ht="20" customHeight="1" x14ac:dyDescent="0.15">
      <c r="L1121" s="9"/>
    </row>
    <row r="1122" spans="12:12" ht="20" customHeight="1" x14ac:dyDescent="0.15">
      <c r="L1122" s="9"/>
    </row>
    <row r="1123" spans="12:12" ht="20" customHeight="1" x14ac:dyDescent="0.15">
      <c r="L1123" s="9"/>
    </row>
    <row r="1124" spans="12:12" ht="20" customHeight="1" x14ac:dyDescent="0.15">
      <c r="L1124" s="9"/>
    </row>
    <row r="1125" spans="12:12" ht="20" customHeight="1" x14ac:dyDescent="0.15">
      <c r="L1125" s="9"/>
    </row>
    <row r="1126" spans="12:12" ht="20" customHeight="1" x14ac:dyDescent="0.15">
      <c r="L1126" s="9"/>
    </row>
    <row r="1127" spans="12:12" ht="20" customHeight="1" x14ac:dyDescent="0.15">
      <c r="L1127" s="9"/>
    </row>
    <row r="1128" spans="12:12" ht="20" customHeight="1" x14ac:dyDescent="0.15">
      <c r="L1128" s="9"/>
    </row>
    <row r="1129" spans="12:12" ht="20" customHeight="1" x14ac:dyDescent="0.15">
      <c r="L1129" s="9"/>
    </row>
  </sheetData>
  <sortState xmlns:xlrd2="http://schemas.microsoft.com/office/spreadsheetml/2017/richdata2" ref="A885:L1017">
    <sortCondition ref="L885:L1017"/>
  </sortState>
  <mergeCells count="1">
    <mergeCell ref="A1:M1"/>
  </mergeCells>
  <pageMargins left="1" right="1" top="1" bottom="1" header="0.25" footer="0.25"/>
  <pageSetup scale="10" orientation="portrait"/>
  <headerFooter>
    <oddFooter>&amp;C&amp;"Helvetica Neue,Regular"&amp;12&amp;K000000&amp;P</oddFooter>
  </headerFooter>
  <rowBreaks count="1" manualBreakCount="1">
    <brk id="18" max="16383" man="1"/>
  </rowBreaks>
  <colBreaks count="1" manualBreakCount="1">
    <brk id="4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7CA71-3E08-CF4C-8E90-97CFFFEF32B6}">
  <dimension ref="A3:AK68"/>
  <sheetViews>
    <sheetView topLeftCell="A33" zoomScale="150" zoomScaleNormal="63" workbookViewId="0">
      <selection activeCell="F59" sqref="F59"/>
    </sheetView>
  </sheetViews>
  <sheetFormatPr baseColWidth="10" defaultRowHeight="13" x14ac:dyDescent="0.15"/>
  <cols>
    <col min="1" max="1" width="13" bestFit="1" customWidth="1"/>
    <col min="2" max="2" width="15" bestFit="1" customWidth="1"/>
    <col min="3" max="3" width="16.83203125" bestFit="1" customWidth="1"/>
    <col min="4" max="4" width="16.6640625" bestFit="1" customWidth="1"/>
    <col min="5" max="5" width="15.1640625" bestFit="1" customWidth="1"/>
    <col min="6" max="6" width="11" bestFit="1" customWidth="1"/>
    <col min="7" max="7" width="11.6640625" bestFit="1" customWidth="1"/>
    <col min="8" max="8" width="12" bestFit="1" customWidth="1"/>
    <col min="9" max="9" width="11.6640625" bestFit="1" customWidth="1"/>
    <col min="10" max="10" width="11" bestFit="1" customWidth="1"/>
    <col min="11" max="11" width="11.6640625" bestFit="1" customWidth="1"/>
    <col min="12" max="12" width="12" bestFit="1" customWidth="1"/>
    <col min="13" max="13" width="11.6640625" bestFit="1" customWidth="1"/>
    <col min="14" max="14" width="11" bestFit="1" customWidth="1"/>
    <col min="15" max="17" width="11.6640625" bestFit="1" customWidth="1"/>
    <col min="18" max="18" width="11" bestFit="1" customWidth="1"/>
    <col min="19" max="19" width="11.6640625" bestFit="1" customWidth="1"/>
    <col min="20" max="20" width="12" bestFit="1" customWidth="1"/>
    <col min="21" max="21" width="11.6640625" bestFit="1" customWidth="1"/>
    <col min="22" max="22" width="14.83203125" bestFit="1" customWidth="1"/>
    <col min="23" max="23" width="16.83203125" bestFit="1" customWidth="1"/>
    <col min="24" max="24" width="16.6640625" bestFit="1" customWidth="1"/>
    <col min="25" max="25" width="10.5" customWidth="1"/>
    <col min="26" max="26" width="11" bestFit="1" customWidth="1"/>
    <col min="27" max="27" width="11.6640625" bestFit="1" customWidth="1"/>
    <col min="28" max="28" width="12" bestFit="1" customWidth="1"/>
    <col min="29" max="29" width="11.6640625" bestFit="1" customWidth="1"/>
    <col min="30" max="30" width="11" bestFit="1" customWidth="1"/>
    <col min="31" max="31" width="11.6640625" bestFit="1" customWidth="1"/>
    <col min="32" max="32" width="12" bestFit="1" customWidth="1"/>
    <col min="33" max="33" width="11.6640625" bestFit="1" customWidth="1"/>
    <col min="34" max="34" width="15.1640625" bestFit="1" customWidth="1"/>
    <col min="35" max="35" width="13.1640625" bestFit="1" customWidth="1"/>
    <col min="36" max="36" width="12.1640625" bestFit="1" customWidth="1"/>
    <col min="37" max="40" width="11.6640625" bestFit="1" customWidth="1"/>
    <col min="41" max="41" width="10.6640625" bestFit="1" customWidth="1"/>
    <col min="43" max="43" width="11.6640625" bestFit="1" customWidth="1"/>
    <col min="44" max="44" width="12.1640625" bestFit="1" customWidth="1"/>
    <col min="45" max="45" width="11.6640625" bestFit="1" customWidth="1"/>
  </cols>
  <sheetData>
    <row r="3" spans="1:37" ht="14" x14ac:dyDescent="0.15">
      <c r="A3" s="32"/>
      <c r="B3" s="36" t="s">
        <v>786</v>
      </c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  <c r="AA3" s="33"/>
      <c r="AB3" s="33"/>
      <c r="AC3" s="33"/>
      <c r="AD3" s="33"/>
      <c r="AE3" s="33"/>
      <c r="AF3" s="33"/>
      <c r="AG3" s="33"/>
      <c r="AH3" s="33"/>
      <c r="AI3" s="33"/>
      <c r="AJ3" s="33"/>
      <c r="AK3" s="34"/>
    </row>
    <row r="4" spans="1:37" ht="28" x14ac:dyDescent="0.15">
      <c r="A4" s="35"/>
      <c r="B4" s="32" t="s">
        <v>13</v>
      </c>
      <c r="C4" s="33"/>
      <c r="D4" s="33"/>
      <c r="E4" s="33"/>
      <c r="F4" s="32" t="s">
        <v>174</v>
      </c>
      <c r="G4" s="33"/>
      <c r="H4" s="33"/>
      <c r="I4" s="33"/>
      <c r="J4" s="32" t="s">
        <v>277</v>
      </c>
      <c r="K4" s="33"/>
      <c r="L4" s="33"/>
      <c r="M4" s="33"/>
      <c r="N4" s="32" t="s">
        <v>389</v>
      </c>
      <c r="O4" s="33"/>
      <c r="P4" s="33"/>
      <c r="Q4" s="33"/>
      <c r="R4" s="32" t="s">
        <v>461</v>
      </c>
      <c r="S4" s="33"/>
      <c r="T4" s="33"/>
      <c r="U4" s="33"/>
      <c r="V4" s="32" t="s">
        <v>551</v>
      </c>
      <c r="W4" s="33"/>
      <c r="X4" s="33"/>
      <c r="Y4" s="33"/>
      <c r="Z4" s="32" t="s">
        <v>632</v>
      </c>
      <c r="AA4" s="33"/>
      <c r="AB4" s="33"/>
      <c r="AC4" s="33"/>
      <c r="AD4" s="32" t="s">
        <v>707</v>
      </c>
      <c r="AE4" s="33"/>
      <c r="AF4" s="33"/>
      <c r="AG4" s="33"/>
      <c r="AH4" s="32" t="s">
        <v>802</v>
      </c>
      <c r="AI4" s="32" t="s">
        <v>804</v>
      </c>
      <c r="AJ4" s="32" t="s">
        <v>803</v>
      </c>
      <c r="AK4" s="38" t="s">
        <v>800</v>
      </c>
    </row>
    <row r="5" spans="1:37" ht="28" x14ac:dyDescent="0.15">
      <c r="A5" s="36" t="s">
        <v>787</v>
      </c>
      <c r="B5" s="32" t="s">
        <v>785</v>
      </c>
      <c r="C5" s="37" t="s">
        <v>797</v>
      </c>
      <c r="D5" s="37" t="s">
        <v>790</v>
      </c>
      <c r="E5" s="37" t="s">
        <v>796</v>
      </c>
      <c r="F5" s="32" t="s">
        <v>785</v>
      </c>
      <c r="G5" s="37" t="s">
        <v>797</v>
      </c>
      <c r="H5" s="37" t="s">
        <v>790</v>
      </c>
      <c r="I5" s="37" t="s">
        <v>796</v>
      </c>
      <c r="J5" s="32" t="s">
        <v>785</v>
      </c>
      <c r="K5" s="37" t="s">
        <v>797</v>
      </c>
      <c r="L5" s="37" t="s">
        <v>790</v>
      </c>
      <c r="M5" s="37" t="s">
        <v>796</v>
      </c>
      <c r="N5" s="32" t="s">
        <v>785</v>
      </c>
      <c r="O5" s="37" t="s">
        <v>797</v>
      </c>
      <c r="P5" s="37" t="s">
        <v>790</v>
      </c>
      <c r="Q5" s="37" t="s">
        <v>796</v>
      </c>
      <c r="R5" s="32" t="s">
        <v>785</v>
      </c>
      <c r="S5" s="37" t="s">
        <v>797</v>
      </c>
      <c r="T5" s="37" t="s">
        <v>790</v>
      </c>
      <c r="U5" s="37" t="s">
        <v>796</v>
      </c>
      <c r="V5" s="32" t="s">
        <v>785</v>
      </c>
      <c r="W5" s="37" t="s">
        <v>797</v>
      </c>
      <c r="X5" s="37" t="s">
        <v>790</v>
      </c>
      <c r="Y5" s="37" t="s">
        <v>796</v>
      </c>
      <c r="Z5" s="32" t="s">
        <v>785</v>
      </c>
      <c r="AA5" s="37" t="s">
        <v>797</v>
      </c>
      <c r="AB5" s="37" t="s">
        <v>790</v>
      </c>
      <c r="AC5" s="37" t="s">
        <v>796</v>
      </c>
      <c r="AD5" s="32" t="s">
        <v>785</v>
      </c>
      <c r="AE5" s="37" t="s">
        <v>797</v>
      </c>
      <c r="AF5" s="37" t="s">
        <v>790</v>
      </c>
      <c r="AG5" s="37" t="s">
        <v>796</v>
      </c>
      <c r="AH5" s="35"/>
      <c r="AI5" s="35"/>
      <c r="AJ5" s="35"/>
      <c r="AK5" s="89"/>
    </row>
    <row r="6" spans="1:37" ht="14" x14ac:dyDescent="0.15">
      <c r="A6" s="80" t="s">
        <v>89</v>
      </c>
      <c r="B6" s="81">
        <v>8590</v>
      </c>
      <c r="C6" s="82">
        <v>28890.208823529403</v>
      </c>
      <c r="D6" s="82">
        <v>254010316.86999995</v>
      </c>
      <c r="E6" s="82">
        <v>60435220.819999993</v>
      </c>
      <c r="F6" s="81">
        <v>7473</v>
      </c>
      <c r="G6" s="82">
        <v>28211.213333333337</v>
      </c>
      <c r="H6" s="82">
        <v>223704325.65999997</v>
      </c>
      <c r="I6" s="82">
        <v>51085872.74000001</v>
      </c>
      <c r="J6" s="81">
        <v>8358</v>
      </c>
      <c r="K6" s="82">
        <v>31324.373846153845</v>
      </c>
      <c r="L6" s="82">
        <v>266200622.93000004</v>
      </c>
      <c r="M6" s="82">
        <v>58035607.240000002</v>
      </c>
      <c r="N6" s="81">
        <v>5764</v>
      </c>
      <c r="O6" s="82">
        <v>27391.55916666667</v>
      </c>
      <c r="P6" s="82">
        <v>133407654.68000001</v>
      </c>
      <c r="Q6" s="82">
        <v>33877262.840000004</v>
      </c>
      <c r="R6" s="81">
        <v>5352</v>
      </c>
      <c r="S6" s="82">
        <v>28117.809090909086</v>
      </c>
      <c r="T6" s="82">
        <v>154734630.22999999</v>
      </c>
      <c r="U6" s="82">
        <v>37328784.030000001</v>
      </c>
      <c r="V6" s="81">
        <v>4573</v>
      </c>
      <c r="W6" s="82">
        <v>30961.49090909091</v>
      </c>
      <c r="X6" s="82">
        <v>132247344.13</v>
      </c>
      <c r="Y6" s="82">
        <v>26854924.170000002</v>
      </c>
      <c r="Z6" s="81">
        <v>3378</v>
      </c>
      <c r="AA6" s="82">
        <v>31039.8</v>
      </c>
      <c r="AB6" s="82">
        <v>115974300.45999999</v>
      </c>
      <c r="AC6" s="82">
        <v>22602608.73</v>
      </c>
      <c r="AD6" s="81">
        <v>8395</v>
      </c>
      <c r="AE6" s="82">
        <v>30421.148125</v>
      </c>
      <c r="AF6" s="82">
        <v>250241761.68000001</v>
      </c>
      <c r="AG6" s="82">
        <v>45248547.370000005</v>
      </c>
      <c r="AH6" s="81">
        <v>51883</v>
      </c>
      <c r="AI6" s="81">
        <v>29505.127499999999</v>
      </c>
      <c r="AJ6" s="81">
        <v>1530520956.6399999</v>
      </c>
      <c r="AK6" s="92">
        <v>335468827.94</v>
      </c>
    </row>
    <row r="7" spans="1:37" x14ac:dyDescent="0.15">
      <c r="A7" s="63">
        <v>2020</v>
      </c>
      <c r="B7" s="43">
        <v>1274</v>
      </c>
      <c r="C7" s="44">
        <v>32033.89333333333</v>
      </c>
      <c r="D7" s="44">
        <v>41422727.839999996</v>
      </c>
      <c r="E7" s="44">
        <v>9808586.5800000001</v>
      </c>
      <c r="F7" s="43">
        <v>1765</v>
      </c>
      <c r="G7" s="44">
        <v>36172.223333333335</v>
      </c>
      <c r="H7" s="44">
        <v>63003685.489999995</v>
      </c>
      <c r="I7" s="44">
        <v>12027839.950000001</v>
      </c>
      <c r="J7" s="43">
        <v>2871</v>
      </c>
      <c r="K7" s="44">
        <v>31254.205000000002</v>
      </c>
      <c r="L7" s="44">
        <v>86167458.329999998</v>
      </c>
      <c r="M7" s="44">
        <v>20020140.010000002</v>
      </c>
      <c r="N7" s="43">
        <v>1805</v>
      </c>
      <c r="O7" s="44">
        <v>30125.342499999999</v>
      </c>
      <c r="P7" s="44">
        <v>42592601.630000003</v>
      </c>
      <c r="Q7" s="44">
        <v>11526668.470000001</v>
      </c>
      <c r="R7" s="43">
        <v>3291</v>
      </c>
      <c r="S7" s="44">
        <v>29515.074999999997</v>
      </c>
      <c r="T7" s="44">
        <v>93222411.209999993</v>
      </c>
      <c r="U7" s="44">
        <v>21665123.890000001</v>
      </c>
      <c r="V7" s="43">
        <v>780</v>
      </c>
      <c r="W7" s="44">
        <v>18031.940000000002</v>
      </c>
      <c r="X7" s="44">
        <v>11796746.060000001</v>
      </c>
      <c r="Y7" s="44">
        <v>2576886.3099999996</v>
      </c>
      <c r="Z7" s="43">
        <v>957</v>
      </c>
      <c r="AA7" s="44">
        <v>30443.32</v>
      </c>
      <c r="AB7" s="44">
        <v>28485753.93</v>
      </c>
      <c r="AC7" s="44">
        <v>4984042.7699999996</v>
      </c>
      <c r="AD7" s="43">
        <v>1806</v>
      </c>
      <c r="AE7" s="44">
        <v>33773.352500000001</v>
      </c>
      <c r="AF7" s="44">
        <v>64318258.57</v>
      </c>
      <c r="AG7" s="44">
        <v>10596250.76</v>
      </c>
      <c r="AH7" s="43">
        <v>14549</v>
      </c>
      <c r="AI7" s="43">
        <v>30688.247142857144</v>
      </c>
      <c r="AJ7" s="43">
        <v>431009643.06</v>
      </c>
      <c r="AK7" s="45">
        <v>93205538.74000001</v>
      </c>
    </row>
    <row r="8" spans="1:37" x14ac:dyDescent="0.15">
      <c r="A8" s="63">
        <v>2021</v>
      </c>
      <c r="B8" s="43">
        <v>1997</v>
      </c>
      <c r="C8" s="44">
        <v>26329.574999999997</v>
      </c>
      <c r="D8" s="44">
        <v>48756716.780000001</v>
      </c>
      <c r="E8" s="44">
        <v>16323889.560000001</v>
      </c>
      <c r="F8" s="43">
        <v>3251</v>
      </c>
      <c r="G8" s="44">
        <v>28905.604000000003</v>
      </c>
      <c r="H8" s="44">
        <v>108131211.88999999</v>
      </c>
      <c r="I8" s="44">
        <v>24829276.169999998</v>
      </c>
      <c r="J8" s="43">
        <v>1125</v>
      </c>
      <c r="K8" s="44">
        <v>28701.715</v>
      </c>
      <c r="L8" s="44">
        <v>32593181.550000001</v>
      </c>
      <c r="M8" s="44">
        <v>4645757.4499999993</v>
      </c>
      <c r="N8" s="43">
        <v>2254</v>
      </c>
      <c r="O8" s="44">
        <v>12654.493333333332</v>
      </c>
      <c r="P8" s="44">
        <v>29800182.170000002</v>
      </c>
      <c r="Q8" s="44">
        <v>10759669.309999999</v>
      </c>
      <c r="R8" s="43">
        <v>1533</v>
      </c>
      <c r="S8" s="44">
        <v>32777.996666666666</v>
      </c>
      <c r="T8" s="44">
        <v>52713068.299999997</v>
      </c>
      <c r="U8" s="44">
        <v>10815327.949999999</v>
      </c>
      <c r="V8" s="43">
        <v>455</v>
      </c>
      <c r="W8" s="44">
        <v>42779.72</v>
      </c>
      <c r="X8" s="44">
        <v>19464772.600000001</v>
      </c>
      <c r="Y8" s="44">
        <v>3178434.35</v>
      </c>
      <c r="Z8" s="43">
        <v>210</v>
      </c>
      <c r="AA8" s="44">
        <v>16164.04</v>
      </c>
      <c r="AB8" s="44">
        <v>3394448.4</v>
      </c>
      <c r="AC8" s="44">
        <v>1249113.5999999999</v>
      </c>
      <c r="AD8" s="43">
        <v>1849</v>
      </c>
      <c r="AE8" s="44">
        <v>27143.51</v>
      </c>
      <c r="AF8" s="44">
        <v>53464378.890000001</v>
      </c>
      <c r="AG8" s="44">
        <v>12695183.48</v>
      </c>
      <c r="AH8" s="43">
        <v>12674</v>
      </c>
      <c r="AI8" s="43">
        <v>26568.044347826079</v>
      </c>
      <c r="AJ8" s="43">
        <v>348317960.57999992</v>
      </c>
      <c r="AK8" s="45">
        <v>84496651.870000005</v>
      </c>
    </row>
    <row r="9" spans="1:37" x14ac:dyDescent="0.15">
      <c r="A9" s="63">
        <v>2022</v>
      </c>
      <c r="B9" s="43">
        <v>4155</v>
      </c>
      <c r="C9" s="44">
        <v>29853.109999999997</v>
      </c>
      <c r="D9" s="44">
        <v>130902306.61</v>
      </c>
      <c r="E9" s="44">
        <v>26329325.239999998</v>
      </c>
      <c r="F9" s="43">
        <v>1846</v>
      </c>
      <c r="G9" s="44">
        <v>21216.643333333333</v>
      </c>
      <c r="H9" s="44">
        <v>39225224.939999998</v>
      </c>
      <c r="I9" s="44">
        <v>9939182.2400000002</v>
      </c>
      <c r="J9" s="43">
        <v>1586</v>
      </c>
      <c r="K9" s="44">
        <v>29861.129999999997</v>
      </c>
      <c r="L9" s="44">
        <v>50381084.659999996</v>
      </c>
      <c r="M9" s="44">
        <v>8833728.5399999991</v>
      </c>
      <c r="N9" s="43">
        <v>1360</v>
      </c>
      <c r="O9" s="44">
        <v>32425.485000000001</v>
      </c>
      <c r="P9" s="44">
        <v>47031358.480000004</v>
      </c>
      <c r="Q9" s="44">
        <v>8664410.8100000005</v>
      </c>
      <c r="R9" s="43">
        <v>301</v>
      </c>
      <c r="S9" s="44">
        <v>15004.45</v>
      </c>
      <c r="T9" s="44">
        <v>4516339.45</v>
      </c>
      <c r="U9" s="44">
        <v>2793689.3600000003</v>
      </c>
      <c r="V9" s="43">
        <v>1896</v>
      </c>
      <c r="W9" s="44">
        <v>31370.917500000003</v>
      </c>
      <c r="X9" s="44">
        <v>57257650.129999995</v>
      </c>
      <c r="Y9" s="44">
        <v>8906643.7400000002</v>
      </c>
      <c r="Z9" s="43">
        <v>897</v>
      </c>
      <c r="AA9" s="44">
        <v>38793.58</v>
      </c>
      <c r="AB9" s="44">
        <v>39142776</v>
      </c>
      <c r="AC9" s="44">
        <v>7589451.5599999996</v>
      </c>
      <c r="AD9" s="43">
        <v>1295</v>
      </c>
      <c r="AE9" s="44">
        <v>34636.123333333329</v>
      </c>
      <c r="AF9" s="44">
        <v>42261230.269999996</v>
      </c>
      <c r="AG9" s="44">
        <v>6182804.2699999996</v>
      </c>
      <c r="AH9" s="43">
        <v>13336</v>
      </c>
      <c r="AI9" s="43">
        <v>30133.993214285707</v>
      </c>
      <c r="AJ9" s="43">
        <v>410717970.53999996</v>
      </c>
      <c r="AK9" s="45">
        <v>79239235.759999976</v>
      </c>
    </row>
    <row r="10" spans="1:37" x14ac:dyDescent="0.15">
      <c r="A10" s="63">
        <v>2023</v>
      </c>
      <c r="B10" s="43">
        <v>1164</v>
      </c>
      <c r="C10" s="44">
        <v>26913.933333333334</v>
      </c>
      <c r="D10" s="44">
        <v>32928565.640000001</v>
      </c>
      <c r="E10" s="44">
        <v>7973419.4400000004</v>
      </c>
      <c r="F10" s="43">
        <v>611</v>
      </c>
      <c r="G10" s="44">
        <v>21839.94</v>
      </c>
      <c r="H10" s="44">
        <v>13344203.34</v>
      </c>
      <c r="I10" s="44">
        <v>4289574.38</v>
      </c>
      <c r="J10" s="43">
        <v>2776</v>
      </c>
      <c r="K10" s="44">
        <v>35117.363333333335</v>
      </c>
      <c r="L10" s="44">
        <v>97058898.390000001</v>
      </c>
      <c r="M10" s="44">
        <v>24535981.240000002</v>
      </c>
      <c r="N10" s="43">
        <v>345</v>
      </c>
      <c r="O10" s="44">
        <v>40531.919999999998</v>
      </c>
      <c r="P10" s="44">
        <v>13983512.4</v>
      </c>
      <c r="Q10" s="44">
        <v>2926514.25</v>
      </c>
      <c r="R10" s="43">
        <v>227</v>
      </c>
      <c r="S10" s="44">
        <v>18867.009999999998</v>
      </c>
      <c r="T10" s="44">
        <v>4282811.2699999996</v>
      </c>
      <c r="U10" s="44">
        <v>2054642.8300000003</v>
      </c>
      <c r="V10" s="43">
        <v>1442</v>
      </c>
      <c r="W10" s="44">
        <v>34062.282500000001</v>
      </c>
      <c r="X10" s="44">
        <v>43728175.340000004</v>
      </c>
      <c r="Y10" s="44">
        <v>12192959.77</v>
      </c>
      <c r="Z10" s="43">
        <v>1314</v>
      </c>
      <c r="AA10" s="44">
        <v>31226.853333333333</v>
      </c>
      <c r="AB10" s="44">
        <v>44951322.129999995</v>
      </c>
      <c r="AC10" s="44">
        <v>8780000.8000000007</v>
      </c>
      <c r="AD10" s="43">
        <v>3445</v>
      </c>
      <c r="AE10" s="44">
        <v>27832.51</v>
      </c>
      <c r="AF10" s="44">
        <v>90197893.949999988</v>
      </c>
      <c r="AG10" s="44">
        <v>15774308.859999998</v>
      </c>
      <c r="AH10" s="43">
        <v>11324</v>
      </c>
      <c r="AI10" s="43">
        <v>30305.952380952385</v>
      </c>
      <c r="AJ10" s="43">
        <v>340475382.46000004</v>
      </c>
      <c r="AK10" s="45">
        <v>78527401.569999993</v>
      </c>
    </row>
    <row r="11" spans="1:37" ht="14" x14ac:dyDescent="0.15">
      <c r="A11" s="76" t="s">
        <v>70</v>
      </c>
      <c r="B11" s="77">
        <v>9698</v>
      </c>
      <c r="C11" s="78">
        <v>30900.379999999997</v>
      </c>
      <c r="D11" s="78">
        <v>308481472.67000002</v>
      </c>
      <c r="E11" s="78">
        <v>58187605.529999994</v>
      </c>
      <c r="F11" s="77">
        <v>3676</v>
      </c>
      <c r="G11" s="78">
        <v>26619.917142857146</v>
      </c>
      <c r="H11" s="78">
        <v>105461964.12</v>
      </c>
      <c r="I11" s="78">
        <v>24393684.48</v>
      </c>
      <c r="J11" s="77">
        <v>5749</v>
      </c>
      <c r="K11" s="78">
        <v>30861.452499999996</v>
      </c>
      <c r="L11" s="78">
        <v>188191079.56999999</v>
      </c>
      <c r="M11" s="78">
        <v>31614389.870000001</v>
      </c>
      <c r="N11" s="77">
        <v>4596</v>
      </c>
      <c r="O11" s="78">
        <v>24671.757777777781</v>
      </c>
      <c r="P11" s="78">
        <v>116624891.31999999</v>
      </c>
      <c r="Q11" s="78">
        <v>32737328.880000003</v>
      </c>
      <c r="R11" s="77">
        <v>6420</v>
      </c>
      <c r="S11" s="78">
        <v>27037.624999999996</v>
      </c>
      <c r="T11" s="78">
        <v>181306923.16</v>
      </c>
      <c r="U11" s="78">
        <v>41694497.019999996</v>
      </c>
      <c r="V11" s="77">
        <v>6783</v>
      </c>
      <c r="W11" s="78">
        <v>31475.879999999997</v>
      </c>
      <c r="X11" s="78">
        <v>219954772.77000001</v>
      </c>
      <c r="Y11" s="78">
        <v>47791285.370000005</v>
      </c>
      <c r="Z11" s="77">
        <v>7247</v>
      </c>
      <c r="AA11" s="78">
        <v>31466.666000000001</v>
      </c>
      <c r="AB11" s="78">
        <v>236126242.63999999</v>
      </c>
      <c r="AC11" s="78">
        <v>40930138.550000004</v>
      </c>
      <c r="AD11" s="77">
        <v>7681</v>
      </c>
      <c r="AE11" s="78">
        <v>32345.204375000008</v>
      </c>
      <c r="AF11" s="78">
        <v>249559228.82000002</v>
      </c>
      <c r="AG11" s="78">
        <v>48335452.25</v>
      </c>
      <c r="AH11" s="77">
        <v>51850</v>
      </c>
      <c r="AI11" s="77">
        <v>29926.149897959189</v>
      </c>
      <c r="AJ11" s="77">
        <v>1605706575.0699999</v>
      </c>
      <c r="AK11" s="91">
        <v>325684381.95000005</v>
      </c>
    </row>
    <row r="12" spans="1:37" x14ac:dyDescent="0.15">
      <c r="A12" s="63">
        <v>2020</v>
      </c>
      <c r="B12" s="43">
        <v>1589</v>
      </c>
      <c r="C12" s="44">
        <v>30736.35666666667</v>
      </c>
      <c r="D12" s="44">
        <v>46539162.479999989</v>
      </c>
      <c r="E12" s="44">
        <v>10634336.280000001</v>
      </c>
      <c r="F12" s="43">
        <v>754</v>
      </c>
      <c r="G12" s="44">
        <v>24124.09</v>
      </c>
      <c r="H12" s="44">
        <v>17495207.859999999</v>
      </c>
      <c r="I12" s="44">
        <v>5050049.42</v>
      </c>
      <c r="J12" s="43">
        <v>1559</v>
      </c>
      <c r="K12" s="44">
        <v>20613.724999999999</v>
      </c>
      <c r="L12" s="44">
        <v>30259323.669999994</v>
      </c>
      <c r="M12" s="44">
        <v>7264573.6500000004</v>
      </c>
      <c r="N12" s="43">
        <v>1699</v>
      </c>
      <c r="O12" s="44">
        <v>16742.744999999999</v>
      </c>
      <c r="P12" s="44">
        <v>29755923.030000001</v>
      </c>
      <c r="Q12" s="44">
        <v>13428514.630000001</v>
      </c>
      <c r="R12" s="43">
        <v>2128</v>
      </c>
      <c r="S12" s="44">
        <v>31235.679999999997</v>
      </c>
      <c r="T12" s="44">
        <v>67664495.629999995</v>
      </c>
      <c r="U12" s="44">
        <v>11777736.109999999</v>
      </c>
      <c r="V12" s="43">
        <v>230</v>
      </c>
      <c r="W12" s="44">
        <v>33065.69</v>
      </c>
      <c r="X12" s="44">
        <v>7605108.7000000002</v>
      </c>
      <c r="Y12" s="44">
        <v>1741113.8</v>
      </c>
      <c r="Z12" s="43">
        <v>785</v>
      </c>
      <c r="AA12" s="44">
        <v>25592.724999999999</v>
      </c>
      <c r="AB12" s="44">
        <v>23601270.669999998</v>
      </c>
      <c r="AC12" s="44">
        <v>3312710.54</v>
      </c>
      <c r="AD12" s="43">
        <v>2320</v>
      </c>
      <c r="AE12" s="44">
        <v>31465.52</v>
      </c>
      <c r="AF12" s="44">
        <v>65149272.969999999</v>
      </c>
      <c r="AG12" s="44">
        <v>11585929.029999999</v>
      </c>
      <c r="AH12" s="43">
        <v>11064</v>
      </c>
      <c r="AI12" s="43">
        <v>26677.042857142857</v>
      </c>
      <c r="AJ12" s="43">
        <v>288069765.00999993</v>
      </c>
      <c r="AK12" s="45">
        <v>64794963.459999993</v>
      </c>
    </row>
    <row r="13" spans="1:37" x14ac:dyDescent="0.15">
      <c r="A13" s="63">
        <v>2021</v>
      </c>
      <c r="B13" s="43">
        <v>2774</v>
      </c>
      <c r="C13" s="44">
        <v>34528.466</v>
      </c>
      <c r="D13" s="44">
        <v>99675342.069999993</v>
      </c>
      <c r="E13" s="44">
        <v>20751577.370000001</v>
      </c>
      <c r="F13" s="43">
        <v>2219</v>
      </c>
      <c r="G13" s="44">
        <v>27215.62</v>
      </c>
      <c r="H13" s="44">
        <v>63610982.640000001</v>
      </c>
      <c r="I13" s="44">
        <v>12859812.740000002</v>
      </c>
      <c r="J13" s="43">
        <v>1219</v>
      </c>
      <c r="K13" s="44">
        <v>29994.074999999997</v>
      </c>
      <c r="L13" s="44">
        <v>36738486.420000002</v>
      </c>
      <c r="M13" s="44">
        <v>5613013.4000000004</v>
      </c>
      <c r="N13" s="43"/>
      <c r="O13" s="44"/>
      <c r="P13" s="44"/>
      <c r="Q13" s="44"/>
      <c r="R13" s="43">
        <v>873</v>
      </c>
      <c r="S13" s="44">
        <v>35948.04</v>
      </c>
      <c r="T13" s="44">
        <v>31382638.920000002</v>
      </c>
      <c r="U13" s="44">
        <v>6984785.6999999993</v>
      </c>
      <c r="V13" s="43">
        <v>3645</v>
      </c>
      <c r="W13" s="44">
        <v>34272.131999999998</v>
      </c>
      <c r="X13" s="44">
        <v>128641785.36000001</v>
      </c>
      <c r="Y13" s="44">
        <v>26900903.010000002</v>
      </c>
      <c r="Z13" s="43">
        <v>2704</v>
      </c>
      <c r="AA13" s="44">
        <v>34803.673999999999</v>
      </c>
      <c r="AB13" s="44">
        <v>93969670.789999992</v>
      </c>
      <c r="AC13" s="44">
        <v>15631496.090000002</v>
      </c>
      <c r="AD13" s="43">
        <v>2710</v>
      </c>
      <c r="AE13" s="44">
        <v>37762.688000000002</v>
      </c>
      <c r="AF13" s="44">
        <v>112691287.09</v>
      </c>
      <c r="AG13" s="44">
        <v>19400798.66</v>
      </c>
      <c r="AH13" s="43">
        <v>16144</v>
      </c>
      <c r="AI13" s="43">
        <v>34016.071153846155</v>
      </c>
      <c r="AJ13" s="43">
        <v>566710193.29000008</v>
      </c>
      <c r="AK13" s="45">
        <v>108142386.97000001</v>
      </c>
    </row>
    <row r="14" spans="1:37" x14ac:dyDescent="0.15">
      <c r="A14" s="63">
        <v>2022</v>
      </c>
      <c r="B14" s="43">
        <v>2229</v>
      </c>
      <c r="C14" s="44">
        <v>28105.497500000001</v>
      </c>
      <c r="D14" s="44">
        <v>70269169.840000004</v>
      </c>
      <c r="E14" s="44">
        <v>9862598.8099999987</v>
      </c>
      <c r="F14" s="43">
        <v>163</v>
      </c>
      <c r="G14" s="44">
        <v>16244.54</v>
      </c>
      <c r="H14" s="44">
        <v>2647860.02</v>
      </c>
      <c r="I14" s="44">
        <v>1609566.3199999998</v>
      </c>
      <c r="J14" s="43">
        <v>1676</v>
      </c>
      <c r="K14" s="44">
        <v>41026.816666666673</v>
      </c>
      <c r="L14" s="44">
        <v>73510869.75</v>
      </c>
      <c r="M14" s="44">
        <v>10260299.119999999</v>
      </c>
      <c r="N14" s="43">
        <v>2198</v>
      </c>
      <c r="O14" s="44">
        <v>27082.433333333334</v>
      </c>
      <c r="P14" s="44">
        <v>68649023.019999996</v>
      </c>
      <c r="Q14" s="44">
        <v>13802364.859999998</v>
      </c>
      <c r="R14" s="43">
        <v>984</v>
      </c>
      <c r="S14" s="44">
        <v>20617.493333333332</v>
      </c>
      <c r="T14" s="44">
        <v>20697568.16</v>
      </c>
      <c r="U14" s="44">
        <v>6885390.0899999999</v>
      </c>
      <c r="V14" s="43">
        <v>1269</v>
      </c>
      <c r="W14" s="44">
        <v>24811.814999999999</v>
      </c>
      <c r="X14" s="44">
        <v>33288253.109999999</v>
      </c>
      <c r="Y14" s="44">
        <v>9241308.4199999999</v>
      </c>
      <c r="Z14" s="43">
        <v>3627</v>
      </c>
      <c r="AA14" s="44">
        <v>30416.287142857145</v>
      </c>
      <c r="AB14" s="44">
        <v>114116738.22</v>
      </c>
      <c r="AC14" s="44">
        <v>21238072.57</v>
      </c>
      <c r="AD14" s="43"/>
      <c r="AE14" s="44"/>
      <c r="AF14" s="44"/>
      <c r="AG14" s="44"/>
      <c r="AH14" s="43">
        <v>12146</v>
      </c>
      <c r="AI14" s="43">
        <v>28408.91153846154</v>
      </c>
      <c r="AJ14" s="43">
        <v>383179482.11999995</v>
      </c>
      <c r="AK14" s="45">
        <v>72899600.190000027</v>
      </c>
    </row>
    <row r="15" spans="1:37" x14ac:dyDescent="0.15">
      <c r="A15" s="63">
        <v>2023</v>
      </c>
      <c r="B15" s="43">
        <v>3106</v>
      </c>
      <c r="C15" s="44">
        <v>29606.614000000001</v>
      </c>
      <c r="D15" s="44">
        <v>91997798.280000001</v>
      </c>
      <c r="E15" s="44">
        <v>16939093.07</v>
      </c>
      <c r="F15" s="43">
        <v>540</v>
      </c>
      <c r="G15" s="44">
        <v>40199.839999999997</v>
      </c>
      <c r="H15" s="44">
        <v>21707913.600000001</v>
      </c>
      <c r="I15" s="44">
        <v>4874256</v>
      </c>
      <c r="J15" s="43">
        <v>1295</v>
      </c>
      <c r="K15" s="44">
        <v>34937.976666666662</v>
      </c>
      <c r="L15" s="44">
        <v>47682399.730000004</v>
      </c>
      <c r="M15" s="44">
        <v>8476503.6999999993</v>
      </c>
      <c r="N15" s="43">
        <v>699</v>
      </c>
      <c r="O15" s="44">
        <v>26065.73</v>
      </c>
      <c r="P15" s="44">
        <v>18219945.27</v>
      </c>
      <c r="Q15" s="44">
        <v>5506449.3899999997</v>
      </c>
      <c r="R15" s="43">
        <v>2435</v>
      </c>
      <c r="S15" s="44">
        <v>26588.788</v>
      </c>
      <c r="T15" s="44">
        <v>61562220.449999988</v>
      </c>
      <c r="U15" s="44">
        <v>16046585.119999999</v>
      </c>
      <c r="V15" s="43">
        <v>1639</v>
      </c>
      <c r="W15" s="44">
        <v>30354.41</v>
      </c>
      <c r="X15" s="44">
        <v>50419625.600000001</v>
      </c>
      <c r="Y15" s="44">
        <v>9907960.1400000006</v>
      </c>
      <c r="Z15" s="43">
        <v>131</v>
      </c>
      <c r="AA15" s="44">
        <v>33882.160000000003</v>
      </c>
      <c r="AB15" s="44">
        <v>4438562.96</v>
      </c>
      <c r="AC15" s="44">
        <v>747859.35000000009</v>
      </c>
      <c r="AD15" s="43">
        <v>2651</v>
      </c>
      <c r="AE15" s="44">
        <v>28978.249999999996</v>
      </c>
      <c r="AF15" s="44">
        <v>71718668.760000005</v>
      </c>
      <c r="AG15" s="44">
        <v>17348724.560000002</v>
      </c>
      <c r="AH15" s="43">
        <v>12496</v>
      </c>
      <c r="AI15" s="43">
        <v>29979.809600000001</v>
      </c>
      <c r="AJ15" s="43">
        <v>367747134.65000004</v>
      </c>
      <c r="AK15" s="45">
        <v>79847431.329999998</v>
      </c>
    </row>
    <row r="16" spans="1:37" ht="14" x14ac:dyDescent="0.15">
      <c r="A16" s="76" t="s">
        <v>26</v>
      </c>
      <c r="B16" s="77">
        <v>6803</v>
      </c>
      <c r="C16" s="78">
        <v>27749.165625000001</v>
      </c>
      <c r="D16" s="78">
        <v>187473238.19999996</v>
      </c>
      <c r="E16" s="78">
        <v>44947543.719999991</v>
      </c>
      <c r="F16" s="77">
        <v>8933</v>
      </c>
      <c r="G16" s="78">
        <v>26779.332105263158</v>
      </c>
      <c r="H16" s="78">
        <v>263406633.81</v>
      </c>
      <c r="I16" s="78">
        <v>62650575.07</v>
      </c>
      <c r="J16" s="77">
        <v>8618</v>
      </c>
      <c r="K16" s="78">
        <v>30853.190769230772</v>
      </c>
      <c r="L16" s="78">
        <v>268289708.97999993</v>
      </c>
      <c r="M16" s="78">
        <v>44545057.329999998</v>
      </c>
      <c r="N16" s="77">
        <v>6287</v>
      </c>
      <c r="O16" s="78">
        <v>35417.527999999998</v>
      </c>
      <c r="P16" s="78">
        <v>228210299.72</v>
      </c>
      <c r="Q16" s="78">
        <v>33455904.48</v>
      </c>
      <c r="R16" s="77">
        <v>9117</v>
      </c>
      <c r="S16" s="78">
        <v>23335.782222222231</v>
      </c>
      <c r="T16" s="78">
        <v>210309043.81</v>
      </c>
      <c r="U16" s="78">
        <v>53316464.120000012</v>
      </c>
      <c r="V16" s="77">
        <v>6952</v>
      </c>
      <c r="W16" s="78">
        <v>32864.461428571427</v>
      </c>
      <c r="X16" s="78">
        <v>221970574.80999997</v>
      </c>
      <c r="Y16" s="78">
        <v>48193132.949999996</v>
      </c>
      <c r="Z16" s="77">
        <v>7869</v>
      </c>
      <c r="AA16" s="78">
        <v>34205.906153846154</v>
      </c>
      <c r="AB16" s="78">
        <v>275974031.54999995</v>
      </c>
      <c r="AC16" s="78">
        <v>45874996.200000003</v>
      </c>
      <c r="AD16" s="77">
        <v>5370</v>
      </c>
      <c r="AE16" s="78">
        <v>33179.8825</v>
      </c>
      <c r="AF16" s="78">
        <v>175612561.96000001</v>
      </c>
      <c r="AG16" s="78">
        <v>35851165.140000001</v>
      </c>
      <c r="AH16" s="77">
        <v>59949</v>
      </c>
      <c r="AI16" s="77">
        <v>29714.622522522521</v>
      </c>
      <c r="AJ16" s="77">
        <v>1831246092.8399997</v>
      </c>
      <c r="AK16" s="91">
        <v>368834839.00999999</v>
      </c>
    </row>
    <row r="17" spans="1:37" x14ac:dyDescent="0.15">
      <c r="A17" s="63">
        <v>2020</v>
      </c>
      <c r="B17" s="43">
        <v>2357</v>
      </c>
      <c r="C17" s="44">
        <v>24886.362500000003</v>
      </c>
      <c r="D17" s="44">
        <v>68742504.889999986</v>
      </c>
      <c r="E17" s="44">
        <v>17702611.43</v>
      </c>
      <c r="F17" s="43">
        <v>1966</v>
      </c>
      <c r="G17" s="44">
        <v>19928.82</v>
      </c>
      <c r="H17" s="44">
        <v>45224837.519999996</v>
      </c>
      <c r="I17" s="44">
        <v>16453925.470000001</v>
      </c>
      <c r="J17" s="43">
        <v>3905</v>
      </c>
      <c r="K17" s="44">
        <v>30175.191666666669</v>
      </c>
      <c r="L17" s="44">
        <v>118079365.29999998</v>
      </c>
      <c r="M17" s="44">
        <v>17792845.560000002</v>
      </c>
      <c r="N17" s="43">
        <v>1172</v>
      </c>
      <c r="O17" s="44">
        <v>43051.06</v>
      </c>
      <c r="P17" s="44">
        <v>50177377.32</v>
      </c>
      <c r="Q17" s="44">
        <v>10220551.85</v>
      </c>
      <c r="R17" s="43">
        <v>1302</v>
      </c>
      <c r="S17" s="44">
        <v>20151.893333333333</v>
      </c>
      <c r="T17" s="44">
        <v>24538368.469999999</v>
      </c>
      <c r="U17" s="44">
        <v>6820151.4800000004</v>
      </c>
      <c r="V17" s="43">
        <v>1990</v>
      </c>
      <c r="W17" s="44">
        <v>32156.42</v>
      </c>
      <c r="X17" s="44">
        <v>59026343.219999999</v>
      </c>
      <c r="Y17" s="44">
        <v>12232919.739999998</v>
      </c>
      <c r="Z17" s="43">
        <v>1650</v>
      </c>
      <c r="AA17" s="44">
        <v>44408.83</v>
      </c>
      <c r="AB17" s="44">
        <v>72809138.320000008</v>
      </c>
      <c r="AC17" s="44">
        <v>8562547</v>
      </c>
      <c r="AD17" s="43">
        <v>2348</v>
      </c>
      <c r="AE17" s="44">
        <v>31253.82</v>
      </c>
      <c r="AF17" s="44">
        <v>68710101.390000001</v>
      </c>
      <c r="AG17" s="44">
        <v>15933871.77</v>
      </c>
      <c r="AH17" s="43">
        <v>16690</v>
      </c>
      <c r="AI17" s="43">
        <v>29287.182758620693</v>
      </c>
      <c r="AJ17" s="43">
        <v>507308036.42999989</v>
      </c>
      <c r="AK17" s="45">
        <v>105719424.3</v>
      </c>
    </row>
    <row r="18" spans="1:37" x14ac:dyDescent="0.15">
      <c r="A18" s="63">
        <v>2021</v>
      </c>
      <c r="B18" s="43">
        <v>1613</v>
      </c>
      <c r="C18" s="44">
        <v>25104.865000000002</v>
      </c>
      <c r="D18" s="44">
        <v>27954304.420000002</v>
      </c>
      <c r="E18" s="44">
        <v>11621741.35</v>
      </c>
      <c r="F18" s="43">
        <v>2113</v>
      </c>
      <c r="G18" s="44">
        <v>30507.759999999998</v>
      </c>
      <c r="H18" s="44">
        <v>69843420</v>
      </c>
      <c r="I18" s="44">
        <v>15456885.51</v>
      </c>
      <c r="J18" s="43">
        <v>1388</v>
      </c>
      <c r="K18" s="44">
        <v>30165.1</v>
      </c>
      <c r="L18" s="44">
        <v>37633766.759999998</v>
      </c>
      <c r="M18" s="44">
        <v>10843274.199999999</v>
      </c>
      <c r="N18" s="43">
        <v>1740</v>
      </c>
      <c r="O18" s="44">
        <v>30290.690000000002</v>
      </c>
      <c r="P18" s="44">
        <v>52166820</v>
      </c>
      <c r="Q18" s="44">
        <v>5288449.5999999996</v>
      </c>
      <c r="R18" s="43">
        <v>2125</v>
      </c>
      <c r="S18" s="44">
        <v>21071.122499999998</v>
      </c>
      <c r="T18" s="44">
        <v>42681316.329999998</v>
      </c>
      <c r="U18" s="44">
        <v>13635430.440000001</v>
      </c>
      <c r="V18" s="43">
        <v>2605</v>
      </c>
      <c r="W18" s="44">
        <v>29819.64</v>
      </c>
      <c r="X18" s="44">
        <v>77394737.479999989</v>
      </c>
      <c r="Y18" s="44">
        <v>15873708.07</v>
      </c>
      <c r="Z18" s="43">
        <v>2860</v>
      </c>
      <c r="AA18" s="44">
        <v>35250.075999999994</v>
      </c>
      <c r="AB18" s="44">
        <v>99845592.560000002</v>
      </c>
      <c r="AC18" s="44">
        <v>18910839.510000002</v>
      </c>
      <c r="AD18" s="43">
        <v>810</v>
      </c>
      <c r="AE18" s="44">
        <v>29162.35</v>
      </c>
      <c r="AF18" s="44">
        <v>23621503.5</v>
      </c>
      <c r="AG18" s="44">
        <v>7035117.2999999998</v>
      </c>
      <c r="AH18" s="43">
        <v>15254</v>
      </c>
      <c r="AI18" s="43">
        <v>28994.282222222217</v>
      </c>
      <c r="AJ18" s="43">
        <v>431141461.04999995</v>
      </c>
      <c r="AK18" s="45">
        <v>98665445.979999989</v>
      </c>
    </row>
    <row r="19" spans="1:37" x14ac:dyDescent="0.15">
      <c r="A19" s="63">
        <v>2022</v>
      </c>
      <c r="B19" s="43">
        <v>1800</v>
      </c>
      <c r="C19" s="44">
        <v>30270.695</v>
      </c>
      <c r="D19" s="44">
        <v>57047746.099999994</v>
      </c>
      <c r="E19" s="44">
        <v>8343413.4500000002</v>
      </c>
      <c r="F19" s="43">
        <v>1667</v>
      </c>
      <c r="G19" s="44">
        <v>26783.22</v>
      </c>
      <c r="H19" s="44">
        <v>48293104.440000005</v>
      </c>
      <c r="I19" s="44">
        <v>10006573.670000002</v>
      </c>
      <c r="J19" s="43"/>
      <c r="K19" s="44"/>
      <c r="L19" s="44"/>
      <c r="M19" s="44"/>
      <c r="N19" s="43">
        <v>1611</v>
      </c>
      <c r="O19" s="44">
        <v>33159.866666666669</v>
      </c>
      <c r="P19" s="44">
        <v>56561918.780000001</v>
      </c>
      <c r="Q19" s="44">
        <v>8114452.8100000005</v>
      </c>
      <c r="R19" s="43">
        <v>2191</v>
      </c>
      <c r="S19" s="44">
        <v>21591.77</v>
      </c>
      <c r="T19" s="44">
        <v>48944923.480000004</v>
      </c>
      <c r="U19" s="44">
        <v>11602451.810000001</v>
      </c>
      <c r="V19" s="43">
        <v>896</v>
      </c>
      <c r="W19" s="44">
        <v>31565.264999999999</v>
      </c>
      <c r="X19" s="44">
        <v>35159478.090000004</v>
      </c>
      <c r="Y19" s="44">
        <v>6905926.8600000003</v>
      </c>
      <c r="Z19" s="43">
        <v>1659</v>
      </c>
      <c r="AA19" s="44">
        <v>23688.203333333335</v>
      </c>
      <c r="AB19" s="44">
        <v>42374320.469999999</v>
      </c>
      <c r="AC19" s="44">
        <v>11217108.49</v>
      </c>
      <c r="AD19" s="43">
        <v>1353</v>
      </c>
      <c r="AE19" s="44">
        <v>33704.910000000003</v>
      </c>
      <c r="AF19" s="44">
        <v>45612424.079999998</v>
      </c>
      <c r="AG19" s="44">
        <v>7041594.5499999989</v>
      </c>
      <c r="AH19" s="43">
        <v>11177</v>
      </c>
      <c r="AI19" s="43">
        <v>27932.631304347819</v>
      </c>
      <c r="AJ19" s="43">
        <v>333993915.44</v>
      </c>
      <c r="AK19" s="45">
        <v>63231521.640000001</v>
      </c>
    </row>
    <row r="20" spans="1:37" x14ac:dyDescent="0.15">
      <c r="A20" s="63">
        <v>2023</v>
      </c>
      <c r="B20" s="43">
        <v>1033</v>
      </c>
      <c r="C20" s="44">
        <v>30734.74</v>
      </c>
      <c r="D20" s="44">
        <v>33728682.789999999</v>
      </c>
      <c r="E20" s="44">
        <v>7279777.4900000002</v>
      </c>
      <c r="F20" s="43">
        <v>3187</v>
      </c>
      <c r="G20" s="44">
        <v>28527.425999999999</v>
      </c>
      <c r="H20" s="44">
        <v>100045271.84999999</v>
      </c>
      <c r="I20" s="44">
        <v>20733190.420000002</v>
      </c>
      <c r="J20" s="43">
        <v>3325</v>
      </c>
      <c r="K20" s="44">
        <v>31942.025999999994</v>
      </c>
      <c r="L20" s="44">
        <v>112576576.92000002</v>
      </c>
      <c r="M20" s="44">
        <v>15908937.57</v>
      </c>
      <c r="N20" s="43">
        <v>1764</v>
      </c>
      <c r="O20" s="44">
        <v>36004.06</v>
      </c>
      <c r="P20" s="44">
        <v>69304183.61999999</v>
      </c>
      <c r="Q20" s="44">
        <v>9832450.2199999988</v>
      </c>
      <c r="R20" s="43">
        <v>3499</v>
      </c>
      <c r="S20" s="44">
        <v>26990.975714285712</v>
      </c>
      <c r="T20" s="44">
        <v>94144435.530000001</v>
      </c>
      <c r="U20" s="44">
        <v>21258430.390000001</v>
      </c>
      <c r="V20" s="43">
        <v>1461</v>
      </c>
      <c r="W20" s="44">
        <v>37266.922500000001</v>
      </c>
      <c r="X20" s="44">
        <v>50390016.019999996</v>
      </c>
      <c r="Y20" s="44">
        <v>13180578.280000001</v>
      </c>
      <c r="Z20" s="43">
        <v>1700</v>
      </c>
      <c r="AA20" s="44">
        <v>36181.376666666671</v>
      </c>
      <c r="AB20" s="44">
        <v>60944980.200000003</v>
      </c>
      <c r="AC20" s="44">
        <v>7184501.2000000002</v>
      </c>
      <c r="AD20" s="43">
        <v>859</v>
      </c>
      <c r="AE20" s="44">
        <v>43851.61</v>
      </c>
      <c r="AF20" s="44">
        <v>37668532.990000002</v>
      </c>
      <c r="AG20" s="44">
        <v>5840581.5199999996</v>
      </c>
      <c r="AH20" s="43">
        <v>16828</v>
      </c>
      <c r="AI20" s="43">
        <v>31990.583125000005</v>
      </c>
      <c r="AJ20" s="43">
        <v>558802679.91999996</v>
      </c>
      <c r="AK20" s="45">
        <v>101218447.09000002</v>
      </c>
    </row>
    <row r="21" spans="1:37" ht="14" x14ac:dyDescent="0.15">
      <c r="A21" s="76" t="s">
        <v>68</v>
      </c>
      <c r="B21" s="77">
        <v>12008</v>
      </c>
      <c r="C21" s="78">
        <v>29342.741428571426</v>
      </c>
      <c r="D21" s="78">
        <v>345016548.11999995</v>
      </c>
      <c r="E21" s="78">
        <v>67378088.049999997</v>
      </c>
      <c r="F21" s="77">
        <v>6238</v>
      </c>
      <c r="G21" s="78">
        <v>26536.43307692308</v>
      </c>
      <c r="H21" s="78">
        <v>167322939.02000001</v>
      </c>
      <c r="I21" s="78">
        <v>44944553.730000004</v>
      </c>
      <c r="J21" s="77">
        <v>11220</v>
      </c>
      <c r="K21" s="78">
        <v>35048.953888888886</v>
      </c>
      <c r="L21" s="78">
        <v>397164699.23000002</v>
      </c>
      <c r="M21" s="78">
        <v>75552737.450000003</v>
      </c>
      <c r="N21" s="77">
        <v>2315</v>
      </c>
      <c r="O21" s="78">
        <v>30377.022499999999</v>
      </c>
      <c r="P21" s="78">
        <v>69751171.24000001</v>
      </c>
      <c r="Q21" s="78">
        <v>14674140.91</v>
      </c>
      <c r="R21" s="77">
        <v>7838</v>
      </c>
      <c r="S21" s="78">
        <v>32216.328461538458</v>
      </c>
      <c r="T21" s="78">
        <v>255965965.06999999</v>
      </c>
      <c r="U21" s="78">
        <v>45281915.980000004</v>
      </c>
      <c r="V21" s="77">
        <v>6766</v>
      </c>
      <c r="W21" s="78">
        <v>35430.07666666666</v>
      </c>
      <c r="X21" s="78">
        <v>237140029.56</v>
      </c>
      <c r="Y21" s="78">
        <v>44308700.160000004</v>
      </c>
      <c r="Z21" s="77">
        <v>3278</v>
      </c>
      <c r="AA21" s="78">
        <v>25658.387777777782</v>
      </c>
      <c r="AB21" s="78">
        <v>92864742.390000001</v>
      </c>
      <c r="AC21" s="78">
        <v>15567143.630000001</v>
      </c>
      <c r="AD21" s="77">
        <v>7334</v>
      </c>
      <c r="AE21" s="78">
        <v>28413.164999999997</v>
      </c>
      <c r="AF21" s="78">
        <v>240637568.16999999</v>
      </c>
      <c r="AG21" s="78">
        <v>43431831.220000006</v>
      </c>
      <c r="AH21" s="77">
        <v>56997</v>
      </c>
      <c r="AI21" s="77">
        <v>30816.260476190473</v>
      </c>
      <c r="AJ21" s="77">
        <v>1805863662.8000002</v>
      </c>
      <c r="AK21" s="91">
        <v>351139111.13000011</v>
      </c>
    </row>
    <row r="22" spans="1:37" x14ac:dyDescent="0.15">
      <c r="A22" s="63">
        <v>2020</v>
      </c>
      <c r="B22" s="43">
        <v>3177</v>
      </c>
      <c r="C22" s="44">
        <v>28323.227142857144</v>
      </c>
      <c r="D22" s="44">
        <v>87396764.010000005</v>
      </c>
      <c r="E22" s="44">
        <v>20016146.169999998</v>
      </c>
      <c r="F22" s="43">
        <v>1897</v>
      </c>
      <c r="G22" s="44">
        <v>26557.810000000005</v>
      </c>
      <c r="H22" s="44">
        <v>47793753.140000001</v>
      </c>
      <c r="I22" s="44">
        <v>14493565.76</v>
      </c>
      <c r="J22" s="43">
        <v>181</v>
      </c>
      <c r="K22" s="44">
        <v>42649.85</v>
      </c>
      <c r="L22" s="44">
        <v>7719622.8499999996</v>
      </c>
      <c r="M22" s="44">
        <v>829074.12000000011</v>
      </c>
      <c r="N22" s="43"/>
      <c r="O22" s="44"/>
      <c r="P22" s="44"/>
      <c r="Q22" s="44"/>
      <c r="R22" s="43">
        <v>2945</v>
      </c>
      <c r="S22" s="44">
        <v>28497.247499999998</v>
      </c>
      <c r="T22" s="44">
        <v>90879229.75999999</v>
      </c>
      <c r="U22" s="44">
        <v>18635489.73</v>
      </c>
      <c r="V22" s="43">
        <v>1887</v>
      </c>
      <c r="W22" s="44">
        <v>30732.010000000002</v>
      </c>
      <c r="X22" s="44">
        <v>59378264.170000002</v>
      </c>
      <c r="Y22" s="44">
        <v>16506100.219999999</v>
      </c>
      <c r="Z22" s="43">
        <v>534</v>
      </c>
      <c r="AA22" s="44">
        <v>17031.845000000001</v>
      </c>
      <c r="AB22" s="44">
        <v>10819106.850000001</v>
      </c>
      <c r="AC22" s="44">
        <v>2885076.2800000003</v>
      </c>
      <c r="AD22" s="43">
        <v>2832</v>
      </c>
      <c r="AE22" s="44">
        <v>30167.344000000001</v>
      </c>
      <c r="AF22" s="44">
        <v>97152394.159999996</v>
      </c>
      <c r="AG22" s="44">
        <v>13914911.960000001</v>
      </c>
      <c r="AH22" s="43">
        <v>13453</v>
      </c>
      <c r="AI22" s="43">
        <v>28411.390357142864</v>
      </c>
      <c r="AJ22" s="43">
        <v>401139134.93999994</v>
      </c>
      <c r="AK22" s="45">
        <v>87280364.239999995</v>
      </c>
    </row>
    <row r="23" spans="1:37" x14ac:dyDescent="0.15">
      <c r="A23" s="63">
        <v>2021</v>
      </c>
      <c r="B23" s="43">
        <v>4278</v>
      </c>
      <c r="C23" s="44">
        <v>30810.565714285716</v>
      </c>
      <c r="D23" s="44">
        <v>138343352.59</v>
      </c>
      <c r="E23" s="44">
        <v>26493034.860000003</v>
      </c>
      <c r="F23" s="43">
        <v>1305</v>
      </c>
      <c r="G23" s="44">
        <v>38304.449999999997</v>
      </c>
      <c r="H23" s="44">
        <v>49914597.289999999</v>
      </c>
      <c r="I23" s="44">
        <v>9350846.4199999999</v>
      </c>
      <c r="J23" s="43">
        <v>3997</v>
      </c>
      <c r="K23" s="44">
        <v>35028.108571428573</v>
      </c>
      <c r="L23" s="44">
        <v>151620954.56999999</v>
      </c>
      <c r="M23" s="44">
        <v>25462931.870000001</v>
      </c>
      <c r="N23" s="43">
        <v>1077</v>
      </c>
      <c r="O23" s="44">
        <v>34577.199999999997</v>
      </c>
      <c r="P23" s="44">
        <v>32496927.850000001</v>
      </c>
      <c r="Q23" s="44">
        <v>6979969.1200000001</v>
      </c>
      <c r="R23" s="43">
        <v>2074</v>
      </c>
      <c r="S23" s="44">
        <v>33723.300000000003</v>
      </c>
      <c r="T23" s="44">
        <v>68493182.960000008</v>
      </c>
      <c r="U23" s="44">
        <v>12975890.6</v>
      </c>
      <c r="V23" s="43">
        <v>1271</v>
      </c>
      <c r="W23" s="44">
        <v>42127.543333333335</v>
      </c>
      <c r="X23" s="44">
        <v>54938046.519999996</v>
      </c>
      <c r="Y23" s="44">
        <v>8475234.0099999998</v>
      </c>
      <c r="Z23" s="43">
        <v>1708</v>
      </c>
      <c r="AA23" s="44">
        <v>28269.430000000004</v>
      </c>
      <c r="AB23" s="44">
        <v>48948390.630000003</v>
      </c>
      <c r="AC23" s="44">
        <v>9207592.9400000013</v>
      </c>
      <c r="AD23" s="43">
        <v>1148</v>
      </c>
      <c r="AE23" s="44">
        <v>21694.01</v>
      </c>
      <c r="AF23" s="44">
        <v>28427817.16</v>
      </c>
      <c r="AG23" s="44">
        <v>9795728.7000000011</v>
      </c>
      <c r="AH23" s="43">
        <v>16858</v>
      </c>
      <c r="AI23" s="43">
        <v>32895.156875000001</v>
      </c>
      <c r="AJ23" s="43">
        <v>573183269.56999993</v>
      </c>
      <c r="AK23" s="45">
        <v>108741228.52000003</v>
      </c>
    </row>
    <row r="24" spans="1:37" x14ac:dyDescent="0.15">
      <c r="A24" s="63">
        <v>2022</v>
      </c>
      <c r="B24" s="43">
        <v>3536</v>
      </c>
      <c r="C24" s="44">
        <v>25451.376</v>
      </c>
      <c r="D24" s="44">
        <v>83353960.950000003</v>
      </c>
      <c r="E24" s="44">
        <v>13673078.34</v>
      </c>
      <c r="F24" s="43">
        <v>2052</v>
      </c>
      <c r="G24" s="44">
        <v>24357.625</v>
      </c>
      <c r="H24" s="44">
        <v>53166654.350000001</v>
      </c>
      <c r="I24" s="44">
        <v>12441311.550000001</v>
      </c>
      <c r="J24" s="43">
        <v>4258</v>
      </c>
      <c r="K24" s="44">
        <v>33094.934999999998</v>
      </c>
      <c r="L24" s="44">
        <v>134006282.28999999</v>
      </c>
      <c r="M24" s="44">
        <v>26683025.830000002</v>
      </c>
      <c r="N24" s="43"/>
      <c r="O24" s="44"/>
      <c r="P24" s="44"/>
      <c r="Q24" s="44"/>
      <c r="R24" s="43">
        <v>1424</v>
      </c>
      <c r="S24" s="44">
        <v>35763.599999999999</v>
      </c>
      <c r="T24" s="44">
        <v>52753396.219999999</v>
      </c>
      <c r="U24" s="44">
        <v>8535084.2000000011</v>
      </c>
      <c r="V24" s="43">
        <v>1310</v>
      </c>
      <c r="W24" s="44">
        <v>28816.006666666664</v>
      </c>
      <c r="X24" s="44">
        <v>35183848.359999999</v>
      </c>
      <c r="Y24" s="44">
        <v>12071987.279999999</v>
      </c>
      <c r="Z24" s="43">
        <v>1036</v>
      </c>
      <c r="AA24" s="44">
        <v>27757.324999999997</v>
      </c>
      <c r="AB24" s="44">
        <v>33097244.91</v>
      </c>
      <c r="AC24" s="44">
        <v>3474474.41</v>
      </c>
      <c r="AD24" s="43">
        <v>2430</v>
      </c>
      <c r="AE24" s="44">
        <v>26546.684999999998</v>
      </c>
      <c r="AF24" s="44">
        <v>77592390.849999994</v>
      </c>
      <c r="AG24" s="44">
        <v>13831392.800000001</v>
      </c>
      <c r="AH24" s="43">
        <v>16046</v>
      </c>
      <c r="AI24" s="43">
        <v>28840.637037037031</v>
      </c>
      <c r="AJ24" s="43">
        <v>469153777.93000007</v>
      </c>
      <c r="AK24" s="45">
        <v>90710354.410000026</v>
      </c>
    </row>
    <row r="25" spans="1:37" x14ac:dyDescent="0.15">
      <c r="A25" s="63">
        <v>2023</v>
      </c>
      <c r="B25" s="43">
        <v>1017</v>
      </c>
      <c r="C25" s="44">
        <v>37502.07</v>
      </c>
      <c r="D25" s="44">
        <v>35922470.57</v>
      </c>
      <c r="E25" s="44">
        <v>7195828.6800000006</v>
      </c>
      <c r="F25" s="43">
        <v>984</v>
      </c>
      <c r="G25" s="44">
        <v>19072.59</v>
      </c>
      <c r="H25" s="44">
        <v>16447934.24</v>
      </c>
      <c r="I25" s="44">
        <v>8658830</v>
      </c>
      <c r="J25" s="43">
        <v>2784</v>
      </c>
      <c r="K25" s="44">
        <v>36116.237500000003</v>
      </c>
      <c r="L25" s="44">
        <v>103817839.52000001</v>
      </c>
      <c r="M25" s="44">
        <v>22577705.629999999</v>
      </c>
      <c r="N25" s="43">
        <v>1238</v>
      </c>
      <c r="O25" s="44">
        <v>26176.844999999998</v>
      </c>
      <c r="P25" s="44">
        <v>37254243.390000001</v>
      </c>
      <c r="Q25" s="44">
        <v>7694171.79</v>
      </c>
      <c r="R25" s="43">
        <v>1395</v>
      </c>
      <c r="S25" s="44">
        <v>31319.64</v>
      </c>
      <c r="T25" s="44">
        <v>43840156.130000003</v>
      </c>
      <c r="U25" s="44">
        <v>5135451.45</v>
      </c>
      <c r="V25" s="43">
        <v>2298</v>
      </c>
      <c r="W25" s="44">
        <v>39138.491999999998</v>
      </c>
      <c r="X25" s="44">
        <v>87639870.50999999</v>
      </c>
      <c r="Y25" s="44">
        <v>7255378.6499999994</v>
      </c>
      <c r="Z25" s="43"/>
      <c r="AA25" s="44"/>
      <c r="AB25" s="44"/>
      <c r="AC25" s="44"/>
      <c r="AD25" s="43">
        <v>924</v>
      </c>
      <c r="AE25" s="44">
        <v>40546.5</v>
      </c>
      <c r="AF25" s="44">
        <v>37464966</v>
      </c>
      <c r="AG25" s="44">
        <v>5889797.7599999998</v>
      </c>
      <c r="AH25" s="43">
        <v>10640</v>
      </c>
      <c r="AI25" s="43">
        <v>33824.788888888885</v>
      </c>
      <c r="AJ25" s="43">
        <v>362387480.36000007</v>
      </c>
      <c r="AK25" s="45">
        <v>64407163.960000008</v>
      </c>
    </row>
    <row r="26" spans="1:37" ht="14" x14ac:dyDescent="0.15">
      <c r="A26" s="76" t="s">
        <v>114</v>
      </c>
      <c r="B26" s="77">
        <v>3988</v>
      </c>
      <c r="C26" s="78">
        <v>28067.57</v>
      </c>
      <c r="D26" s="78">
        <v>118217182.22999999</v>
      </c>
      <c r="E26" s="78">
        <v>17457113.840000004</v>
      </c>
      <c r="F26" s="77">
        <v>12251</v>
      </c>
      <c r="G26" s="78">
        <v>23574.78</v>
      </c>
      <c r="H26" s="78">
        <v>292253334.35999995</v>
      </c>
      <c r="I26" s="78">
        <v>81250550.830000013</v>
      </c>
      <c r="J26" s="77">
        <v>7423</v>
      </c>
      <c r="K26" s="78">
        <v>24321.105384615385</v>
      </c>
      <c r="L26" s="78">
        <v>158898529.06</v>
      </c>
      <c r="M26" s="78">
        <v>44894917.560000002</v>
      </c>
      <c r="N26" s="77">
        <v>4458</v>
      </c>
      <c r="O26" s="78">
        <v>36599.612500000003</v>
      </c>
      <c r="P26" s="78">
        <v>165524752.15000001</v>
      </c>
      <c r="Q26" s="78">
        <v>25723446.470000003</v>
      </c>
      <c r="R26" s="77">
        <v>4450</v>
      </c>
      <c r="S26" s="78">
        <v>32669.091111111113</v>
      </c>
      <c r="T26" s="78">
        <v>150770363.01999998</v>
      </c>
      <c r="U26" s="78">
        <v>26127251.039999995</v>
      </c>
      <c r="V26" s="77">
        <v>6201</v>
      </c>
      <c r="W26" s="78">
        <v>30863.457272727264</v>
      </c>
      <c r="X26" s="78">
        <v>193622553</v>
      </c>
      <c r="Y26" s="78">
        <v>38278706.520000003</v>
      </c>
      <c r="Z26" s="77">
        <v>6524</v>
      </c>
      <c r="AA26" s="78">
        <v>36511.776923076926</v>
      </c>
      <c r="AB26" s="78">
        <v>242619589.84999999</v>
      </c>
      <c r="AC26" s="78">
        <v>33589975.439999998</v>
      </c>
      <c r="AD26" s="77">
        <v>3042</v>
      </c>
      <c r="AE26" s="78">
        <v>27919.656666666666</v>
      </c>
      <c r="AF26" s="78">
        <v>74434663.969999999</v>
      </c>
      <c r="AG26" s="78">
        <v>23501042.859999999</v>
      </c>
      <c r="AH26" s="77">
        <v>48337</v>
      </c>
      <c r="AI26" s="77">
        <v>29340.583333333339</v>
      </c>
      <c r="AJ26" s="77">
        <v>1396340967.6400003</v>
      </c>
      <c r="AK26" s="91">
        <v>290823004.56</v>
      </c>
    </row>
    <row r="27" spans="1:37" x14ac:dyDescent="0.15">
      <c r="A27" s="63">
        <v>2020</v>
      </c>
      <c r="B27" s="43">
        <v>825</v>
      </c>
      <c r="C27" s="44">
        <v>40168.050000000003</v>
      </c>
      <c r="D27" s="44">
        <v>33138641.25</v>
      </c>
      <c r="E27" s="44">
        <v>3579031.5</v>
      </c>
      <c r="F27" s="43">
        <v>2441</v>
      </c>
      <c r="G27" s="44">
        <v>19843.957499999997</v>
      </c>
      <c r="H27" s="44">
        <v>50398518.510000005</v>
      </c>
      <c r="I27" s="44">
        <v>18417126.609999999</v>
      </c>
      <c r="J27" s="43">
        <v>1093</v>
      </c>
      <c r="K27" s="44">
        <v>17247.845000000001</v>
      </c>
      <c r="L27" s="44">
        <v>17813387.960000001</v>
      </c>
      <c r="M27" s="44">
        <v>4540970.38</v>
      </c>
      <c r="N27" s="43"/>
      <c r="O27" s="44"/>
      <c r="P27" s="44"/>
      <c r="Q27" s="44"/>
      <c r="R27" s="43">
        <v>246</v>
      </c>
      <c r="S27" s="44">
        <v>28229.09</v>
      </c>
      <c r="T27" s="44">
        <v>6944356.1399999997</v>
      </c>
      <c r="U27" s="44">
        <v>621828.96000000008</v>
      </c>
      <c r="V27" s="43">
        <v>1474</v>
      </c>
      <c r="W27" s="44">
        <v>32046.01</v>
      </c>
      <c r="X27" s="44">
        <v>41141926.810000002</v>
      </c>
      <c r="Y27" s="44">
        <v>9885162.8699999992</v>
      </c>
      <c r="Z27" s="43">
        <v>2660</v>
      </c>
      <c r="AA27" s="44">
        <v>38891.783333333333</v>
      </c>
      <c r="AB27" s="44">
        <v>107071214.62</v>
      </c>
      <c r="AC27" s="44">
        <v>13843158.060000001</v>
      </c>
      <c r="AD27" s="43">
        <v>545</v>
      </c>
      <c r="AE27" s="44">
        <v>36328.03</v>
      </c>
      <c r="AF27" s="44">
        <v>19798776.350000001</v>
      </c>
      <c r="AG27" s="44">
        <v>5403647.75</v>
      </c>
      <c r="AH27" s="43">
        <v>9284</v>
      </c>
      <c r="AI27" s="43">
        <v>30449.189999999995</v>
      </c>
      <c r="AJ27" s="43">
        <v>276306821.64000005</v>
      </c>
      <c r="AK27" s="45">
        <v>56290926.129999995</v>
      </c>
    </row>
    <row r="28" spans="1:37" x14ac:dyDescent="0.15">
      <c r="A28" s="63">
        <v>2021</v>
      </c>
      <c r="B28" s="43">
        <v>496</v>
      </c>
      <c r="C28" s="44">
        <v>16337.54</v>
      </c>
      <c r="D28" s="44">
        <v>8103419.8399999999</v>
      </c>
      <c r="E28" s="44">
        <v>3657662.7199999997</v>
      </c>
      <c r="F28" s="43">
        <v>2681</v>
      </c>
      <c r="G28" s="44">
        <v>30438.4925</v>
      </c>
      <c r="H28" s="44">
        <v>75888781.289999992</v>
      </c>
      <c r="I28" s="44">
        <v>14428220.560000001</v>
      </c>
      <c r="J28" s="43">
        <v>1305</v>
      </c>
      <c r="K28" s="44">
        <v>26696.495000000003</v>
      </c>
      <c r="L28" s="44">
        <v>35354519.009999998</v>
      </c>
      <c r="M28" s="44">
        <v>8635880.3100000005</v>
      </c>
      <c r="N28" s="43">
        <v>2269</v>
      </c>
      <c r="O28" s="44">
        <v>38539.47</v>
      </c>
      <c r="P28" s="44">
        <v>86337271.530000001</v>
      </c>
      <c r="Q28" s="44">
        <v>11896716.329999998</v>
      </c>
      <c r="R28" s="43">
        <v>2458</v>
      </c>
      <c r="S28" s="44">
        <v>36502.932500000003</v>
      </c>
      <c r="T28" s="44">
        <v>89105103.799999997</v>
      </c>
      <c r="U28" s="44">
        <v>14298691.509999998</v>
      </c>
      <c r="V28" s="43">
        <v>2586</v>
      </c>
      <c r="W28" s="44">
        <v>33023.776666666665</v>
      </c>
      <c r="X28" s="44">
        <v>81713580.930000007</v>
      </c>
      <c r="Y28" s="44">
        <v>13656401.870000001</v>
      </c>
      <c r="Z28" s="43">
        <v>1955</v>
      </c>
      <c r="AA28" s="44">
        <v>29614.579999999998</v>
      </c>
      <c r="AB28" s="44">
        <v>65082937.819999993</v>
      </c>
      <c r="AC28" s="44">
        <v>11908184.449999999</v>
      </c>
      <c r="AD28" s="43">
        <v>1225</v>
      </c>
      <c r="AE28" s="44">
        <v>23489.205000000002</v>
      </c>
      <c r="AF28" s="44">
        <v>21433884.899999999</v>
      </c>
      <c r="AG28" s="44">
        <v>9040568.5399999991</v>
      </c>
      <c r="AH28" s="43">
        <v>14975</v>
      </c>
      <c r="AI28" s="43">
        <v>31273.096363636363</v>
      </c>
      <c r="AJ28" s="43">
        <v>463019499.12000012</v>
      </c>
      <c r="AK28" s="45">
        <v>87522326.290000007</v>
      </c>
    </row>
    <row r="29" spans="1:37" x14ac:dyDescent="0.15">
      <c r="A29" s="63">
        <v>2022</v>
      </c>
      <c r="B29" s="43">
        <v>1076</v>
      </c>
      <c r="C29" s="44">
        <v>19005.400000000001</v>
      </c>
      <c r="D29" s="44">
        <v>25031738.300000001</v>
      </c>
      <c r="E29" s="44">
        <v>3745828.4200000004</v>
      </c>
      <c r="F29" s="43">
        <v>5135</v>
      </c>
      <c r="G29" s="44">
        <v>22397.95888888889</v>
      </c>
      <c r="H29" s="44">
        <v>119648151.17</v>
      </c>
      <c r="I29" s="44">
        <v>33962380.839999996</v>
      </c>
      <c r="J29" s="43">
        <v>3381</v>
      </c>
      <c r="K29" s="44">
        <v>22209.031999999999</v>
      </c>
      <c r="L29" s="44">
        <v>67816676.210000008</v>
      </c>
      <c r="M29" s="44">
        <v>20980403.850000001</v>
      </c>
      <c r="N29" s="43">
        <v>1483</v>
      </c>
      <c r="O29" s="44">
        <v>29289.173333333329</v>
      </c>
      <c r="P29" s="44">
        <v>47955967.07</v>
      </c>
      <c r="Q29" s="44">
        <v>11524195.700000001</v>
      </c>
      <c r="R29" s="43">
        <v>571</v>
      </c>
      <c r="S29" s="44">
        <v>30747.280000000002</v>
      </c>
      <c r="T29" s="44">
        <v>21069565.190000001</v>
      </c>
      <c r="U29" s="44">
        <v>3131491.36</v>
      </c>
      <c r="V29" s="43">
        <v>1817</v>
      </c>
      <c r="W29" s="44">
        <v>31351.493333333336</v>
      </c>
      <c r="X29" s="44">
        <v>62091633.980000004</v>
      </c>
      <c r="Y29" s="44">
        <v>11931428.620000001</v>
      </c>
      <c r="Z29" s="43">
        <v>1190</v>
      </c>
      <c r="AA29" s="44">
        <v>39384.18</v>
      </c>
      <c r="AB29" s="44">
        <v>46647125.560000002</v>
      </c>
      <c r="AC29" s="44">
        <v>5718413.0199999996</v>
      </c>
      <c r="AD29" s="43">
        <v>1272</v>
      </c>
      <c r="AE29" s="44">
        <v>28070.5</v>
      </c>
      <c r="AF29" s="44">
        <v>33202002.719999999</v>
      </c>
      <c r="AG29" s="44">
        <v>9056826.5700000003</v>
      </c>
      <c r="AH29" s="43">
        <v>15925</v>
      </c>
      <c r="AI29" s="43">
        <v>26104.621034482763</v>
      </c>
      <c r="AJ29" s="43">
        <v>423462860.20000005</v>
      </c>
      <c r="AK29" s="45">
        <v>100050968.38</v>
      </c>
    </row>
    <row r="30" spans="1:37" x14ac:dyDescent="0.15">
      <c r="A30" s="63">
        <v>2023</v>
      </c>
      <c r="B30" s="43">
        <v>1591</v>
      </c>
      <c r="C30" s="44">
        <v>33985.533333333333</v>
      </c>
      <c r="D30" s="44">
        <v>51943382.840000004</v>
      </c>
      <c r="E30" s="44">
        <v>6474591.2000000002</v>
      </c>
      <c r="F30" s="43">
        <v>1994</v>
      </c>
      <c r="G30" s="44">
        <v>22928.056666666671</v>
      </c>
      <c r="H30" s="44">
        <v>46317883.390000001</v>
      </c>
      <c r="I30" s="44">
        <v>14442822.82</v>
      </c>
      <c r="J30" s="43">
        <v>1644</v>
      </c>
      <c r="K30" s="44">
        <v>29310.1325</v>
      </c>
      <c r="L30" s="44">
        <v>37913945.879999995</v>
      </c>
      <c r="M30" s="44">
        <v>10737663.02</v>
      </c>
      <c r="N30" s="43">
        <v>706</v>
      </c>
      <c r="O30" s="44">
        <v>44655.485000000001</v>
      </c>
      <c r="P30" s="44">
        <v>31231513.550000001</v>
      </c>
      <c r="Q30" s="44">
        <v>2302534.4400000004</v>
      </c>
      <c r="R30" s="43">
        <v>1175</v>
      </c>
      <c r="S30" s="44">
        <v>29143.22</v>
      </c>
      <c r="T30" s="44">
        <v>33651337.890000001</v>
      </c>
      <c r="U30" s="44">
        <v>8075239.209999999</v>
      </c>
      <c r="V30" s="43">
        <v>324</v>
      </c>
      <c r="W30" s="44">
        <v>25117.095000000001</v>
      </c>
      <c r="X30" s="44">
        <v>8675411.2800000012</v>
      </c>
      <c r="Y30" s="44">
        <v>2805713.16</v>
      </c>
      <c r="Z30" s="43">
        <v>719</v>
      </c>
      <c r="AA30" s="44">
        <v>36845.15</v>
      </c>
      <c r="AB30" s="44">
        <v>23818311.850000001</v>
      </c>
      <c r="AC30" s="44">
        <v>2120219.91</v>
      </c>
      <c r="AD30" s="43"/>
      <c r="AE30" s="44"/>
      <c r="AF30" s="44"/>
      <c r="AG30" s="44"/>
      <c r="AH30" s="43">
        <v>8153</v>
      </c>
      <c r="AI30" s="43">
        <v>31083.511111111115</v>
      </c>
      <c r="AJ30" s="43">
        <v>233551786.67999998</v>
      </c>
      <c r="AK30" s="45">
        <v>46958783.760000013</v>
      </c>
    </row>
    <row r="31" spans="1:37" ht="14" x14ac:dyDescent="0.15">
      <c r="A31" s="76" t="s">
        <v>107</v>
      </c>
      <c r="B31" s="77">
        <v>5161</v>
      </c>
      <c r="C31" s="78">
        <v>28225.077272727271</v>
      </c>
      <c r="D31" s="78">
        <v>140735705.06999999</v>
      </c>
      <c r="E31" s="78">
        <v>31561665.379999999</v>
      </c>
      <c r="F31" s="77">
        <v>4577</v>
      </c>
      <c r="G31" s="78">
        <v>42942.555555555555</v>
      </c>
      <c r="H31" s="78">
        <v>200574734.52000001</v>
      </c>
      <c r="I31" s="78">
        <v>33384443.189999998</v>
      </c>
      <c r="J31" s="77">
        <v>5465</v>
      </c>
      <c r="K31" s="78">
        <v>33673.215454545454</v>
      </c>
      <c r="L31" s="78">
        <v>192738381.17000002</v>
      </c>
      <c r="M31" s="78">
        <v>30241398.670000002</v>
      </c>
      <c r="N31" s="77">
        <v>3854</v>
      </c>
      <c r="O31" s="78">
        <v>27092.618571428575</v>
      </c>
      <c r="P31" s="78">
        <v>106213947.86000001</v>
      </c>
      <c r="Q31" s="78">
        <v>23115006.600000001</v>
      </c>
      <c r="R31" s="77">
        <v>8589</v>
      </c>
      <c r="S31" s="78">
        <v>37675.914666666664</v>
      </c>
      <c r="T31" s="78">
        <v>329902312.31999993</v>
      </c>
      <c r="U31" s="78">
        <v>48284346.68</v>
      </c>
      <c r="V31" s="77">
        <v>9073</v>
      </c>
      <c r="W31" s="78">
        <v>32265.65411764706</v>
      </c>
      <c r="X31" s="78">
        <v>284615838.43000001</v>
      </c>
      <c r="Y31" s="78">
        <v>47943959.710000001</v>
      </c>
      <c r="Z31" s="77">
        <v>10606</v>
      </c>
      <c r="AA31" s="78">
        <v>29691.940624999999</v>
      </c>
      <c r="AB31" s="78">
        <v>313521759.78000003</v>
      </c>
      <c r="AC31" s="78">
        <v>71958612.939999998</v>
      </c>
      <c r="AD31" s="77">
        <v>12444</v>
      </c>
      <c r="AE31" s="78">
        <v>30855.953000000001</v>
      </c>
      <c r="AF31" s="78">
        <v>394283944.05000001</v>
      </c>
      <c r="AG31" s="78">
        <v>72962391.11999999</v>
      </c>
      <c r="AH31" s="77">
        <v>59769</v>
      </c>
      <c r="AI31" s="77">
        <v>32668.466981132075</v>
      </c>
      <c r="AJ31" s="77">
        <v>1962586623.1999998</v>
      </c>
      <c r="AK31" s="91">
        <v>359451824.29000002</v>
      </c>
    </row>
    <row r="32" spans="1:37" x14ac:dyDescent="0.15">
      <c r="A32" s="63">
        <v>2020</v>
      </c>
      <c r="B32" s="43">
        <v>2225</v>
      </c>
      <c r="C32" s="44">
        <v>26031.717499999999</v>
      </c>
      <c r="D32" s="44">
        <v>56012207.840000004</v>
      </c>
      <c r="E32" s="44">
        <v>13162447.329999998</v>
      </c>
      <c r="F32" s="43">
        <v>1300</v>
      </c>
      <c r="G32" s="44">
        <v>47056.539999999994</v>
      </c>
      <c r="H32" s="44">
        <v>59983179.300000004</v>
      </c>
      <c r="I32" s="44">
        <v>9353066.25</v>
      </c>
      <c r="J32" s="43">
        <v>2326</v>
      </c>
      <c r="K32" s="44">
        <v>34796.724999999999</v>
      </c>
      <c r="L32" s="44">
        <v>89085848.390000015</v>
      </c>
      <c r="M32" s="44">
        <v>14379318.380000001</v>
      </c>
      <c r="N32" s="43">
        <v>1971</v>
      </c>
      <c r="O32" s="44">
        <v>22937.413333333334</v>
      </c>
      <c r="P32" s="44">
        <v>50877824.089999996</v>
      </c>
      <c r="Q32" s="44">
        <v>14498547.550000001</v>
      </c>
      <c r="R32" s="43">
        <v>814</v>
      </c>
      <c r="S32" s="44">
        <v>45418.18</v>
      </c>
      <c r="T32" s="44">
        <v>36970398.520000003</v>
      </c>
      <c r="U32" s="44">
        <v>1915187.3399999999</v>
      </c>
      <c r="V32" s="43">
        <v>1536</v>
      </c>
      <c r="W32" s="44">
        <v>27467.737499999999</v>
      </c>
      <c r="X32" s="44">
        <v>32235023.880000003</v>
      </c>
      <c r="Y32" s="44">
        <v>7905340.96</v>
      </c>
      <c r="Z32" s="43">
        <v>2909</v>
      </c>
      <c r="AA32" s="44">
        <v>37625.919999999998</v>
      </c>
      <c r="AB32" s="44">
        <v>104201162.31</v>
      </c>
      <c r="AC32" s="44">
        <v>21125691.730000004</v>
      </c>
      <c r="AD32" s="43">
        <v>1675</v>
      </c>
      <c r="AE32" s="44">
        <v>33122.810000000005</v>
      </c>
      <c r="AF32" s="44">
        <v>58432768.649999999</v>
      </c>
      <c r="AG32" s="44">
        <v>9921880.9899999984</v>
      </c>
      <c r="AH32" s="43">
        <v>14756</v>
      </c>
      <c r="AI32" s="43">
        <v>32629.399259259259</v>
      </c>
      <c r="AJ32" s="43">
        <v>487798412.9799999</v>
      </c>
      <c r="AK32" s="45">
        <v>92261480.530000001</v>
      </c>
    </row>
    <row r="33" spans="1:37" x14ac:dyDescent="0.15">
      <c r="A33" s="63">
        <v>2021</v>
      </c>
      <c r="B33" s="43">
        <v>1360</v>
      </c>
      <c r="C33" s="44">
        <v>34926.07</v>
      </c>
      <c r="D33" s="44">
        <v>46472338.480000004</v>
      </c>
      <c r="E33" s="44">
        <v>8934818.8200000003</v>
      </c>
      <c r="F33" s="43">
        <v>1230</v>
      </c>
      <c r="G33" s="44">
        <v>36221.604999999996</v>
      </c>
      <c r="H33" s="44">
        <v>49477351.949999996</v>
      </c>
      <c r="I33" s="44">
        <v>9331131.0300000012</v>
      </c>
      <c r="J33" s="43">
        <v>1768</v>
      </c>
      <c r="K33" s="44">
        <v>26638.426666666666</v>
      </c>
      <c r="L33" s="44">
        <v>47302609.560000002</v>
      </c>
      <c r="M33" s="44">
        <v>11537841.920000002</v>
      </c>
      <c r="N33" s="43">
        <v>566</v>
      </c>
      <c r="O33" s="44">
        <v>15516.87</v>
      </c>
      <c r="P33" s="44">
        <v>8782548.4199999999</v>
      </c>
      <c r="Q33" s="44">
        <v>1722779.4800000002</v>
      </c>
      <c r="R33" s="43">
        <v>1350</v>
      </c>
      <c r="S33" s="44">
        <v>36972.89</v>
      </c>
      <c r="T33" s="44">
        <v>54172907.699999996</v>
      </c>
      <c r="U33" s="44">
        <v>8340758.2999999998</v>
      </c>
      <c r="V33" s="43">
        <v>1906</v>
      </c>
      <c r="W33" s="44">
        <v>38222.786</v>
      </c>
      <c r="X33" s="44">
        <v>76619857.920000002</v>
      </c>
      <c r="Y33" s="44">
        <v>8983351.9000000004</v>
      </c>
      <c r="Z33" s="43">
        <v>1929</v>
      </c>
      <c r="AA33" s="44">
        <v>42210.476666666669</v>
      </c>
      <c r="AB33" s="44">
        <v>79717418.080000013</v>
      </c>
      <c r="AC33" s="44">
        <v>8406551.129999999</v>
      </c>
      <c r="AD33" s="43">
        <v>2161</v>
      </c>
      <c r="AE33" s="44">
        <v>32685.607499999998</v>
      </c>
      <c r="AF33" s="44">
        <v>73628263.200000003</v>
      </c>
      <c r="AG33" s="44">
        <v>9185731.1499999985</v>
      </c>
      <c r="AH33" s="43">
        <v>12270</v>
      </c>
      <c r="AI33" s="43">
        <v>34679.44400000001</v>
      </c>
      <c r="AJ33" s="43">
        <v>436173295.31000006</v>
      </c>
      <c r="AK33" s="45">
        <v>66442963.729999997</v>
      </c>
    </row>
    <row r="34" spans="1:37" x14ac:dyDescent="0.15">
      <c r="A34" s="63">
        <v>2022</v>
      </c>
      <c r="B34" s="43">
        <v>1289</v>
      </c>
      <c r="C34" s="44">
        <v>24891.264999999999</v>
      </c>
      <c r="D34" s="44">
        <v>33411715.960000001</v>
      </c>
      <c r="E34" s="44">
        <v>8249456.4800000004</v>
      </c>
      <c r="F34" s="43">
        <v>778</v>
      </c>
      <c r="G34" s="44">
        <v>49985.86</v>
      </c>
      <c r="H34" s="44">
        <v>38888999.079999998</v>
      </c>
      <c r="I34" s="44">
        <v>6547204.54</v>
      </c>
      <c r="J34" s="43"/>
      <c r="K34" s="44"/>
      <c r="L34" s="44"/>
      <c r="M34" s="44"/>
      <c r="N34" s="43"/>
      <c r="O34" s="44"/>
      <c r="P34" s="44"/>
      <c r="Q34" s="44"/>
      <c r="R34" s="43">
        <v>3058</v>
      </c>
      <c r="S34" s="44">
        <v>43238.781999999999</v>
      </c>
      <c r="T34" s="44">
        <v>133034166.75</v>
      </c>
      <c r="U34" s="44">
        <v>18288748.219999999</v>
      </c>
      <c r="V34" s="43">
        <v>1460</v>
      </c>
      <c r="W34" s="44">
        <v>35501.286666666667</v>
      </c>
      <c r="X34" s="44">
        <v>57496475.179999992</v>
      </c>
      <c r="Y34" s="44">
        <v>9899559.3899999987</v>
      </c>
      <c r="Z34" s="43">
        <v>4473</v>
      </c>
      <c r="AA34" s="44">
        <v>20628.085714285717</v>
      </c>
      <c r="AB34" s="44">
        <v>100216202.67999999</v>
      </c>
      <c r="AC34" s="44">
        <v>36925145.68</v>
      </c>
      <c r="AD34" s="43">
        <v>3055</v>
      </c>
      <c r="AE34" s="44">
        <v>32012.408000000003</v>
      </c>
      <c r="AF34" s="44">
        <v>101094141.72999999</v>
      </c>
      <c r="AG34" s="44">
        <v>18640024.34</v>
      </c>
      <c r="AH34" s="43">
        <v>14113</v>
      </c>
      <c r="AI34" s="43">
        <v>31605.426086956508</v>
      </c>
      <c r="AJ34" s="43">
        <v>464141701.37999994</v>
      </c>
      <c r="AK34" s="45">
        <v>98550138.650000021</v>
      </c>
    </row>
    <row r="35" spans="1:37" x14ac:dyDescent="0.15">
      <c r="A35" s="63">
        <v>2023</v>
      </c>
      <c r="B35" s="43">
        <v>287</v>
      </c>
      <c r="C35" s="44">
        <v>16862.169999999998</v>
      </c>
      <c r="D35" s="44">
        <v>4839442.79</v>
      </c>
      <c r="E35" s="44">
        <v>1214942.75</v>
      </c>
      <c r="F35" s="43">
        <v>1269</v>
      </c>
      <c r="G35" s="44">
        <v>42485.212500000001</v>
      </c>
      <c r="H35" s="44">
        <v>52225204.189999998</v>
      </c>
      <c r="I35" s="44">
        <v>8153041.3699999992</v>
      </c>
      <c r="J35" s="43">
        <v>1371</v>
      </c>
      <c r="K35" s="44">
        <v>40854.869999999995</v>
      </c>
      <c r="L35" s="44">
        <v>56349923.219999999</v>
      </c>
      <c r="M35" s="44">
        <v>4324238.37</v>
      </c>
      <c r="N35" s="43">
        <v>1317</v>
      </c>
      <c r="O35" s="44">
        <v>35106.406666666669</v>
      </c>
      <c r="P35" s="44">
        <v>46553575.350000001</v>
      </c>
      <c r="Q35" s="44">
        <v>6893679.5700000003</v>
      </c>
      <c r="R35" s="43">
        <v>3367</v>
      </c>
      <c r="S35" s="44">
        <v>32101.32666666666</v>
      </c>
      <c r="T35" s="44">
        <v>105724839.34999999</v>
      </c>
      <c r="U35" s="44">
        <v>19739652.819999997</v>
      </c>
      <c r="V35" s="43">
        <v>4171</v>
      </c>
      <c r="W35" s="44">
        <v>28205.476000000002</v>
      </c>
      <c r="X35" s="44">
        <v>118264481.45</v>
      </c>
      <c r="Y35" s="44">
        <v>21155707.460000001</v>
      </c>
      <c r="Z35" s="43">
        <v>1295</v>
      </c>
      <c r="AA35" s="44">
        <v>26769.67</v>
      </c>
      <c r="AB35" s="44">
        <v>29386976.710000001</v>
      </c>
      <c r="AC35" s="44">
        <v>5501224.4000000004</v>
      </c>
      <c r="AD35" s="43">
        <v>5553</v>
      </c>
      <c r="AE35" s="44">
        <v>28368.27</v>
      </c>
      <c r="AF35" s="44">
        <v>161128770.47</v>
      </c>
      <c r="AG35" s="44">
        <v>35214754.640000001</v>
      </c>
      <c r="AH35" s="43">
        <v>18630</v>
      </c>
      <c r="AI35" s="43">
        <v>31869.445806451615</v>
      </c>
      <c r="AJ35" s="43">
        <v>574473213.53000009</v>
      </c>
      <c r="AK35" s="45">
        <v>102197241.37999998</v>
      </c>
    </row>
    <row r="36" spans="1:37" ht="14" x14ac:dyDescent="0.15">
      <c r="A36" s="76" t="s">
        <v>15</v>
      </c>
      <c r="B36" s="77">
        <v>4868</v>
      </c>
      <c r="C36" s="78">
        <v>34435.353333333333</v>
      </c>
      <c r="D36" s="78">
        <v>171323702.76999998</v>
      </c>
      <c r="E36" s="78">
        <v>27601485.34</v>
      </c>
      <c r="F36" s="77">
        <v>4229</v>
      </c>
      <c r="G36" s="78">
        <v>28938.215000000004</v>
      </c>
      <c r="H36" s="78">
        <v>129711067.30000001</v>
      </c>
      <c r="I36" s="78">
        <v>19348988.380000003</v>
      </c>
      <c r="J36" s="77">
        <v>5810</v>
      </c>
      <c r="K36" s="78">
        <v>30699.824615384612</v>
      </c>
      <c r="L36" s="78">
        <v>171336561.95000005</v>
      </c>
      <c r="M36" s="78">
        <v>36468417.530000009</v>
      </c>
      <c r="N36" s="77">
        <v>6885</v>
      </c>
      <c r="O36" s="78">
        <v>30576.663571428573</v>
      </c>
      <c r="P36" s="78">
        <v>211313429.31999999</v>
      </c>
      <c r="Q36" s="78">
        <v>43512025.079999998</v>
      </c>
      <c r="R36" s="77">
        <v>6050</v>
      </c>
      <c r="S36" s="78">
        <v>31742.001428571424</v>
      </c>
      <c r="T36" s="78">
        <v>197145093.52000001</v>
      </c>
      <c r="U36" s="78">
        <v>33879629.280000009</v>
      </c>
      <c r="V36" s="77">
        <v>6563</v>
      </c>
      <c r="W36" s="78">
        <v>25963.584615384618</v>
      </c>
      <c r="X36" s="78">
        <v>179599796.82999998</v>
      </c>
      <c r="Y36" s="78">
        <v>35331311.820000008</v>
      </c>
      <c r="Z36" s="77">
        <v>9155</v>
      </c>
      <c r="AA36" s="78">
        <v>30398.586428571427</v>
      </c>
      <c r="AB36" s="78">
        <v>270837719.12</v>
      </c>
      <c r="AC36" s="78">
        <v>59479913.32</v>
      </c>
      <c r="AD36" s="77">
        <v>6893</v>
      </c>
      <c r="AE36" s="78">
        <v>29475.240833333333</v>
      </c>
      <c r="AF36" s="78">
        <v>203091063.70000005</v>
      </c>
      <c r="AG36" s="78">
        <v>50815300.199999996</v>
      </c>
      <c r="AH36" s="77">
        <v>50453</v>
      </c>
      <c r="AI36" s="77">
        <v>30178.475353535356</v>
      </c>
      <c r="AJ36" s="77">
        <v>1534358434.51</v>
      </c>
      <c r="AK36" s="91">
        <v>306437070.94999999</v>
      </c>
    </row>
    <row r="37" spans="1:37" x14ac:dyDescent="0.15">
      <c r="A37" s="63">
        <v>2020</v>
      </c>
      <c r="B37" s="43">
        <v>1999</v>
      </c>
      <c r="C37" s="44">
        <v>31879.906666666666</v>
      </c>
      <c r="D37" s="44">
        <v>68701026.129999995</v>
      </c>
      <c r="E37" s="44">
        <v>9586942.790000001</v>
      </c>
      <c r="F37" s="43">
        <v>1806</v>
      </c>
      <c r="G37" s="44">
        <v>24032.974999999999</v>
      </c>
      <c r="H37" s="44">
        <v>49507102.450000003</v>
      </c>
      <c r="I37" s="44">
        <v>8301991.9699999997</v>
      </c>
      <c r="J37" s="43">
        <v>121</v>
      </c>
      <c r="K37" s="44">
        <v>39676.69</v>
      </c>
      <c r="L37" s="44">
        <v>4800879.49</v>
      </c>
      <c r="M37" s="44">
        <v>501325.98999999993</v>
      </c>
      <c r="N37" s="43">
        <v>1455</v>
      </c>
      <c r="O37" s="44">
        <v>26773.864999999998</v>
      </c>
      <c r="P37" s="44">
        <v>40542006.539999999</v>
      </c>
      <c r="Q37" s="44">
        <v>8553693.4100000001</v>
      </c>
      <c r="R37" s="43">
        <v>3228</v>
      </c>
      <c r="S37" s="44">
        <v>31257.706666666669</v>
      </c>
      <c r="T37" s="44">
        <v>102401965.78999999</v>
      </c>
      <c r="U37" s="44">
        <v>20313274.810000002</v>
      </c>
      <c r="V37" s="43">
        <v>1255</v>
      </c>
      <c r="W37" s="44">
        <v>19784.150000000001</v>
      </c>
      <c r="X37" s="44">
        <v>21112739.039999999</v>
      </c>
      <c r="Y37" s="44">
        <v>8106114.1899999995</v>
      </c>
      <c r="Z37" s="43">
        <v>3233</v>
      </c>
      <c r="AA37" s="44">
        <v>25699.725999999999</v>
      </c>
      <c r="AB37" s="44">
        <v>81425620.549999997</v>
      </c>
      <c r="AC37" s="44">
        <v>22932918.5</v>
      </c>
      <c r="AD37" s="43">
        <v>1766</v>
      </c>
      <c r="AE37" s="44">
        <v>30140.997499999998</v>
      </c>
      <c r="AF37" s="44">
        <v>53357063.790000007</v>
      </c>
      <c r="AG37" s="44">
        <v>13089624.25</v>
      </c>
      <c r="AH37" s="43">
        <v>14863</v>
      </c>
      <c r="AI37" s="43">
        <v>27816.835999999999</v>
      </c>
      <c r="AJ37" s="43">
        <v>421848403.77999991</v>
      </c>
      <c r="AK37" s="45">
        <v>91385885.910000011</v>
      </c>
    </row>
    <row r="38" spans="1:37" x14ac:dyDescent="0.15">
      <c r="A38" s="63">
        <v>2021</v>
      </c>
      <c r="B38" s="43">
        <v>1072</v>
      </c>
      <c r="C38" s="44">
        <v>34006.943333333336</v>
      </c>
      <c r="D38" s="44">
        <v>33921752.049999997</v>
      </c>
      <c r="E38" s="44">
        <v>5595852.04</v>
      </c>
      <c r="F38" s="43">
        <v>184</v>
      </c>
      <c r="G38" s="44">
        <v>11548.45</v>
      </c>
      <c r="H38" s="44">
        <v>2124914.7999999998</v>
      </c>
      <c r="I38" s="44">
        <v>839501.84000000008</v>
      </c>
      <c r="J38" s="43">
        <v>1309</v>
      </c>
      <c r="K38" s="44">
        <v>31463.525000000001</v>
      </c>
      <c r="L38" s="44">
        <v>43895656.680000007</v>
      </c>
      <c r="M38" s="44">
        <v>6928174.25</v>
      </c>
      <c r="N38" s="43">
        <v>1289</v>
      </c>
      <c r="O38" s="44">
        <v>28085.926666666666</v>
      </c>
      <c r="P38" s="44">
        <v>38486448.769999996</v>
      </c>
      <c r="Q38" s="44">
        <v>8890831.6000000015</v>
      </c>
      <c r="R38" s="43">
        <v>2318</v>
      </c>
      <c r="S38" s="44">
        <v>35510.845000000001</v>
      </c>
      <c r="T38" s="44">
        <v>83736246.170000002</v>
      </c>
      <c r="U38" s="44">
        <v>11164832.270000001</v>
      </c>
      <c r="V38" s="43">
        <v>1946</v>
      </c>
      <c r="W38" s="44">
        <v>31366.216666666664</v>
      </c>
      <c r="X38" s="44">
        <v>63198062.299999997</v>
      </c>
      <c r="Y38" s="44">
        <v>9765244.4800000004</v>
      </c>
      <c r="Z38" s="43">
        <v>2376</v>
      </c>
      <c r="AA38" s="44">
        <v>39104.836666666662</v>
      </c>
      <c r="AB38" s="44">
        <v>92710924.360000014</v>
      </c>
      <c r="AC38" s="44">
        <v>12545048.539999999</v>
      </c>
      <c r="AD38" s="43">
        <v>2660</v>
      </c>
      <c r="AE38" s="44">
        <v>31555.762500000001</v>
      </c>
      <c r="AF38" s="44">
        <v>78259011.75</v>
      </c>
      <c r="AG38" s="44">
        <v>17791687.77</v>
      </c>
      <c r="AH38" s="43">
        <v>13154</v>
      </c>
      <c r="AI38" s="43">
        <v>32458.215599999992</v>
      </c>
      <c r="AJ38" s="43">
        <v>436333016.88</v>
      </c>
      <c r="AK38" s="45">
        <v>73521172.789999992</v>
      </c>
    </row>
    <row r="39" spans="1:37" x14ac:dyDescent="0.15">
      <c r="A39" s="63">
        <v>2022</v>
      </c>
      <c r="B39" s="43"/>
      <c r="C39" s="44"/>
      <c r="D39" s="44"/>
      <c r="E39" s="44"/>
      <c r="F39" s="43">
        <v>826</v>
      </c>
      <c r="G39" s="44">
        <v>42869.55</v>
      </c>
      <c r="H39" s="44">
        <v>36466149.899999999</v>
      </c>
      <c r="I39" s="44">
        <v>3551322.02</v>
      </c>
      <c r="J39" s="43">
        <v>1796</v>
      </c>
      <c r="K39" s="44">
        <v>40627.394000000008</v>
      </c>
      <c r="L39" s="44">
        <v>65333399.230000004</v>
      </c>
      <c r="M39" s="44">
        <v>13058821.540000003</v>
      </c>
      <c r="N39" s="43">
        <v>2634</v>
      </c>
      <c r="O39" s="44">
        <v>38858.058000000005</v>
      </c>
      <c r="P39" s="44">
        <v>102257282.95</v>
      </c>
      <c r="Q39" s="44">
        <v>17099589.809999999</v>
      </c>
      <c r="R39" s="43">
        <v>324</v>
      </c>
      <c r="S39" s="44">
        <v>21715.79</v>
      </c>
      <c r="T39" s="44">
        <v>7035915.96</v>
      </c>
      <c r="U39" s="44">
        <v>1821933</v>
      </c>
      <c r="V39" s="43">
        <v>1982</v>
      </c>
      <c r="W39" s="44">
        <v>20045.48</v>
      </c>
      <c r="X39" s="44">
        <v>43167420.580000006</v>
      </c>
      <c r="Y39" s="44">
        <v>9231013.8000000007</v>
      </c>
      <c r="Z39" s="43">
        <v>1096</v>
      </c>
      <c r="AA39" s="44">
        <v>21009.775000000001</v>
      </c>
      <c r="AB39" s="44">
        <v>21483102.009999998</v>
      </c>
      <c r="AC39" s="44">
        <v>7188873.29</v>
      </c>
      <c r="AD39" s="43">
        <v>1255</v>
      </c>
      <c r="AE39" s="44">
        <v>30446.739999999998</v>
      </c>
      <c r="AF39" s="44">
        <v>37932859.359999999</v>
      </c>
      <c r="AG39" s="44">
        <v>11969521.58</v>
      </c>
      <c r="AH39" s="43">
        <v>9913</v>
      </c>
      <c r="AI39" s="43">
        <v>32760.814285714288</v>
      </c>
      <c r="AJ39" s="43">
        <v>313676129.99000001</v>
      </c>
      <c r="AK39" s="45">
        <v>63921075.039999999</v>
      </c>
    </row>
    <row r="40" spans="1:37" x14ac:dyDescent="0.15">
      <c r="A40" s="63">
        <v>2023</v>
      </c>
      <c r="B40" s="43">
        <v>1797</v>
      </c>
      <c r="C40" s="44">
        <v>37419.21</v>
      </c>
      <c r="D40" s="44">
        <v>68700924.590000004</v>
      </c>
      <c r="E40" s="44">
        <v>12418690.51</v>
      </c>
      <c r="F40" s="43">
        <v>1413</v>
      </c>
      <c r="G40" s="44">
        <v>31987.566666666669</v>
      </c>
      <c r="H40" s="44">
        <v>41612900.149999999</v>
      </c>
      <c r="I40" s="44">
        <v>6656172.5499999989</v>
      </c>
      <c r="J40" s="43">
        <v>2584</v>
      </c>
      <c r="K40" s="44">
        <v>18671.401999999998</v>
      </c>
      <c r="L40" s="44">
        <v>57306626.549999997</v>
      </c>
      <c r="M40" s="44">
        <v>15980095.75</v>
      </c>
      <c r="N40" s="43">
        <v>1507</v>
      </c>
      <c r="O40" s="44">
        <v>21214.879999999997</v>
      </c>
      <c r="P40" s="44">
        <v>30027691.060000002</v>
      </c>
      <c r="Q40" s="44">
        <v>8967910.2599999998</v>
      </c>
      <c r="R40" s="43">
        <v>180</v>
      </c>
      <c r="S40" s="44">
        <v>22060.92</v>
      </c>
      <c r="T40" s="44">
        <v>3970965.6</v>
      </c>
      <c r="U40" s="44">
        <v>579589.19999999995</v>
      </c>
      <c r="V40" s="43">
        <v>1380</v>
      </c>
      <c r="W40" s="44">
        <v>34631.193333333336</v>
      </c>
      <c r="X40" s="44">
        <v>52121574.910000004</v>
      </c>
      <c r="Y40" s="44">
        <v>8228939.3499999996</v>
      </c>
      <c r="Z40" s="43">
        <v>2450</v>
      </c>
      <c r="AA40" s="44">
        <v>34436.879999999997</v>
      </c>
      <c r="AB40" s="44">
        <v>75218072.199999988</v>
      </c>
      <c r="AC40" s="44">
        <v>16813072.989999998</v>
      </c>
      <c r="AD40" s="43">
        <v>1212</v>
      </c>
      <c r="AE40" s="44">
        <v>23011.184999999998</v>
      </c>
      <c r="AF40" s="44">
        <v>33542128.800000001</v>
      </c>
      <c r="AG40" s="44">
        <v>7964466.5999999996</v>
      </c>
      <c r="AH40" s="43">
        <v>12523</v>
      </c>
      <c r="AI40" s="43">
        <v>28423.108260869569</v>
      </c>
      <c r="AJ40" s="43">
        <v>362500883.86000007</v>
      </c>
      <c r="AK40" s="45">
        <v>77608937.210000008</v>
      </c>
    </row>
    <row r="41" spans="1:37" ht="14" x14ac:dyDescent="0.15">
      <c r="A41" s="76" t="s">
        <v>139</v>
      </c>
      <c r="B41" s="77">
        <v>6445</v>
      </c>
      <c r="C41" s="78">
        <v>25150.25153846154</v>
      </c>
      <c r="D41" s="78">
        <v>167259813.44999999</v>
      </c>
      <c r="E41" s="78">
        <v>42863178.540000007</v>
      </c>
      <c r="F41" s="77">
        <v>6236</v>
      </c>
      <c r="G41" s="78">
        <v>28141.125555555554</v>
      </c>
      <c r="H41" s="78">
        <v>186095768.46000001</v>
      </c>
      <c r="I41" s="78">
        <v>31756274.879999999</v>
      </c>
      <c r="J41" s="77">
        <v>9113</v>
      </c>
      <c r="K41" s="78">
        <v>32520.015625</v>
      </c>
      <c r="L41" s="78">
        <v>304863273.57999998</v>
      </c>
      <c r="M41" s="78">
        <v>46245210.299999997</v>
      </c>
      <c r="N41" s="77">
        <v>6539</v>
      </c>
      <c r="O41" s="78">
        <v>27445.91</v>
      </c>
      <c r="P41" s="78">
        <v>177888523.41</v>
      </c>
      <c r="Q41" s="78">
        <v>42701906.310000002</v>
      </c>
      <c r="R41" s="77">
        <v>7209</v>
      </c>
      <c r="S41" s="78">
        <v>30069.8325</v>
      </c>
      <c r="T41" s="78">
        <v>235865675.03000003</v>
      </c>
      <c r="U41" s="78">
        <v>53625060.890000001</v>
      </c>
      <c r="V41" s="77">
        <v>5412</v>
      </c>
      <c r="W41" s="78">
        <v>22397.946999999996</v>
      </c>
      <c r="X41" s="78">
        <v>120956644.98999999</v>
      </c>
      <c r="Y41" s="78">
        <v>23746040.700000003</v>
      </c>
      <c r="Z41" s="77">
        <v>4403</v>
      </c>
      <c r="AA41" s="78">
        <v>29065.386250000003</v>
      </c>
      <c r="AB41" s="78">
        <v>129185612.14</v>
      </c>
      <c r="AC41" s="78">
        <v>27044735.170000002</v>
      </c>
      <c r="AD41" s="77">
        <v>6093</v>
      </c>
      <c r="AE41" s="78">
        <v>28757.936000000005</v>
      </c>
      <c r="AF41" s="78">
        <v>167873609.09</v>
      </c>
      <c r="AG41" s="78">
        <v>39082967.170000002</v>
      </c>
      <c r="AH41" s="77">
        <v>51450</v>
      </c>
      <c r="AI41" s="77">
        <v>28156.707582417577</v>
      </c>
      <c r="AJ41" s="77">
        <v>1489988920.1500001</v>
      </c>
      <c r="AK41" s="91">
        <v>307065373.96000004</v>
      </c>
    </row>
    <row r="42" spans="1:37" x14ac:dyDescent="0.15">
      <c r="A42" s="63">
        <v>2020</v>
      </c>
      <c r="B42" s="43">
        <v>2277</v>
      </c>
      <c r="C42" s="44">
        <v>30566.587500000001</v>
      </c>
      <c r="D42" s="44">
        <v>75678544.539999992</v>
      </c>
      <c r="E42" s="44">
        <v>18477435.5</v>
      </c>
      <c r="F42" s="43">
        <v>1529</v>
      </c>
      <c r="G42" s="44">
        <v>20139.224999999999</v>
      </c>
      <c r="H42" s="44">
        <v>34565119.399999999</v>
      </c>
      <c r="I42" s="44">
        <v>9045380.7699999996</v>
      </c>
      <c r="J42" s="43">
        <v>1247</v>
      </c>
      <c r="K42" s="44">
        <v>33763.980000000003</v>
      </c>
      <c r="L42" s="44">
        <v>35166836.630000003</v>
      </c>
      <c r="M42" s="44">
        <v>7954415.2000000002</v>
      </c>
      <c r="N42" s="43">
        <v>1878</v>
      </c>
      <c r="O42" s="44">
        <v>22014.357500000002</v>
      </c>
      <c r="P42" s="44">
        <v>43639585.759999998</v>
      </c>
      <c r="Q42" s="44">
        <v>9914457.5499999989</v>
      </c>
      <c r="R42" s="43">
        <v>1178</v>
      </c>
      <c r="S42" s="44">
        <v>31498.120000000003</v>
      </c>
      <c r="T42" s="44">
        <v>43059739.520000003</v>
      </c>
      <c r="U42" s="44">
        <v>9580321.620000001</v>
      </c>
      <c r="V42" s="43">
        <v>1751</v>
      </c>
      <c r="W42" s="44">
        <v>29880.237499999996</v>
      </c>
      <c r="X42" s="44">
        <v>49743189.420000002</v>
      </c>
      <c r="Y42" s="44">
        <v>8648110.5</v>
      </c>
      <c r="Z42" s="43">
        <v>1761</v>
      </c>
      <c r="AA42" s="44">
        <v>18811.043333333335</v>
      </c>
      <c r="AB42" s="44">
        <v>34972098.850000001</v>
      </c>
      <c r="AC42" s="44">
        <v>9678382.6999999993</v>
      </c>
      <c r="AD42" s="43">
        <v>619</v>
      </c>
      <c r="AE42" s="44">
        <v>40038.51</v>
      </c>
      <c r="AF42" s="44">
        <v>24783837.690000001</v>
      </c>
      <c r="AG42" s="44">
        <v>4358156.16</v>
      </c>
      <c r="AH42" s="43">
        <v>12240</v>
      </c>
      <c r="AI42" s="43">
        <v>27141.773636363636</v>
      </c>
      <c r="AJ42" s="43">
        <v>341608951.81</v>
      </c>
      <c r="AK42" s="45">
        <v>77656660</v>
      </c>
    </row>
    <row r="43" spans="1:37" x14ac:dyDescent="0.15">
      <c r="A43" s="63">
        <v>2021</v>
      </c>
      <c r="B43" s="43">
        <v>1486</v>
      </c>
      <c r="C43" s="44">
        <v>24266.08666666667</v>
      </c>
      <c r="D43" s="44">
        <v>35364947.670000002</v>
      </c>
      <c r="E43" s="44">
        <v>8763467.2100000009</v>
      </c>
      <c r="F43" s="43">
        <v>1245</v>
      </c>
      <c r="G43" s="44">
        <v>34216.949999999997</v>
      </c>
      <c r="H43" s="44">
        <v>49600758.390000001</v>
      </c>
      <c r="I43" s="44">
        <v>8208715.1400000006</v>
      </c>
      <c r="J43" s="43">
        <v>1703</v>
      </c>
      <c r="K43" s="44">
        <v>36979.090000000004</v>
      </c>
      <c r="L43" s="44">
        <v>66772538.309999995</v>
      </c>
      <c r="M43" s="44">
        <v>7833459.6600000001</v>
      </c>
      <c r="N43" s="43">
        <v>3065</v>
      </c>
      <c r="O43" s="44">
        <v>24759.300000000003</v>
      </c>
      <c r="P43" s="44">
        <v>74099973.61999999</v>
      </c>
      <c r="Q43" s="44">
        <v>24923015.699999999</v>
      </c>
      <c r="R43" s="43">
        <v>2097</v>
      </c>
      <c r="S43" s="44">
        <v>31352.564999999999</v>
      </c>
      <c r="T43" s="44">
        <v>66840981.269999996</v>
      </c>
      <c r="U43" s="44">
        <v>15568175.49</v>
      </c>
      <c r="V43" s="43">
        <v>1091</v>
      </c>
      <c r="W43" s="44">
        <v>11682.105</v>
      </c>
      <c r="X43" s="44">
        <v>12869683.08</v>
      </c>
      <c r="Y43" s="44">
        <v>3975484.8000000003</v>
      </c>
      <c r="Z43" s="43">
        <v>471</v>
      </c>
      <c r="AA43" s="44">
        <v>46139.69</v>
      </c>
      <c r="AB43" s="44">
        <v>21731793.989999998</v>
      </c>
      <c r="AC43" s="44">
        <v>2013313.05</v>
      </c>
      <c r="AD43" s="43">
        <v>1965</v>
      </c>
      <c r="AE43" s="44">
        <v>29465.044999999998</v>
      </c>
      <c r="AF43" s="44">
        <v>58151672.850000001</v>
      </c>
      <c r="AG43" s="44">
        <v>10953395.82</v>
      </c>
      <c r="AH43" s="43">
        <v>13123</v>
      </c>
      <c r="AI43" s="43">
        <v>28990.837826086961</v>
      </c>
      <c r="AJ43" s="43">
        <v>385432349.18000001</v>
      </c>
      <c r="AK43" s="45">
        <v>82239026.870000005</v>
      </c>
    </row>
    <row r="44" spans="1:37" x14ac:dyDescent="0.15">
      <c r="A44" s="63">
        <v>2022</v>
      </c>
      <c r="B44" s="43">
        <v>1489</v>
      </c>
      <c r="C44" s="44">
        <v>18158.833333333332</v>
      </c>
      <c r="D44" s="44">
        <v>27351436.949999999</v>
      </c>
      <c r="E44" s="44">
        <v>7573840.29</v>
      </c>
      <c r="F44" s="43">
        <v>261</v>
      </c>
      <c r="G44" s="44">
        <v>18757.63</v>
      </c>
      <c r="H44" s="44">
        <v>4895741.43</v>
      </c>
      <c r="I44" s="44">
        <v>526457.88</v>
      </c>
      <c r="J44" s="43">
        <v>3463</v>
      </c>
      <c r="K44" s="44">
        <v>28568.861666666664</v>
      </c>
      <c r="L44" s="44">
        <v>105626662.84999999</v>
      </c>
      <c r="M44" s="44">
        <v>15697403.990000002</v>
      </c>
      <c r="N44" s="43">
        <v>1007</v>
      </c>
      <c r="O44" s="44">
        <v>35444.786666666667</v>
      </c>
      <c r="P44" s="44">
        <v>37408533.969999999</v>
      </c>
      <c r="Q44" s="44">
        <v>6601340.2299999995</v>
      </c>
      <c r="R44" s="43">
        <v>1193</v>
      </c>
      <c r="S44" s="44">
        <v>33221.755000000005</v>
      </c>
      <c r="T44" s="44">
        <v>42324009.689999998</v>
      </c>
      <c r="U44" s="44">
        <v>5796104.8300000001</v>
      </c>
      <c r="V44" s="43"/>
      <c r="W44" s="44"/>
      <c r="X44" s="44"/>
      <c r="Y44" s="44"/>
      <c r="Z44" s="43">
        <v>1037</v>
      </c>
      <c r="AA44" s="44">
        <v>26603.815000000002</v>
      </c>
      <c r="AB44" s="44">
        <v>28768809.659999996</v>
      </c>
      <c r="AC44" s="44">
        <v>7330001.8399999999</v>
      </c>
      <c r="AD44" s="43">
        <v>716</v>
      </c>
      <c r="AE44" s="44">
        <v>19523.8</v>
      </c>
      <c r="AF44" s="44">
        <v>13979040.800000001</v>
      </c>
      <c r="AG44" s="44">
        <v>5085225.32</v>
      </c>
      <c r="AH44" s="43">
        <v>9166</v>
      </c>
      <c r="AI44" s="43">
        <v>27230.922222222216</v>
      </c>
      <c r="AJ44" s="43">
        <v>260354235.34999999</v>
      </c>
      <c r="AK44" s="45">
        <v>48610374.379999995</v>
      </c>
    </row>
    <row r="45" spans="1:37" x14ac:dyDescent="0.15">
      <c r="A45" s="63">
        <v>2023</v>
      </c>
      <c r="B45" s="43">
        <v>1193</v>
      </c>
      <c r="C45" s="44">
        <v>25804.053333333333</v>
      </c>
      <c r="D45" s="44">
        <v>28864884.289999999</v>
      </c>
      <c r="E45" s="44">
        <v>8048435.540000001</v>
      </c>
      <c r="F45" s="43">
        <v>3201</v>
      </c>
      <c r="G45" s="44">
        <v>31450.037499999999</v>
      </c>
      <c r="H45" s="44">
        <v>97034149.239999995</v>
      </c>
      <c r="I45" s="44">
        <v>13975721.09</v>
      </c>
      <c r="J45" s="43">
        <v>2700</v>
      </c>
      <c r="K45" s="44">
        <v>33365.69</v>
      </c>
      <c r="L45" s="44">
        <v>97297235.789999992</v>
      </c>
      <c r="M45" s="44">
        <v>14759931.450000001</v>
      </c>
      <c r="N45" s="43">
        <v>589</v>
      </c>
      <c r="O45" s="44">
        <v>38608.54</v>
      </c>
      <c r="P45" s="44">
        <v>22740430.059999999</v>
      </c>
      <c r="Q45" s="44">
        <v>1263092.8299999998</v>
      </c>
      <c r="R45" s="43">
        <v>2741</v>
      </c>
      <c r="S45" s="44">
        <v>26496.995000000003</v>
      </c>
      <c r="T45" s="44">
        <v>83640944.549999997</v>
      </c>
      <c r="U45" s="44">
        <v>22680458.949999999</v>
      </c>
      <c r="V45" s="43">
        <v>2570</v>
      </c>
      <c r="W45" s="44">
        <v>20273.577499999999</v>
      </c>
      <c r="X45" s="44">
        <v>58343772.490000002</v>
      </c>
      <c r="Y45" s="44">
        <v>11122445.4</v>
      </c>
      <c r="Z45" s="43">
        <v>1134</v>
      </c>
      <c r="AA45" s="44">
        <v>38371.32</v>
      </c>
      <c r="AB45" s="44">
        <v>43712909.640000001</v>
      </c>
      <c r="AC45" s="44">
        <v>8023037.5800000001</v>
      </c>
      <c r="AD45" s="43">
        <v>2793</v>
      </c>
      <c r="AE45" s="44">
        <v>28181.160000000003</v>
      </c>
      <c r="AF45" s="44">
        <v>70959057.75</v>
      </c>
      <c r="AG45" s="44">
        <v>18686189.870000001</v>
      </c>
      <c r="AH45" s="43">
        <v>16921</v>
      </c>
      <c r="AI45" s="43">
        <v>28864.124999999996</v>
      </c>
      <c r="AJ45" s="43">
        <v>502593383.81000006</v>
      </c>
      <c r="AK45" s="45">
        <v>98559312.710000008</v>
      </c>
    </row>
    <row r="46" spans="1:37" ht="14" x14ac:dyDescent="0.15">
      <c r="A46" s="76" t="s">
        <v>53</v>
      </c>
      <c r="B46" s="77">
        <v>5221</v>
      </c>
      <c r="C46" s="78">
        <v>29896.97</v>
      </c>
      <c r="D46" s="78">
        <v>163481007.26000002</v>
      </c>
      <c r="E46" s="78">
        <v>36450099.880000003</v>
      </c>
      <c r="F46" s="77">
        <v>3755</v>
      </c>
      <c r="G46" s="78">
        <v>30153.795714285716</v>
      </c>
      <c r="H46" s="78">
        <v>120301656.31999999</v>
      </c>
      <c r="I46" s="78">
        <v>25117003.640000001</v>
      </c>
      <c r="J46" s="77">
        <v>11514</v>
      </c>
      <c r="K46" s="78">
        <v>31485.093181818185</v>
      </c>
      <c r="L46" s="78">
        <v>363773707.42999983</v>
      </c>
      <c r="M46" s="78">
        <v>65166669</v>
      </c>
      <c r="N46" s="77">
        <v>4372</v>
      </c>
      <c r="O46" s="78">
        <v>24887.233333333334</v>
      </c>
      <c r="P46" s="78">
        <v>112205664.98999999</v>
      </c>
      <c r="Q46" s="78">
        <v>27149537.740000002</v>
      </c>
      <c r="R46" s="77">
        <v>5578</v>
      </c>
      <c r="S46" s="78">
        <v>28266.297499999997</v>
      </c>
      <c r="T46" s="78">
        <v>155520781.60000002</v>
      </c>
      <c r="U46" s="78">
        <v>29848980.109999996</v>
      </c>
      <c r="V46" s="77">
        <v>4429</v>
      </c>
      <c r="W46" s="78">
        <v>27580.129999999997</v>
      </c>
      <c r="X46" s="78">
        <v>126077379.98</v>
      </c>
      <c r="Y46" s="78">
        <v>26061955.510000005</v>
      </c>
      <c r="Z46" s="77">
        <v>8037</v>
      </c>
      <c r="AA46" s="78">
        <v>30467.10142857143</v>
      </c>
      <c r="AB46" s="78">
        <v>234115025.64999998</v>
      </c>
      <c r="AC46" s="78">
        <v>44041232.810000002</v>
      </c>
      <c r="AD46" s="77">
        <v>9281</v>
      </c>
      <c r="AE46" s="78">
        <v>25567.81</v>
      </c>
      <c r="AF46" s="78">
        <v>221787302.55999997</v>
      </c>
      <c r="AG46" s="78">
        <v>59024955.740000002</v>
      </c>
      <c r="AH46" s="77">
        <v>52187</v>
      </c>
      <c r="AI46" s="77">
        <v>28860.437352941179</v>
      </c>
      <c r="AJ46" s="77">
        <v>1497262525.7900002</v>
      </c>
      <c r="AK46" s="91">
        <v>312860434.42999995</v>
      </c>
    </row>
    <row r="47" spans="1:37" x14ac:dyDescent="0.15">
      <c r="A47" s="63">
        <v>2020</v>
      </c>
      <c r="B47" s="43">
        <v>1049</v>
      </c>
      <c r="C47" s="44">
        <v>23445.904999999999</v>
      </c>
      <c r="D47" s="44">
        <v>23411149.509999998</v>
      </c>
      <c r="E47" s="44">
        <v>6548342.1199999992</v>
      </c>
      <c r="F47" s="43">
        <v>799</v>
      </c>
      <c r="G47" s="44">
        <v>26907.224999999999</v>
      </c>
      <c r="H47" s="44">
        <v>23810844.150000002</v>
      </c>
      <c r="I47" s="44">
        <v>4888367.67</v>
      </c>
      <c r="J47" s="43">
        <v>3003</v>
      </c>
      <c r="K47" s="44">
        <v>31100.417999999998</v>
      </c>
      <c r="L47" s="44">
        <v>93467134.459999979</v>
      </c>
      <c r="M47" s="44">
        <v>18326046.479999997</v>
      </c>
      <c r="N47" s="43">
        <v>824</v>
      </c>
      <c r="O47" s="44">
        <v>25390.880000000001</v>
      </c>
      <c r="P47" s="44">
        <v>20922085.120000001</v>
      </c>
      <c r="Q47" s="44">
        <v>7228952</v>
      </c>
      <c r="R47" s="43">
        <v>881</v>
      </c>
      <c r="S47" s="44">
        <v>28796.203333333335</v>
      </c>
      <c r="T47" s="44">
        <v>25667594.050000001</v>
      </c>
      <c r="U47" s="44">
        <v>4761975.1199999992</v>
      </c>
      <c r="V47" s="43">
        <v>2039</v>
      </c>
      <c r="W47" s="44">
        <v>26738.523333333334</v>
      </c>
      <c r="X47" s="44">
        <v>58287784.540000007</v>
      </c>
      <c r="Y47" s="44">
        <v>10407568.440000001</v>
      </c>
      <c r="Z47" s="43">
        <v>1237</v>
      </c>
      <c r="AA47" s="44">
        <v>20653.36</v>
      </c>
      <c r="AB47" s="44">
        <v>25517543.219999999</v>
      </c>
      <c r="AC47" s="44">
        <v>7693978.8900000006</v>
      </c>
      <c r="AD47" s="43">
        <v>2226</v>
      </c>
      <c r="AE47" s="44">
        <v>25749.776666666668</v>
      </c>
      <c r="AF47" s="44">
        <v>55334836.050000004</v>
      </c>
      <c r="AG47" s="44">
        <v>18861183.18</v>
      </c>
      <c r="AH47" s="43">
        <v>12058</v>
      </c>
      <c r="AI47" s="43">
        <v>26988.545714285719</v>
      </c>
      <c r="AJ47" s="43">
        <v>326418971.09999996</v>
      </c>
      <c r="AK47" s="45">
        <v>78716413.900000006</v>
      </c>
    </row>
    <row r="48" spans="1:37" x14ac:dyDescent="0.15">
      <c r="A48" s="63">
        <v>2021</v>
      </c>
      <c r="B48" s="43">
        <v>1510</v>
      </c>
      <c r="C48" s="44">
        <v>31446.502500000002</v>
      </c>
      <c r="D48" s="44">
        <v>52781102.590000004</v>
      </c>
      <c r="E48" s="44">
        <v>12320095.23</v>
      </c>
      <c r="F48" s="43">
        <v>194</v>
      </c>
      <c r="G48" s="44">
        <v>13561.52</v>
      </c>
      <c r="H48" s="44">
        <v>2630934.88</v>
      </c>
      <c r="I48" s="44">
        <v>1817122.34</v>
      </c>
      <c r="J48" s="43">
        <v>1764</v>
      </c>
      <c r="K48" s="44">
        <v>24384.623333333333</v>
      </c>
      <c r="L48" s="44">
        <v>52658963.599999994</v>
      </c>
      <c r="M48" s="44">
        <v>6169065.2199999997</v>
      </c>
      <c r="N48" s="43">
        <v>218</v>
      </c>
      <c r="O48" s="44">
        <v>18450.310000000001</v>
      </c>
      <c r="P48" s="44">
        <v>4022167.58</v>
      </c>
      <c r="Q48" s="44">
        <v>713699.29999999993</v>
      </c>
      <c r="R48" s="43">
        <v>1799</v>
      </c>
      <c r="S48" s="44">
        <v>23326.899999999998</v>
      </c>
      <c r="T48" s="44">
        <v>42136588.039999999</v>
      </c>
      <c r="U48" s="44">
        <v>7764248.5700000003</v>
      </c>
      <c r="V48" s="43">
        <v>700</v>
      </c>
      <c r="W48" s="44">
        <v>29381.05</v>
      </c>
      <c r="X48" s="44">
        <v>20733311.68</v>
      </c>
      <c r="Y48" s="44">
        <v>4349337.93</v>
      </c>
      <c r="Z48" s="43">
        <v>3554</v>
      </c>
      <c r="AA48" s="44">
        <v>31046.293333333335</v>
      </c>
      <c r="AB48" s="44">
        <v>114205304.08000001</v>
      </c>
      <c r="AC48" s="44">
        <v>17815448.920000002</v>
      </c>
      <c r="AD48" s="43">
        <v>4019</v>
      </c>
      <c r="AE48" s="44">
        <v>21276.41333333333</v>
      </c>
      <c r="AF48" s="44">
        <v>90839937.75</v>
      </c>
      <c r="AG48" s="44">
        <v>22647624.240000002</v>
      </c>
      <c r="AH48" s="43">
        <v>13758</v>
      </c>
      <c r="AI48" s="43">
        <v>25908.875000000004</v>
      </c>
      <c r="AJ48" s="43">
        <v>380008310.19999999</v>
      </c>
      <c r="AK48" s="45">
        <v>73596641.750000015</v>
      </c>
    </row>
    <row r="49" spans="1:37" x14ac:dyDescent="0.15">
      <c r="A49" s="63">
        <v>2022</v>
      </c>
      <c r="B49" s="43">
        <v>1363</v>
      </c>
      <c r="C49" s="44">
        <v>36096.254000000001</v>
      </c>
      <c r="D49" s="44">
        <v>50084346.840000004</v>
      </c>
      <c r="E49" s="44">
        <v>9193562.5199999996</v>
      </c>
      <c r="F49" s="43">
        <v>1227</v>
      </c>
      <c r="G49" s="44">
        <v>45186.565000000002</v>
      </c>
      <c r="H49" s="44">
        <v>52868705.879999995</v>
      </c>
      <c r="I49" s="44">
        <v>8954056.4900000002</v>
      </c>
      <c r="J49" s="43">
        <v>4123</v>
      </c>
      <c r="K49" s="44">
        <v>32361.034285714286</v>
      </c>
      <c r="L49" s="44">
        <v>127096103.00999999</v>
      </c>
      <c r="M49" s="44">
        <v>26787137.399999999</v>
      </c>
      <c r="N49" s="43">
        <v>511</v>
      </c>
      <c r="O49" s="44">
        <v>30600.235000000001</v>
      </c>
      <c r="P49" s="44">
        <v>15573426.960000001</v>
      </c>
      <c r="Q49" s="44">
        <v>2781366.56</v>
      </c>
      <c r="R49" s="43">
        <v>1338</v>
      </c>
      <c r="S49" s="44">
        <v>29519.589999999997</v>
      </c>
      <c r="T49" s="44">
        <v>40724309.130000003</v>
      </c>
      <c r="U49" s="44">
        <v>9248937.2199999988</v>
      </c>
      <c r="V49" s="43">
        <v>1563</v>
      </c>
      <c r="W49" s="44">
        <v>24526.13</v>
      </c>
      <c r="X49" s="44">
        <v>42526814.789999999</v>
      </c>
      <c r="Y49" s="44">
        <v>10071501.949999999</v>
      </c>
      <c r="Z49" s="43">
        <v>450</v>
      </c>
      <c r="AA49" s="44">
        <v>47731.6</v>
      </c>
      <c r="AB49" s="44">
        <v>21479220</v>
      </c>
      <c r="AC49" s="44">
        <v>1405129.5</v>
      </c>
      <c r="AD49" s="43">
        <v>2707</v>
      </c>
      <c r="AE49" s="44">
        <v>27340.390000000003</v>
      </c>
      <c r="AF49" s="44">
        <v>61824997.450000003</v>
      </c>
      <c r="AG49" s="44">
        <v>16208554.27</v>
      </c>
      <c r="AH49" s="43">
        <v>13282</v>
      </c>
      <c r="AI49" s="43">
        <v>32326.88642857143</v>
      </c>
      <c r="AJ49" s="43">
        <v>412177924.06000006</v>
      </c>
      <c r="AK49" s="45">
        <v>84650245.909999982</v>
      </c>
    </row>
    <row r="50" spans="1:37" x14ac:dyDescent="0.15">
      <c r="A50" s="63">
        <v>2023</v>
      </c>
      <c r="B50" s="43">
        <v>1299</v>
      </c>
      <c r="C50" s="44">
        <v>21799.496666666666</v>
      </c>
      <c r="D50" s="44">
        <v>37204408.32</v>
      </c>
      <c r="E50" s="44">
        <v>8388100.0099999998</v>
      </c>
      <c r="F50" s="43">
        <v>1535</v>
      </c>
      <c r="G50" s="44">
        <v>26663.735000000001</v>
      </c>
      <c r="H50" s="44">
        <v>40991171.409999996</v>
      </c>
      <c r="I50" s="44">
        <v>9457457.1400000006</v>
      </c>
      <c r="J50" s="43">
        <v>2624</v>
      </c>
      <c r="K50" s="44">
        <v>33926.978571428575</v>
      </c>
      <c r="L50" s="44">
        <v>90551506.359999999</v>
      </c>
      <c r="M50" s="44">
        <v>13884419.9</v>
      </c>
      <c r="N50" s="43">
        <v>2819</v>
      </c>
      <c r="O50" s="44">
        <v>23788.688000000002</v>
      </c>
      <c r="P50" s="44">
        <v>71687985.329999998</v>
      </c>
      <c r="Q50" s="44">
        <v>16425519.879999999</v>
      </c>
      <c r="R50" s="43">
        <v>1560</v>
      </c>
      <c r="S50" s="44">
        <v>31422.496666666662</v>
      </c>
      <c r="T50" s="44">
        <v>46992290.380000003</v>
      </c>
      <c r="U50" s="44">
        <v>8073819.2000000002</v>
      </c>
      <c r="V50" s="43">
        <v>127</v>
      </c>
      <c r="W50" s="44">
        <v>35665.11</v>
      </c>
      <c r="X50" s="44">
        <v>4529468.97</v>
      </c>
      <c r="Y50" s="44">
        <v>1233547.19</v>
      </c>
      <c r="Z50" s="43">
        <v>2796</v>
      </c>
      <c r="AA50" s="44">
        <v>30244.667999999998</v>
      </c>
      <c r="AB50" s="44">
        <v>72912958.350000009</v>
      </c>
      <c r="AC50" s="44">
        <v>17126675.5</v>
      </c>
      <c r="AD50" s="43">
        <v>329</v>
      </c>
      <c r="AE50" s="44">
        <v>41907.39</v>
      </c>
      <c r="AF50" s="44">
        <v>13787531.310000001</v>
      </c>
      <c r="AG50" s="44">
        <v>1307594.05</v>
      </c>
      <c r="AH50" s="43">
        <v>13089</v>
      </c>
      <c r="AI50" s="43">
        <v>29563.762222222223</v>
      </c>
      <c r="AJ50" s="43">
        <v>378657320.43000007</v>
      </c>
      <c r="AK50" s="45">
        <v>75897132.869999975</v>
      </c>
    </row>
    <row r="51" spans="1:37" ht="14" x14ac:dyDescent="0.15">
      <c r="A51" s="76" t="s">
        <v>153</v>
      </c>
      <c r="B51" s="77">
        <v>8051</v>
      </c>
      <c r="C51" s="78">
        <v>31036.53571428571</v>
      </c>
      <c r="D51" s="78">
        <v>254679817.41</v>
      </c>
      <c r="E51" s="78">
        <v>51742303.380000003</v>
      </c>
      <c r="F51" s="77">
        <v>6866</v>
      </c>
      <c r="G51" s="78">
        <v>31259.617857142857</v>
      </c>
      <c r="H51" s="78">
        <v>224475855.82000002</v>
      </c>
      <c r="I51" s="78">
        <v>42571514.100000001</v>
      </c>
      <c r="J51" s="77">
        <v>2859</v>
      </c>
      <c r="K51" s="78">
        <v>27758.723999999998</v>
      </c>
      <c r="L51" s="78">
        <v>73432157.25</v>
      </c>
      <c r="M51" s="78">
        <v>17587007.370000001</v>
      </c>
      <c r="N51" s="77">
        <v>9023</v>
      </c>
      <c r="O51" s="78">
        <v>27834.009999999995</v>
      </c>
      <c r="P51" s="78">
        <v>279275528.97000003</v>
      </c>
      <c r="Q51" s="78">
        <v>59676669.660000004</v>
      </c>
      <c r="R51" s="77">
        <v>3276</v>
      </c>
      <c r="S51" s="78">
        <v>32435.010000000002</v>
      </c>
      <c r="T51" s="78">
        <v>103064744.17</v>
      </c>
      <c r="U51" s="78">
        <v>16005181.59</v>
      </c>
      <c r="V51" s="77">
        <v>8111</v>
      </c>
      <c r="W51" s="78">
        <v>28315.011666666669</v>
      </c>
      <c r="X51" s="78">
        <v>230984826.59999999</v>
      </c>
      <c r="Y51" s="78">
        <v>49226279.32</v>
      </c>
      <c r="Z51" s="77">
        <v>6144</v>
      </c>
      <c r="AA51" s="78">
        <v>35263.461999999992</v>
      </c>
      <c r="AB51" s="78">
        <v>206790947</v>
      </c>
      <c r="AC51" s="78">
        <v>34641982.230000004</v>
      </c>
      <c r="AD51" s="77">
        <v>9599</v>
      </c>
      <c r="AE51" s="78">
        <v>29284.24388888889</v>
      </c>
      <c r="AF51" s="78">
        <v>291085842.70999998</v>
      </c>
      <c r="AG51" s="78">
        <v>59233349.519999996</v>
      </c>
      <c r="AH51" s="77">
        <v>53929</v>
      </c>
      <c r="AI51" s="77">
        <v>30532.460000000003</v>
      </c>
      <c r="AJ51" s="77">
        <v>1663789719.9300003</v>
      </c>
      <c r="AK51" s="91">
        <v>330684287.17000008</v>
      </c>
    </row>
    <row r="52" spans="1:37" x14ac:dyDescent="0.15">
      <c r="A52" s="63">
        <v>2020</v>
      </c>
      <c r="B52" s="43">
        <v>2974</v>
      </c>
      <c r="C52" s="44">
        <v>30284.265999999996</v>
      </c>
      <c r="D52" s="44">
        <v>87304663.899999991</v>
      </c>
      <c r="E52" s="44">
        <v>21003727.98</v>
      </c>
      <c r="F52" s="43">
        <v>2251</v>
      </c>
      <c r="G52" s="44">
        <v>33860.512499999997</v>
      </c>
      <c r="H52" s="44">
        <v>79756538.620000005</v>
      </c>
      <c r="I52" s="44">
        <v>15011221.390000001</v>
      </c>
      <c r="J52" s="43">
        <v>355</v>
      </c>
      <c r="K52" s="44">
        <v>19246.61</v>
      </c>
      <c r="L52" s="44">
        <v>6832546.5499999998</v>
      </c>
      <c r="M52" s="44">
        <v>922691.15</v>
      </c>
      <c r="N52" s="43">
        <v>1958</v>
      </c>
      <c r="O52" s="44">
        <v>24213.279999999999</v>
      </c>
      <c r="P52" s="44">
        <v>51979145.689999998</v>
      </c>
      <c r="Q52" s="44">
        <v>12169195.370000001</v>
      </c>
      <c r="R52" s="43">
        <v>482</v>
      </c>
      <c r="S52" s="44">
        <v>36811.214999999997</v>
      </c>
      <c r="T52" s="44">
        <v>18250455.390000001</v>
      </c>
      <c r="U52" s="44">
        <v>3241117.25</v>
      </c>
      <c r="V52" s="43">
        <v>1975</v>
      </c>
      <c r="W52" s="44">
        <v>23703.366666666669</v>
      </c>
      <c r="X52" s="44">
        <v>50625925.350000001</v>
      </c>
      <c r="Y52" s="44">
        <v>9007920.6000000015</v>
      </c>
      <c r="Z52" s="43">
        <v>504</v>
      </c>
      <c r="AA52" s="44">
        <v>37053.01</v>
      </c>
      <c r="AB52" s="44">
        <v>18674717.039999999</v>
      </c>
      <c r="AC52" s="44">
        <v>2214399.5999999996</v>
      </c>
      <c r="AD52" s="43">
        <v>3309</v>
      </c>
      <c r="AE52" s="44">
        <v>31366.261999999999</v>
      </c>
      <c r="AF52" s="44">
        <v>96795116.449999988</v>
      </c>
      <c r="AG52" s="44">
        <v>26808998.279999997</v>
      </c>
      <c r="AH52" s="43">
        <v>13808</v>
      </c>
      <c r="AI52" s="43">
        <v>29453.586153846161</v>
      </c>
      <c r="AJ52" s="43">
        <v>410219108.99000001</v>
      </c>
      <c r="AK52" s="45">
        <v>90379271.62000002</v>
      </c>
    </row>
    <row r="53" spans="1:37" x14ac:dyDescent="0.15">
      <c r="A53" s="63">
        <v>2021</v>
      </c>
      <c r="B53" s="43">
        <v>3698</v>
      </c>
      <c r="C53" s="44">
        <v>26816.083333333332</v>
      </c>
      <c r="D53" s="44">
        <v>114348937.40999998</v>
      </c>
      <c r="E53" s="44">
        <v>21318677.879999999</v>
      </c>
      <c r="F53" s="43">
        <v>1339</v>
      </c>
      <c r="G53" s="44">
        <v>33311.887499999997</v>
      </c>
      <c r="H53" s="44">
        <v>48639576.269999996</v>
      </c>
      <c r="I53" s="44">
        <v>9334668.1900000013</v>
      </c>
      <c r="J53" s="43">
        <v>820</v>
      </c>
      <c r="K53" s="44">
        <v>15596.18</v>
      </c>
      <c r="L53" s="44">
        <v>12788867.6</v>
      </c>
      <c r="M53" s="44">
        <v>7155041.2000000002</v>
      </c>
      <c r="N53" s="43">
        <v>3415</v>
      </c>
      <c r="O53" s="44">
        <v>31771.223999999998</v>
      </c>
      <c r="P53" s="44">
        <v>111353130.65000002</v>
      </c>
      <c r="Q53" s="44">
        <v>25698610.150000002</v>
      </c>
      <c r="R53" s="43">
        <v>1159</v>
      </c>
      <c r="S53" s="44">
        <v>28479.190000000002</v>
      </c>
      <c r="T53" s="44">
        <v>30920947.579999998</v>
      </c>
      <c r="U53" s="44">
        <v>5046505.08</v>
      </c>
      <c r="V53" s="43">
        <v>1473</v>
      </c>
      <c r="W53" s="44">
        <v>28673.05</v>
      </c>
      <c r="X53" s="44">
        <v>39576387.869999997</v>
      </c>
      <c r="Y53" s="44">
        <v>9641784.6799999997</v>
      </c>
      <c r="Z53" s="43">
        <v>982</v>
      </c>
      <c r="AA53" s="44">
        <v>40157.6175</v>
      </c>
      <c r="AB53" s="44">
        <v>38809492.390000001</v>
      </c>
      <c r="AC53" s="44">
        <v>7236403.8600000003</v>
      </c>
      <c r="AD53" s="43">
        <v>1481</v>
      </c>
      <c r="AE53" s="44">
        <v>28751.533333333336</v>
      </c>
      <c r="AF53" s="44">
        <v>45241062.910000004</v>
      </c>
      <c r="AG53" s="44">
        <v>9247184.7400000002</v>
      </c>
      <c r="AH53" s="43">
        <v>14367</v>
      </c>
      <c r="AI53" s="43">
        <v>30659.248214285715</v>
      </c>
      <c r="AJ53" s="43">
        <v>441678402.68000007</v>
      </c>
      <c r="AK53" s="45">
        <v>94678875.780000001</v>
      </c>
    </row>
    <row r="54" spans="1:37" x14ac:dyDescent="0.15">
      <c r="A54" s="63">
        <v>2022</v>
      </c>
      <c r="B54" s="43">
        <v>558</v>
      </c>
      <c r="C54" s="44">
        <v>37757.629999999997</v>
      </c>
      <c r="D54" s="44">
        <v>21068757.539999999</v>
      </c>
      <c r="E54" s="44">
        <v>4903692.84</v>
      </c>
      <c r="F54" s="43">
        <v>1315</v>
      </c>
      <c r="G54" s="44">
        <v>15322.393333333333</v>
      </c>
      <c r="H54" s="44">
        <v>16880618.899999999</v>
      </c>
      <c r="I54" s="44">
        <v>5165329.75</v>
      </c>
      <c r="J54" s="43"/>
      <c r="K54" s="44"/>
      <c r="L54" s="44"/>
      <c r="M54" s="44"/>
      <c r="N54" s="43">
        <v>899</v>
      </c>
      <c r="O54" s="44">
        <v>27430.43</v>
      </c>
      <c r="P54" s="44">
        <v>24659956.57</v>
      </c>
      <c r="Q54" s="44">
        <v>8454249.9399999995</v>
      </c>
      <c r="R54" s="43">
        <v>1190</v>
      </c>
      <c r="S54" s="44">
        <v>23163.105</v>
      </c>
      <c r="T54" s="44">
        <v>36809573.369999997</v>
      </c>
      <c r="U54" s="44">
        <v>4808960.42</v>
      </c>
      <c r="V54" s="43">
        <v>1488</v>
      </c>
      <c r="W54" s="44">
        <v>23389.334999999999</v>
      </c>
      <c r="X54" s="44">
        <v>34288811.640000001</v>
      </c>
      <c r="Y54" s="44">
        <v>12339366.359999999</v>
      </c>
      <c r="Z54" s="43">
        <v>1892</v>
      </c>
      <c r="AA54" s="44">
        <v>37068.258000000002</v>
      </c>
      <c r="AB54" s="44">
        <v>73469222.030000001</v>
      </c>
      <c r="AC54" s="44">
        <v>10377762.83</v>
      </c>
      <c r="AD54" s="43">
        <v>3426</v>
      </c>
      <c r="AE54" s="44">
        <v>27344.318571428568</v>
      </c>
      <c r="AF54" s="44">
        <v>98133725.620000005</v>
      </c>
      <c r="AG54" s="44">
        <v>18303608.030000001</v>
      </c>
      <c r="AH54" s="43">
        <v>10768</v>
      </c>
      <c r="AI54" s="43">
        <v>27667.220952380954</v>
      </c>
      <c r="AJ54" s="43">
        <v>305310665.67000002</v>
      </c>
      <c r="AK54" s="45">
        <v>64352970.169999994</v>
      </c>
    </row>
    <row r="55" spans="1:37" x14ac:dyDescent="0.15">
      <c r="A55" s="63">
        <v>2023</v>
      </c>
      <c r="B55" s="43">
        <v>821</v>
      </c>
      <c r="C55" s="44">
        <v>42218.020000000004</v>
      </c>
      <c r="D55" s="44">
        <v>31957458.560000002</v>
      </c>
      <c r="E55" s="44">
        <v>4516204.68</v>
      </c>
      <c r="F55" s="43">
        <v>1961</v>
      </c>
      <c r="G55" s="44">
        <v>40992.623333333329</v>
      </c>
      <c r="H55" s="44">
        <v>79199122.030000001</v>
      </c>
      <c r="I55" s="44">
        <v>13060294.77</v>
      </c>
      <c r="J55" s="43">
        <v>1684</v>
      </c>
      <c r="K55" s="44">
        <v>34650.276666666665</v>
      </c>
      <c r="L55" s="44">
        <v>53810743.100000001</v>
      </c>
      <c r="M55" s="44">
        <v>9509275.0199999996</v>
      </c>
      <c r="N55" s="43">
        <v>2751</v>
      </c>
      <c r="O55" s="44">
        <v>27539.300000000003</v>
      </c>
      <c r="P55" s="44">
        <v>91283296.059999987</v>
      </c>
      <c r="Q55" s="44">
        <v>13354614.199999999</v>
      </c>
      <c r="R55" s="43">
        <v>445</v>
      </c>
      <c r="S55" s="44">
        <v>41286.53</v>
      </c>
      <c r="T55" s="44">
        <v>17083767.830000002</v>
      </c>
      <c r="U55" s="44">
        <v>2908598.84</v>
      </c>
      <c r="V55" s="43">
        <v>3175</v>
      </c>
      <c r="W55" s="44">
        <v>33968.055</v>
      </c>
      <c r="X55" s="44">
        <v>106493701.73999999</v>
      </c>
      <c r="Y55" s="44">
        <v>18237207.68</v>
      </c>
      <c r="Z55" s="43">
        <v>2766</v>
      </c>
      <c r="AA55" s="44">
        <v>29185.432000000001</v>
      </c>
      <c r="AB55" s="44">
        <v>75837515.539999992</v>
      </c>
      <c r="AC55" s="44">
        <v>14813415.939999999</v>
      </c>
      <c r="AD55" s="43">
        <v>1383</v>
      </c>
      <c r="AE55" s="44">
        <v>30873.416666666668</v>
      </c>
      <c r="AF55" s="44">
        <v>50915937.730000004</v>
      </c>
      <c r="AG55" s="44">
        <v>4873558.47</v>
      </c>
      <c r="AH55" s="43">
        <v>14986</v>
      </c>
      <c r="AI55" s="43">
        <v>33789.024230769232</v>
      </c>
      <c r="AJ55" s="43">
        <v>506581542.59000015</v>
      </c>
      <c r="AK55" s="45">
        <v>81273169.600000024</v>
      </c>
    </row>
    <row r="56" spans="1:37" ht="14" x14ac:dyDescent="0.15">
      <c r="A56" s="46" t="s">
        <v>789</v>
      </c>
      <c r="B56" s="47">
        <v>70833</v>
      </c>
      <c r="C56" s="48">
        <v>29305.853237410065</v>
      </c>
      <c r="D56" s="48">
        <v>2110678804.0499997</v>
      </c>
      <c r="E56" s="48">
        <v>438624304.48000002</v>
      </c>
      <c r="F56" s="47">
        <v>64234</v>
      </c>
      <c r="G56" s="48">
        <v>28566.641833333331</v>
      </c>
      <c r="H56" s="48">
        <v>1913308279.3899999</v>
      </c>
      <c r="I56" s="48">
        <v>416503461.0400002</v>
      </c>
      <c r="J56" s="47">
        <v>76129</v>
      </c>
      <c r="K56" s="48">
        <v>31227.87000000001</v>
      </c>
      <c r="L56" s="48">
        <v>2384888721.150001</v>
      </c>
      <c r="M56" s="48">
        <v>450351412.32000011</v>
      </c>
      <c r="N56" s="47">
        <v>54093</v>
      </c>
      <c r="O56" s="48">
        <v>29061.767326732672</v>
      </c>
      <c r="P56" s="48">
        <v>1600415863.6600001</v>
      </c>
      <c r="Q56" s="48">
        <v>336623228.97000009</v>
      </c>
      <c r="R56" s="47">
        <v>63879</v>
      </c>
      <c r="S56" s="48">
        <v>30126.338306451609</v>
      </c>
      <c r="T56" s="48">
        <v>1974585531.9300003</v>
      </c>
      <c r="U56" s="48">
        <v>385392110.73999995</v>
      </c>
      <c r="V56" s="47">
        <v>64863</v>
      </c>
      <c r="W56" s="48">
        <v>30200.08475409836</v>
      </c>
      <c r="X56" s="48">
        <v>1947169761.1000001</v>
      </c>
      <c r="Y56" s="48">
        <v>387736296.23000008</v>
      </c>
      <c r="Z56" s="47">
        <v>66641</v>
      </c>
      <c r="AA56" s="48">
        <v>31673.915679999998</v>
      </c>
      <c r="AB56" s="48">
        <v>2118009970.5800002</v>
      </c>
      <c r="AC56" s="48">
        <v>395731339.01999992</v>
      </c>
      <c r="AD56" s="47">
        <v>76132</v>
      </c>
      <c r="AE56" s="48">
        <v>29678.281729323302</v>
      </c>
      <c r="AF56" s="48">
        <v>2268607546.7100005</v>
      </c>
      <c r="AG56" s="48">
        <v>477487002.58999985</v>
      </c>
      <c r="AH56" s="47">
        <v>536804</v>
      </c>
      <c r="AI56" s="47">
        <v>30010.266659999998</v>
      </c>
      <c r="AJ56" s="47">
        <v>16317664478.57</v>
      </c>
      <c r="AK56" s="49">
        <v>3288449155.3900003</v>
      </c>
    </row>
    <row r="60" spans="1:37" x14ac:dyDescent="0.15">
      <c r="B60" s="70"/>
      <c r="C60" s="70"/>
      <c r="D60" s="70"/>
      <c r="E60" s="70"/>
      <c r="F60" s="70"/>
      <c r="G60" s="70"/>
      <c r="H60" s="70"/>
      <c r="I60" s="70"/>
    </row>
    <row r="61" spans="1:37" x14ac:dyDescent="0.15">
      <c r="A61" s="70"/>
    </row>
    <row r="62" spans="1:37" x14ac:dyDescent="0.15">
      <c r="A62" s="70"/>
    </row>
    <row r="63" spans="1:37" x14ac:dyDescent="0.15">
      <c r="A63" s="70"/>
    </row>
    <row r="64" spans="1:37" x14ac:dyDescent="0.15">
      <c r="A64" s="70"/>
    </row>
    <row r="65" spans="1:1" x14ac:dyDescent="0.15">
      <c r="A65" s="70"/>
    </row>
    <row r="66" spans="1:1" x14ac:dyDescent="0.15">
      <c r="A66" s="70"/>
    </row>
    <row r="67" spans="1:1" x14ac:dyDescent="0.15">
      <c r="A67" s="70"/>
    </row>
    <row r="68" spans="1:1" x14ac:dyDescent="0.15">
      <c r="A68" s="7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655A92-AEEE-6F47-9724-50976899CF55}">
  <dimension ref="A2:T140"/>
  <sheetViews>
    <sheetView topLeftCell="H15" zoomScale="90" workbookViewId="0">
      <selection activeCell="M147" sqref="M147"/>
    </sheetView>
  </sheetViews>
  <sheetFormatPr baseColWidth="10" defaultRowHeight="13" x14ac:dyDescent="0.15"/>
  <cols>
    <col min="6" max="8" width="11" bestFit="1" customWidth="1"/>
    <col min="9" max="9" width="12.33203125" bestFit="1" customWidth="1"/>
    <col min="12" max="13" width="11" bestFit="1" customWidth="1"/>
    <col min="16" max="17" width="11" bestFit="1" customWidth="1"/>
    <col min="18" max="20" width="12.33203125" bestFit="1" customWidth="1"/>
  </cols>
  <sheetData>
    <row r="2" spans="1:20" ht="14" thickBot="1" x14ac:dyDescent="0.2">
      <c r="A2" s="2" t="s">
        <v>13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31" t="s">
        <v>12</v>
      </c>
      <c r="M2" s="2" t="s">
        <v>793</v>
      </c>
      <c r="O2" s="73"/>
      <c r="P2" s="73"/>
      <c r="Q2" s="73"/>
    </row>
    <row r="3" spans="1:20" x14ac:dyDescent="0.15">
      <c r="A3" s="12"/>
      <c r="B3" s="13" t="s">
        <v>13</v>
      </c>
      <c r="C3" s="14" t="s">
        <v>19</v>
      </c>
      <c r="D3" s="15" t="s">
        <v>15</v>
      </c>
      <c r="E3" s="15" t="s">
        <v>21</v>
      </c>
      <c r="F3" s="16">
        <v>620</v>
      </c>
      <c r="G3" s="17">
        <v>35549.32</v>
      </c>
      <c r="H3" s="17">
        <v>2269.9699999999998</v>
      </c>
      <c r="I3" s="19">
        <v>22040578.399999999</v>
      </c>
      <c r="J3" s="15" t="s">
        <v>22</v>
      </c>
      <c r="K3" s="15" t="s">
        <v>18</v>
      </c>
      <c r="L3" s="9">
        <f>YEAR(E3)</f>
        <v>2020</v>
      </c>
      <c r="M3" s="18">
        <f>H3*F3</f>
        <v>1407381.4</v>
      </c>
      <c r="O3" s="74"/>
      <c r="P3" s="73" t="s">
        <v>12</v>
      </c>
      <c r="Q3" s="73" t="s">
        <v>792</v>
      </c>
      <c r="R3" s="73" t="s">
        <v>793</v>
      </c>
    </row>
    <row r="4" spans="1:20" x14ac:dyDescent="0.15">
      <c r="A4" s="12"/>
      <c r="B4" s="13" t="s">
        <v>13</v>
      </c>
      <c r="C4" s="14" t="s">
        <v>14</v>
      </c>
      <c r="D4" s="15" t="s">
        <v>15</v>
      </c>
      <c r="E4" s="15" t="s">
        <v>34</v>
      </c>
      <c r="F4" s="16">
        <v>479</v>
      </c>
      <c r="G4" s="17">
        <v>17626.87</v>
      </c>
      <c r="H4" s="17">
        <v>6801.41</v>
      </c>
      <c r="I4" s="17">
        <v>8443270.7300000004</v>
      </c>
      <c r="J4" s="15" t="s">
        <v>28</v>
      </c>
      <c r="K4" s="15" t="s">
        <v>18</v>
      </c>
      <c r="L4" s="9">
        <f>YEAR(E4)</f>
        <v>2020</v>
      </c>
      <c r="M4" s="18">
        <f t="shared" ref="M4:M67" si="0">H4*F4</f>
        <v>3257875.39</v>
      </c>
      <c r="O4" s="74"/>
      <c r="P4" s="74">
        <v>2020</v>
      </c>
      <c r="Q4" s="74">
        <f ca="1">ROUND(SUMIF(L3:L140,P4,F3:F138),0)</f>
        <v>18846</v>
      </c>
      <c r="R4" s="74">
        <f>ROUND(SUMIF(L3:L140,P4, M3:M140),0)</f>
        <v>125597922</v>
      </c>
    </row>
    <row r="5" spans="1:20" x14ac:dyDescent="0.15">
      <c r="A5" s="12"/>
      <c r="B5" s="13" t="s">
        <v>13</v>
      </c>
      <c r="C5" s="14" t="s">
        <v>19</v>
      </c>
      <c r="D5" s="15" t="s">
        <v>26</v>
      </c>
      <c r="E5" s="15" t="s">
        <v>40</v>
      </c>
      <c r="F5" s="16">
        <v>151</v>
      </c>
      <c r="G5" s="17">
        <v>15679.05</v>
      </c>
      <c r="H5" s="17">
        <v>8708.7099999999991</v>
      </c>
      <c r="I5" s="17">
        <v>2367536.5499999998</v>
      </c>
      <c r="J5" s="15" t="s">
        <v>28</v>
      </c>
      <c r="K5" s="15" t="s">
        <v>18</v>
      </c>
      <c r="L5" s="9">
        <f>YEAR(E5)</f>
        <v>2020</v>
      </c>
      <c r="M5" s="18">
        <f t="shared" si="0"/>
        <v>1315015.21</v>
      </c>
      <c r="O5" s="74"/>
      <c r="P5" s="74">
        <v>2021</v>
      </c>
      <c r="Q5" s="74">
        <f>ROUND(SUMIF(L3:L140,P5,F3:F140),0)</f>
        <v>20284</v>
      </c>
      <c r="R5" s="74">
        <f>ROUND(SUMIF(L3:L140,P5, M3:M140),0)</f>
        <v>135780817</v>
      </c>
    </row>
    <row r="6" spans="1:20" x14ac:dyDescent="0.15">
      <c r="A6" s="12"/>
      <c r="B6" s="13" t="s">
        <v>13</v>
      </c>
      <c r="C6" s="14" t="s">
        <v>23</v>
      </c>
      <c r="D6" s="15" t="s">
        <v>26</v>
      </c>
      <c r="E6" s="15" t="s">
        <v>42</v>
      </c>
      <c r="F6" s="16">
        <v>987</v>
      </c>
      <c r="G6" s="19">
        <v>38561.5</v>
      </c>
      <c r="H6" s="17">
        <v>9018.41</v>
      </c>
      <c r="I6" s="19">
        <v>38060200.5</v>
      </c>
      <c r="J6" s="15" t="s">
        <v>17</v>
      </c>
      <c r="K6" s="15" t="s">
        <v>18</v>
      </c>
      <c r="L6" s="9">
        <f>YEAR(E6)</f>
        <v>2020</v>
      </c>
      <c r="M6" s="18">
        <f t="shared" si="0"/>
        <v>8901170.6699999999</v>
      </c>
      <c r="O6" s="74"/>
      <c r="P6" s="74">
        <v>2022</v>
      </c>
      <c r="Q6" s="74">
        <f>ROUND(SUMIF(L3:L140,P6,F3:F140),0)</f>
        <v>17495</v>
      </c>
      <c r="R6" s="74">
        <f>ROUND(SUMIF(L3:L140,P6, M3:M140),0)</f>
        <v>91874796</v>
      </c>
    </row>
    <row r="7" spans="1:20" x14ac:dyDescent="0.15">
      <c r="A7" s="12"/>
      <c r="B7" s="13" t="s">
        <v>13</v>
      </c>
      <c r="C7" s="14" t="s">
        <v>25</v>
      </c>
      <c r="D7" s="15" t="s">
        <v>26</v>
      </c>
      <c r="E7" s="15" t="s">
        <v>48</v>
      </c>
      <c r="F7" s="16">
        <v>445</v>
      </c>
      <c r="G7" s="17">
        <v>20520.439999999999</v>
      </c>
      <c r="H7" s="17">
        <v>6305.29</v>
      </c>
      <c r="I7" s="19">
        <v>9131595.8000000007</v>
      </c>
      <c r="J7" s="15" t="s">
        <v>17</v>
      </c>
      <c r="K7" s="15" t="s">
        <v>18</v>
      </c>
      <c r="L7" s="9">
        <f>YEAR(E7)</f>
        <v>2020</v>
      </c>
      <c r="M7" s="18">
        <f t="shared" si="0"/>
        <v>2805854.05</v>
      </c>
      <c r="O7" s="74"/>
      <c r="P7" s="74">
        <v>2023</v>
      </c>
      <c r="Q7" s="74">
        <f>ROUND(SUMIF(L3:L140,P7,F3:F140),0)</f>
        <v>13308</v>
      </c>
      <c r="R7" s="74">
        <f>ROUND(SUMIF(L3:L140,P7, M3:M140),0)</f>
        <v>80449083</v>
      </c>
    </row>
    <row r="8" spans="1:20" ht="14" x14ac:dyDescent="0.15">
      <c r="A8" s="12"/>
      <c r="B8" s="13" t="s">
        <v>13</v>
      </c>
      <c r="C8" s="14" t="s">
        <v>14</v>
      </c>
      <c r="D8" s="15" t="s">
        <v>26</v>
      </c>
      <c r="E8" s="15" t="s">
        <v>50</v>
      </c>
      <c r="F8" s="16">
        <v>774</v>
      </c>
      <c r="G8" s="17">
        <v>24784.46</v>
      </c>
      <c r="H8" s="17">
        <v>6047.25</v>
      </c>
      <c r="I8" s="17">
        <v>19183172.039999999</v>
      </c>
      <c r="J8" s="15" t="s">
        <v>17</v>
      </c>
      <c r="K8" s="15" t="s">
        <v>18</v>
      </c>
      <c r="L8" s="9">
        <f>YEAR(E8)</f>
        <v>2020</v>
      </c>
      <c r="M8" s="18">
        <f t="shared" si="0"/>
        <v>4680571.5</v>
      </c>
      <c r="P8" s="70" t="s">
        <v>795</v>
      </c>
      <c r="Q8" s="70">
        <f ca="1">SUM(Q4:Q7)</f>
        <v>69933</v>
      </c>
      <c r="R8" s="70">
        <f>SUM(R4:R7)</f>
        <v>433702618</v>
      </c>
    </row>
    <row r="9" spans="1:20" x14ac:dyDescent="0.15">
      <c r="A9" s="12"/>
      <c r="B9" s="13" t="s">
        <v>13</v>
      </c>
      <c r="C9" s="14" t="s">
        <v>35</v>
      </c>
      <c r="D9" s="15" t="s">
        <v>53</v>
      </c>
      <c r="E9" s="15" t="s">
        <v>56</v>
      </c>
      <c r="F9" s="16">
        <v>413</v>
      </c>
      <c r="G9" s="17">
        <v>28753.55</v>
      </c>
      <c r="H9" s="17">
        <v>6243.28</v>
      </c>
      <c r="I9" s="17">
        <v>11875216.15</v>
      </c>
      <c r="J9" s="15" t="s">
        <v>17</v>
      </c>
      <c r="K9" s="15" t="s">
        <v>18</v>
      </c>
      <c r="L9" s="9">
        <f>YEAR(E9)</f>
        <v>2020</v>
      </c>
      <c r="M9" s="18">
        <f t="shared" si="0"/>
        <v>2578474.6399999997</v>
      </c>
    </row>
    <row r="10" spans="1:20" x14ac:dyDescent="0.15">
      <c r="A10" s="12"/>
      <c r="B10" s="13" t="s">
        <v>13</v>
      </c>
      <c r="C10" s="14" t="s">
        <v>38</v>
      </c>
      <c r="D10" s="15" t="s">
        <v>53</v>
      </c>
      <c r="E10" s="15" t="s">
        <v>64</v>
      </c>
      <c r="F10" s="16">
        <v>636</v>
      </c>
      <c r="G10" s="17">
        <v>18138.259999999998</v>
      </c>
      <c r="H10" s="17">
        <v>6241.93</v>
      </c>
      <c r="I10" s="17">
        <v>11535933.359999999</v>
      </c>
      <c r="J10" s="15" t="s">
        <v>17</v>
      </c>
      <c r="K10" s="15" t="s">
        <v>18</v>
      </c>
      <c r="L10" s="9">
        <f>YEAR(E10)</f>
        <v>2020</v>
      </c>
      <c r="M10" s="18">
        <f t="shared" si="0"/>
        <v>3969867.48</v>
      </c>
    </row>
    <row r="11" spans="1:20" ht="28" x14ac:dyDescent="0.15">
      <c r="A11" s="12"/>
      <c r="B11" s="13" t="s">
        <v>13</v>
      </c>
      <c r="C11" s="14" t="s">
        <v>23</v>
      </c>
      <c r="D11" s="15" t="s">
        <v>70</v>
      </c>
      <c r="E11" s="15" t="s">
        <v>78</v>
      </c>
      <c r="F11" s="16">
        <v>627</v>
      </c>
      <c r="G11" s="17">
        <v>34746.28</v>
      </c>
      <c r="H11" s="17">
        <v>9410.6200000000008</v>
      </c>
      <c r="I11" s="17">
        <v>21785917.559999999</v>
      </c>
      <c r="J11" s="15" t="s">
        <v>17</v>
      </c>
      <c r="K11" s="15" t="s">
        <v>18</v>
      </c>
      <c r="L11" s="9">
        <f>YEAR(E11)</f>
        <v>2020</v>
      </c>
      <c r="M11" s="18">
        <f t="shared" si="0"/>
        <v>5900458.7400000002</v>
      </c>
      <c r="P11" s="36" t="s">
        <v>787</v>
      </c>
      <c r="Q11" s="36" t="s">
        <v>785</v>
      </c>
      <c r="R11" s="37" t="s">
        <v>797</v>
      </c>
      <c r="S11" s="37" t="s">
        <v>790</v>
      </c>
      <c r="T11" s="59" t="s">
        <v>796</v>
      </c>
    </row>
    <row r="12" spans="1:20" ht="14" x14ac:dyDescent="0.15">
      <c r="A12" s="12"/>
      <c r="B12" s="13" t="s">
        <v>13</v>
      </c>
      <c r="C12" s="14" t="s">
        <v>38</v>
      </c>
      <c r="D12" s="15" t="s">
        <v>70</v>
      </c>
      <c r="E12" s="15" t="s">
        <v>85</v>
      </c>
      <c r="F12" s="16">
        <v>804</v>
      </c>
      <c r="G12" s="17">
        <v>24263.35</v>
      </c>
      <c r="H12" s="17">
        <v>4847.33</v>
      </c>
      <c r="I12" s="19">
        <v>19507733.399999999</v>
      </c>
      <c r="J12" s="15" t="s">
        <v>30</v>
      </c>
      <c r="K12" s="15" t="s">
        <v>18</v>
      </c>
      <c r="L12" s="9">
        <f>YEAR(E12)</f>
        <v>2020</v>
      </c>
      <c r="M12" s="18">
        <f t="shared" si="0"/>
        <v>3897253.32</v>
      </c>
      <c r="P12" s="80" t="s">
        <v>89</v>
      </c>
      <c r="Q12" s="81">
        <v>8590</v>
      </c>
      <c r="R12" s="82">
        <v>28890.208823529403</v>
      </c>
      <c r="S12" s="82">
        <v>254010316.86999995</v>
      </c>
      <c r="T12" s="83">
        <v>60435220.819999993</v>
      </c>
    </row>
    <row r="13" spans="1:20" x14ac:dyDescent="0.15">
      <c r="A13" s="12"/>
      <c r="B13" s="13" t="s">
        <v>13</v>
      </c>
      <c r="C13" s="14" t="s">
        <v>43</v>
      </c>
      <c r="D13" s="15" t="s">
        <v>70</v>
      </c>
      <c r="E13" s="15" t="s">
        <v>87</v>
      </c>
      <c r="F13" s="16">
        <v>158</v>
      </c>
      <c r="G13" s="17">
        <v>33199.440000000002</v>
      </c>
      <c r="H13" s="17">
        <v>5295.09</v>
      </c>
      <c r="I13" s="17">
        <v>5245511.5199999996</v>
      </c>
      <c r="J13" s="15" t="s">
        <v>17</v>
      </c>
      <c r="K13" s="15" t="s">
        <v>18</v>
      </c>
      <c r="L13" s="9">
        <f>YEAR(E13)</f>
        <v>2020</v>
      </c>
      <c r="M13" s="18">
        <f t="shared" si="0"/>
        <v>836624.22</v>
      </c>
      <c r="P13" s="63">
        <v>2020</v>
      </c>
      <c r="Q13" s="43">
        <v>1274</v>
      </c>
      <c r="R13" s="44">
        <v>32033.89333333333</v>
      </c>
      <c r="S13" s="44">
        <v>41422727.839999996</v>
      </c>
      <c r="T13" s="61">
        <v>9808586.5800000001</v>
      </c>
    </row>
    <row r="14" spans="1:20" x14ac:dyDescent="0.15">
      <c r="A14" s="12"/>
      <c r="B14" s="13" t="s">
        <v>13</v>
      </c>
      <c r="C14" s="14" t="s">
        <v>79</v>
      </c>
      <c r="D14" s="15" t="s">
        <v>89</v>
      </c>
      <c r="E14" s="15" t="s">
        <v>91</v>
      </c>
      <c r="F14" s="16">
        <v>208</v>
      </c>
      <c r="G14" s="19">
        <v>31322.799999999999</v>
      </c>
      <c r="H14" s="17">
        <v>7800.08</v>
      </c>
      <c r="I14" s="19">
        <v>6515142.4000000004</v>
      </c>
      <c r="J14" s="15" t="s">
        <v>17</v>
      </c>
      <c r="K14" s="15" t="s">
        <v>18</v>
      </c>
      <c r="L14" s="9">
        <f>YEAR(E14)</f>
        <v>2020</v>
      </c>
      <c r="M14" s="18">
        <f t="shared" si="0"/>
        <v>1622416.64</v>
      </c>
      <c r="P14" s="63">
        <v>2021</v>
      </c>
      <c r="Q14" s="43">
        <v>1997</v>
      </c>
      <c r="R14" s="44">
        <v>26329.574999999997</v>
      </c>
      <c r="S14" s="44">
        <v>48756716.780000001</v>
      </c>
      <c r="T14" s="61">
        <v>16323889.560000001</v>
      </c>
    </row>
    <row r="15" spans="1:20" x14ac:dyDescent="0.15">
      <c r="A15" s="12"/>
      <c r="B15" s="13" t="s">
        <v>13</v>
      </c>
      <c r="C15" s="14" t="s">
        <v>35</v>
      </c>
      <c r="D15" s="15" t="s">
        <v>89</v>
      </c>
      <c r="E15" s="15" t="s">
        <v>103</v>
      </c>
      <c r="F15" s="16">
        <v>585</v>
      </c>
      <c r="G15" s="17">
        <v>36047.54</v>
      </c>
      <c r="H15" s="19">
        <v>7586.5</v>
      </c>
      <c r="I15" s="19">
        <v>21087810.899999999</v>
      </c>
      <c r="J15" s="15" t="s">
        <v>17</v>
      </c>
      <c r="K15" s="15" t="s">
        <v>18</v>
      </c>
      <c r="L15" s="9">
        <f>YEAR(E15)</f>
        <v>2020</v>
      </c>
      <c r="M15" s="18">
        <f t="shared" si="0"/>
        <v>4438102.5</v>
      </c>
      <c r="P15" s="63">
        <v>2022</v>
      </c>
      <c r="Q15" s="43">
        <v>4155</v>
      </c>
      <c r="R15" s="44">
        <v>29853.109999999997</v>
      </c>
      <c r="S15" s="44">
        <v>130902306.61</v>
      </c>
      <c r="T15" s="61">
        <v>26329325.239999998</v>
      </c>
    </row>
    <row r="16" spans="1:20" x14ac:dyDescent="0.15">
      <c r="A16" s="12"/>
      <c r="B16" s="13" t="s">
        <v>13</v>
      </c>
      <c r="C16" s="14" t="s">
        <v>31</v>
      </c>
      <c r="D16" s="15" t="s">
        <v>89</v>
      </c>
      <c r="E16" s="15" t="s">
        <v>105</v>
      </c>
      <c r="F16" s="16">
        <v>481</v>
      </c>
      <c r="G16" s="17">
        <v>28731.34</v>
      </c>
      <c r="H16" s="17">
        <v>7792.24</v>
      </c>
      <c r="I16" s="17">
        <v>13819774.539999999</v>
      </c>
      <c r="J16" s="15" t="s">
        <v>22</v>
      </c>
      <c r="K16" s="15" t="s">
        <v>18</v>
      </c>
      <c r="L16" s="9">
        <f>YEAR(E16)</f>
        <v>2020</v>
      </c>
      <c r="M16" s="18">
        <f t="shared" si="0"/>
        <v>3748067.44</v>
      </c>
      <c r="P16" s="63">
        <v>2023</v>
      </c>
      <c r="Q16" s="43">
        <v>1164</v>
      </c>
      <c r="R16" s="44">
        <v>26913.933333333334</v>
      </c>
      <c r="S16" s="44">
        <v>32928565.640000001</v>
      </c>
      <c r="T16" s="61">
        <v>7973419.4400000004</v>
      </c>
    </row>
    <row r="17" spans="1:20" ht="14" x14ac:dyDescent="0.15">
      <c r="A17" s="12"/>
      <c r="B17" s="13" t="s">
        <v>13</v>
      </c>
      <c r="C17" s="14" t="s">
        <v>19</v>
      </c>
      <c r="D17" s="15" t="s">
        <v>107</v>
      </c>
      <c r="E17" s="15" t="s">
        <v>109</v>
      </c>
      <c r="F17" s="16">
        <v>592</v>
      </c>
      <c r="G17" s="17">
        <v>10021.32</v>
      </c>
      <c r="H17" s="17">
        <v>7255.38</v>
      </c>
      <c r="I17" s="17">
        <v>5932621.4400000004</v>
      </c>
      <c r="J17" s="15" t="s">
        <v>17</v>
      </c>
      <c r="K17" s="15" t="s">
        <v>18</v>
      </c>
      <c r="L17" s="9">
        <f>YEAR(E17)</f>
        <v>2020</v>
      </c>
      <c r="M17" s="18">
        <f t="shared" si="0"/>
        <v>4295184.96</v>
      </c>
      <c r="P17" s="76" t="s">
        <v>70</v>
      </c>
      <c r="Q17" s="77">
        <v>9698</v>
      </c>
      <c r="R17" s="78">
        <v>30900.379999999997</v>
      </c>
      <c r="S17" s="78">
        <v>308481472.67000002</v>
      </c>
      <c r="T17" s="79">
        <v>58187605.529999994</v>
      </c>
    </row>
    <row r="18" spans="1:20" x14ac:dyDescent="0.15">
      <c r="A18" s="12"/>
      <c r="B18" s="13" t="s">
        <v>13</v>
      </c>
      <c r="C18" s="14" t="s">
        <v>23</v>
      </c>
      <c r="D18" s="15" t="s">
        <v>107</v>
      </c>
      <c r="E18" s="15" t="s">
        <v>110</v>
      </c>
      <c r="F18" s="16">
        <v>537</v>
      </c>
      <c r="G18" s="17">
        <v>18603.64</v>
      </c>
      <c r="H18" s="17">
        <v>5520.33</v>
      </c>
      <c r="I18" s="17">
        <v>9990154.6799999997</v>
      </c>
      <c r="J18" s="15" t="s">
        <v>28</v>
      </c>
      <c r="K18" s="15" t="s">
        <v>18</v>
      </c>
      <c r="L18" s="9">
        <f>YEAR(E18)</f>
        <v>2020</v>
      </c>
      <c r="M18" s="18">
        <f t="shared" si="0"/>
        <v>2964417.21</v>
      </c>
      <c r="P18" s="63">
        <v>2020</v>
      </c>
      <c r="Q18" s="43">
        <v>1589</v>
      </c>
      <c r="R18" s="44">
        <v>30736.35666666667</v>
      </c>
      <c r="S18" s="44">
        <v>46539162.479999989</v>
      </c>
      <c r="T18" s="61">
        <v>10634336.280000001</v>
      </c>
    </row>
    <row r="19" spans="1:20" x14ac:dyDescent="0.15">
      <c r="A19" s="12"/>
      <c r="B19" s="13" t="s">
        <v>13</v>
      </c>
      <c r="C19" s="14" t="s">
        <v>43</v>
      </c>
      <c r="D19" s="15" t="s">
        <v>107</v>
      </c>
      <c r="E19" s="15" t="s">
        <v>117</v>
      </c>
      <c r="F19" s="16">
        <v>492</v>
      </c>
      <c r="G19" s="17">
        <v>49229.66</v>
      </c>
      <c r="H19" s="17">
        <v>7287.84</v>
      </c>
      <c r="I19" s="17">
        <v>24220992.719999999</v>
      </c>
      <c r="J19" s="15" t="s">
        <v>17</v>
      </c>
      <c r="K19" s="15" t="s">
        <v>18</v>
      </c>
      <c r="L19" s="9">
        <f>YEAR(E19)</f>
        <v>2020</v>
      </c>
      <c r="M19" s="18">
        <f t="shared" si="0"/>
        <v>3585617.2800000003</v>
      </c>
      <c r="P19" s="63">
        <v>2021</v>
      </c>
      <c r="Q19" s="43">
        <v>2774</v>
      </c>
      <c r="R19" s="44">
        <v>34528.466</v>
      </c>
      <c r="S19" s="44">
        <v>99675342.069999993</v>
      </c>
      <c r="T19" s="61">
        <v>20751577.370000001</v>
      </c>
    </row>
    <row r="20" spans="1:20" x14ac:dyDescent="0.15">
      <c r="A20" s="12"/>
      <c r="B20" s="13" t="s">
        <v>13</v>
      </c>
      <c r="C20" s="14" t="s">
        <v>23</v>
      </c>
      <c r="D20" s="15" t="s">
        <v>107</v>
      </c>
      <c r="E20" s="15" t="s">
        <v>119</v>
      </c>
      <c r="F20" s="16">
        <v>604</v>
      </c>
      <c r="G20" s="17">
        <v>26272.25</v>
      </c>
      <c r="H20" s="17">
        <v>3836.47</v>
      </c>
      <c r="I20" s="16">
        <v>15868439</v>
      </c>
      <c r="J20" s="15" t="s">
        <v>17</v>
      </c>
      <c r="K20" s="15" t="s">
        <v>18</v>
      </c>
      <c r="L20" s="9">
        <f>YEAR(E20)</f>
        <v>2020</v>
      </c>
      <c r="M20" s="18">
        <f t="shared" si="0"/>
        <v>2317227.88</v>
      </c>
      <c r="P20" s="63">
        <v>2022</v>
      </c>
      <c r="Q20" s="43">
        <v>2229</v>
      </c>
      <c r="R20" s="44">
        <v>28105.497500000001</v>
      </c>
      <c r="S20" s="44">
        <v>70269169.840000004</v>
      </c>
      <c r="T20" s="61">
        <v>9862598.8099999987</v>
      </c>
    </row>
    <row r="21" spans="1:20" x14ac:dyDescent="0.15">
      <c r="A21" s="12"/>
      <c r="B21" s="13" t="s">
        <v>13</v>
      </c>
      <c r="C21" s="14" t="s">
        <v>43</v>
      </c>
      <c r="D21" s="15" t="s">
        <v>68</v>
      </c>
      <c r="E21" s="15" t="s">
        <v>120</v>
      </c>
      <c r="F21" s="16">
        <v>204</v>
      </c>
      <c r="G21" s="17">
        <v>22765.81</v>
      </c>
      <c r="H21" s="17">
        <v>5848.05</v>
      </c>
      <c r="I21" s="17">
        <v>4644225.24</v>
      </c>
      <c r="J21" s="15" t="s">
        <v>17</v>
      </c>
      <c r="K21" s="15" t="s">
        <v>18</v>
      </c>
      <c r="L21" s="9">
        <f>YEAR(E21)</f>
        <v>2020</v>
      </c>
      <c r="M21" s="18">
        <f t="shared" si="0"/>
        <v>1193002.2</v>
      </c>
      <c r="P21" s="63">
        <v>2023</v>
      </c>
      <c r="Q21" s="43">
        <v>3106</v>
      </c>
      <c r="R21" s="44">
        <v>29606.614000000001</v>
      </c>
      <c r="S21" s="44">
        <v>91997798.280000001</v>
      </c>
      <c r="T21" s="61">
        <v>16939093.07</v>
      </c>
    </row>
    <row r="22" spans="1:20" ht="14" x14ac:dyDescent="0.15">
      <c r="A22" s="12"/>
      <c r="B22" s="13" t="s">
        <v>13</v>
      </c>
      <c r="C22" s="14" t="s">
        <v>38</v>
      </c>
      <c r="D22" s="15" t="s">
        <v>68</v>
      </c>
      <c r="E22" s="15" t="s">
        <v>124</v>
      </c>
      <c r="F22" s="16">
        <v>898</v>
      </c>
      <c r="G22" s="17">
        <v>21737.75</v>
      </c>
      <c r="H22" s="17">
        <v>5661.66</v>
      </c>
      <c r="I22" s="19">
        <v>19520499.5</v>
      </c>
      <c r="J22" s="15" t="s">
        <v>17</v>
      </c>
      <c r="K22" s="15" t="s">
        <v>18</v>
      </c>
      <c r="L22" s="9">
        <f>YEAR(E22)</f>
        <v>2020</v>
      </c>
      <c r="M22" s="18">
        <f t="shared" si="0"/>
        <v>5084170.68</v>
      </c>
      <c r="P22" s="76" t="s">
        <v>26</v>
      </c>
      <c r="Q22" s="77">
        <v>6803</v>
      </c>
      <c r="R22" s="78">
        <v>27749.165625000001</v>
      </c>
      <c r="S22" s="78">
        <v>187473238.19999996</v>
      </c>
      <c r="T22" s="79">
        <v>44947543.719999991</v>
      </c>
    </row>
    <row r="23" spans="1:20" x14ac:dyDescent="0.15">
      <c r="A23" s="12"/>
      <c r="B23" s="13" t="s">
        <v>13</v>
      </c>
      <c r="C23" s="14" t="s">
        <v>38</v>
      </c>
      <c r="D23" s="15" t="s">
        <v>68</v>
      </c>
      <c r="E23" s="15" t="s">
        <v>125</v>
      </c>
      <c r="F23" s="16">
        <v>519</v>
      </c>
      <c r="G23" s="17">
        <v>33727.94</v>
      </c>
      <c r="H23" s="17">
        <v>6857.59</v>
      </c>
      <c r="I23" s="17">
        <v>17504800.859999999</v>
      </c>
      <c r="J23" s="15" t="s">
        <v>17</v>
      </c>
      <c r="K23" s="15" t="s">
        <v>18</v>
      </c>
      <c r="L23" s="9">
        <f>YEAR(E23)</f>
        <v>2020</v>
      </c>
      <c r="M23" s="18">
        <f t="shared" si="0"/>
        <v>3559089.21</v>
      </c>
      <c r="P23" s="63">
        <v>2020</v>
      </c>
      <c r="Q23" s="43">
        <v>2357</v>
      </c>
      <c r="R23" s="44">
        <v>24886.362500000003</v>
      </c>
      <c r="S23" s="44">
        <v>68742504.889999986</v>
      </c>
      <c r="T23" s="61">
        <v>17702611.43</v>
      </c>
    </row>
    <row r="24" spans="1:20" x14ac:dyDescent="0.15">
      <c r="A24" s="12"/>
      <c r="B24" s="13" t="s">
        <v>13</v>
      </c>
      <c r="C24" s="14" t="s">
        <v>79</v>
      </c>
      <c r="D24" s="15" t="s">
        <v>68</v>
      </c>
      <c r="E24" s="15" t="s">
        <v>131</v>
      </c>
      <c r="F24" s="16">
        <v>123</v>
      </c>
      <c r="G24" s="17">
        <v>28223.94</v>
      </c>
      <c r="H24" s="17">
        <v>4207.7299999999996</v>
      </c>
      <c r="I24" s="17">
        <v>3471544.62</v>
      </c>
      <c r="J24" s="15" t="s">
        <v>17</v>
      </c>
      <c r="K24" s="15" t="s">
        <v>18</v>
      </c>
      <c r="L24" s="9">
        <f>YEAR(E24)</f>
        <v>2020</v>
      </c>
      <c r="M24" s="18">
        <f t="shared" si="0"/>
        <v>517550.78999999992</v>
      </c>
      <c r="P24" s="63">
        <v>2021</v>
      </c>
      <c r="Q24" s="43">
        <v>1613</v>
      </c>
      <c r="R24" s="44">
        <v>25104.865000000002</v>
      </c>
      <c r="S24" s="44">
        <v>27954304.420000002</v>
      </c>
      <c r="T24" s="61">
        <v>11621741.35</v>
      </c>
    </row>
    <row r="25" spans="1:20" x14ac:dyDescent="0.15">
      <c r="A25" s="12"/>
      <c r="B25" s="13" t="s">
        <v>13</v>
      </c>
      <c r="C25" s="14" t="s">
        <v>79</v>
      </c>
      <c r="D25" s="15" t="s">
        <v>68</v>
      </c>
      <c r="E25" s="15" t="s">
        <v>133</v>
      </c>
      <c r="F25" s="16">
        <v>647</v>
      </c>
      <c r="G25" s="17">
        <v>24424.61</v>
      </c>
      <c r="H25" s="17">
        <v>4660.79</v>
      </c>
      <c r="I25" s="17">
        <v>15802722.67</v>
      </c>
      <c r="J25" s="15" t="s">
        <v>30</v>
      </c>
      <c r="K25" s="15" t="s">
        <v>18</v>
      </c>
      <c r="L25" s="9">
        <f>YEAR(E25)</f>
        <v>2020</v>
      </c>
      <c r="M25" s="18">
        <f t="shared" si="0"/>
        <v>3015531.13</v>
      </c>
      <c r="P25" s="63">
        <v>2022</v>
      </c>
      <c r="Q25" s="43">
        <v>1800</v>
      </c>
      <c r="R25" s="44">
        <v>30270.695</v>
      </c>
      <c r="S25" s="44">
        <v>57047746.099999994</v>
      </c>
      <c r="T25" s="61">
        <v>8343413.4500000002</v>
      </c>
    </row>
    <row r="26" spans="1:20" x14ac:dyDescent="0.15">
      <c r="A26" s="12"/>
      <c r="B26" s="13" t="s">
        <v>13</v>
      </c>
      <c r="C26" s="14" t="s">
        <v>35</v>
      </c>
      <c r="D26" s="15" t="s">
        <v>68</v>
      </c>
      <c r="E26" s="15" t="s">
        <v>136</v>
      </c>
      <c r="F26" s="16">
        <v>396</v>
      </c>
      <c r="G26" s="17">
        <v>28963.42</v>
      </c>
      <c r="H26" s="17">
        <v>9765.76</v>
      </c>
      <c r="I26" s="17">
        <v>11469514.32</v>
      </c>
      <c r="J26" s="15" t="s">
        <v>30</v>
      </c>
      <c r="K26" s="15" t="s">
        <v>18</v>
      </c>
      <c r="L26" s="9">
        <f>YEAR(E26)</f>
        <v>2020</v>
      </c>
      <c r="M26" s="18">
        <f t="shared" si="0"/>
        <v>3867240.96</v>
      </c>
      <c r="P26" s="63">
        <v>2023</v>
      </c>
      <c r="Q26" s="43">
        <v>1033</v>
      </c>
      <c r="R26" s="44">
        <v>30734.74</v>
      </c>
      <c r="S26" s="44">
        <v>33728682.789999999</v>
      </c>
      <c r="T26" s="61">
        <v>7279777.4900000002</v>
      </c>
    </row>
    <row r="27" spans="1:20" ht="14" x14ac:dyDescent="0.15">
      <c r="A27" s="12"/>
      <c r="B27" s="13" t="s">
        <v>13</v>
      </c>
      <c r="C27" s="14" t="s">
        <v>43</v>
      </c>
      <c r="D27" s="15" t="s">
        <v>68</v>
      </c>
      <c r="E27" s="15" t="s">
        <v>137</v>
      </c>
      <c r="F27" s="16">
        <v>390</v>
      </c>
      <c r="G27" s="17">
        <v>38419.120000000003</v>
      </c>
      <c r="H27" s="17">
        <v>7127.08</v>
      </c>
      <c r="I27" s="19">
        <v>14983456.800000001</v>
      </c>
      <c r="J27" s="15" t="s">
        <v>17</v>
      </c>
      <c r="K27" s="15" t="s">
        <v>18</v>
      </c>
      <c r="L27" s="9">
        <f>YEAR(E27)</f>
        <v>2020</v>
      </c>
      <c r="M27" s="18">
        <f t="shared" si="0"/>
        <v>2779561.2</v>
      </c>
      <c r="P27" s="76" t="s">
        <v>68</v>
      </c>
      <c r="Q27" s="77">
        <v>12008</v>
      </c>
      <c r="R27" s="78">
        <v>29342.741428571426</v>
      </c>
      <c r="S27" s="78">
        <v>345016548.11999995</v>
      </c>
      <c r="T27" s="79">
        <v>67378088.049999997</v>
      </c>
    </row>
    <row r="28" spans="1:20" x14ac:dyDescent="0.15">
      <c r="A28" s="12"/>
      <c r="B28" s="13" t="s">
        <v>13</v>
      </c>
      <c r="C28" s="14" t="s">
        <v>14</v>
      </c>
      <c r="D28" s="15" t="s">
        <v>139</v>
      </c>
      <c r="E28" s="15" t="s">
        <v>143</v>
      </c>
      <c r="F28" s="16">
        <v>290</v>
      </c>
      <c r="G28" s="17">
        <v>18007.189999999999</v>
      </c>
      <c r="H28" s="17">
        <v>9572.06</v>
      </c>
      <c r="I28" s="19">
        <v>5222085.0999999996</v>
      </c>
      <c r="J28" s="15" t="s">
        <v>22</v>
      </c>
      <c r="K28" s="15" t="s">
        <v>18</v>
      </c>
      <c r="L28" s="9">
        <f>YEAR(E28)</f>
        <v>2020</v>
      </c>
      <c r="M28" s="18">
        <f t="shared" si="0"/>
        <v>2775897.4</v>
      </c>
      <c r="P28" s="63">
        <v>2020</v>
      </c>
      <c r="Q28" s="43">
        <v>3177</v>
      </c>
      <c r="R28" s="44">
        <v>28323.227142857144</v>
      </c>
      <c r="S28" s="44">
        <v>87396764.010000005</v>
      </c>
      <c r="T28" s="61">
        <v>20016146.169999998</v>
      </c>
    </row>
    <row r="29" spans="1:20" x14ac:dyDescent="0.15">
      <c r="A29" s="12"/>
      <c r="B29" s="13" t="s">
        <v>13</v>
      </c>
      <c r="C29" s="14" t="s">
        <v>31</v>
      </c>
      <c r="D29" s="15" t="s">
        <v>139</v>
      </c>
      <c r="E29" s="15" t="s">
        <v>150</v>
      </c>
      <c r="F29" s="16">
        <v>511</v>
      </c>
      <c r="G29" s="17">
        <v>28130.25</v>
      </c>
      <c r="H29" s="17">
        <v>9295.18</v>
      </c>
      <c r="I29" s="17">
        <v>14374557.75</v>
      </c>
      <c r="J29" s="15" t="s">
        <v>17</v>
      </c>
      <c r="K29" s="15" t="s">
        <v>18</v>
      </c>
      <c r="L29" s="9">
        <f>YEAR(E29)</f>
        <v>2020</v>
      </c>
      <c r="M29" s="18">
        <f t="shared" si="0"/>
        <v>4749836.9800000004</v>
      </c>
      <c r="P29" s="63">
        <v>2021</v>
      </c>
      <c r="Q29" s="43">
        <v>4278</v>
      </c>
      <c r="R29" s="44">
        <v>30810.565714285716</v>
      </c>
      <c r="S29" s="44">
        <v>138343352.59</v>
      </c>
      <c r="T29" s="61">
        <v>26493034.860000003</v>
      </c>
    </row>
    <row r="30" spans="1:20" x14ac:dyDescent="0.15">
      <c r="A30" s="12"/>
      <c r="B30" s="13" t="s">
        <v>13</v>
      </c>
      <c r="C30" s="14" t="s">
        <v>43</v>
      </c>
      <c r="D30" s="15" t="s">
        <v>139</v>
      </c>
      <c r="E30" s="15" t="s">
        <v>151</v>
      </c>
      <c r="F30" s="16">
        <v>747</v>
      </c>
      <c r="G30" s="17">
        <v>32440.35</v>
      </c>
      <c r="H30" s="17">
        <v>7368.96</v>
      </c>
      <c r="I30" s="17">
        <v>24232941.449999999</v>
      </c>
      <c r="J30" s="15" t="s">
        <v>17</v>
      </c>
      <c r="K30" s="15" t="s">
        <v>18</v>
      </c>
      <c r="L30" s="9">
        <f>YEAR(E30)</f>
        <v>2020</v>
      </c>
      <c r="M30" s="18">
        <f t="shared" si="0"/>
        <v>5504613.1200000001</v>
      </c>
      <c r="P30" s="63">
        <v>2022</v>
      </c>
      <c r="Q30" s="43">
        <v>3536</v>
      </c>
      <c r="R30" s="44">
        <v>25451.376</v>
      </c>
      <c r="S30" s="44">
        <v>83353960.950000003</v>
      </c>
      <c r="T30" s="61">
        <v>13673078.34</v>
      </c>
    </row>
    <row r="31" spans="1:20" x14ac:dyDescent="0.15">
      <c r="A31" s="12"/>
      <c r="B31" s="13" t="s">
        <v>13</v>
      </c>
      <c r="C31" s="14" t="s">
        <v>43</v>
      </c>
      <c r="D31" s="15" t="s">
        <v>139</v>
      </c>
      <c r="E31" s="15" t="s">
        <v>152</v>
      </c>
      <c r="F31" s="16">
        <v>729</v>
      </c>
      <c r="G31" s="17">
        <v>43688.56</v>
      </c>
      <c r="H31" s="16">
        <v>7472</v>
      </c>
      <c r="I31" s="17">
        <v>31848960.239999998</v>
      </c>
      <c r="J31" s="15" t="s">
        <v>22</v>
      </c>
      <c r="K31" s="15" t="s">
        <v>18</v>
      </c>
      <c r="L31" s="9">
        <f>YEAR(E31)</f>
        <v>2020</v>
      </c>
      <c r="M31" s="18">
        <f t="shared" si="0"/>
        <v>5447088</v>
      </c>
      <c r="P31" s="63">
        <v>2023</v>
      </c>
      <c r="Q31" s="43">
        <v>1017</v>
      </c>
      <c r="R31" s="44">
        <v>37502.07</v>
      </c>
      <c r="S31" s="44">
        <v>35922470.57</v>
      </c>
      <c r="T31" s="61">
        <v>7195828.6800000006</v>
      </c>
    </row>
    <row r="32" spans="1:20" ht="14" x14ac:dyDescent="0.15">
      <c r="A32" s="12"/>
      <c r="B32" s="13" t="s">
        <v>13</v>
      </c>
      <c r="C32" s="14" t="s">
        <v>25</v>
      </c>
      <c r="D32" s="15" t="s">
        <v>153</v>
      </c>
      <c r="E32" s="15" t="s">
        <v>156</v>
      </c>
      <c r="F32" s="16">
        <v>618</v>
      </c>
      <c r="G32" s="17">
        <v>34261.660000000003</v>
      </c>
      <c r="H32" s="17">
        <v>9850.59</v>
      </c>
      <c r="I32" s="17">
        <v>21173705.879999999</v>
      </c>
      <c r="J32" s="15" t="s">
        <v>17</v>
      </c>
      <c r="K32" s="15" t="s">
        <v>18</v>
      </c>
      <c r="L32" s="9">
        <f>YEAR(E32)</f>
        <v>2020</v>
      </c>
      <c r="M32" s="18">
        <f t="shared" si="0"/>
        <v>6087664.6200000001</v>
      </c>
      <c r="P32" s="80" t="s">
        <v>114</v>
      </c>
      <c r="Q32" s="81">
        <v>3988</v>
      </c>
      <c r="R32" s="82">
        <v>28067.57</v>
      </c>
      <c r="S32" s="82">
        <v>118217182.22999999</v>
      </c>
      <c r="T32" s="83">
        <v>17457113.840000004</v>
      </c>
    </row>
    <row r="33" spans="1:20" ht="14" x14ac:dyDescent="0.15">
      <c r="A33" s="12"/>
      <c r="B33" s="13" t="s">
        <v>13</v>
      </c>
      <c r="C33" s="14" t="s">
        <v>79</v>
      </c>
      <c r="D33" s="15" t="s">
        <v>153</v>
      </c>
      <c r="E33" s="15" t="s">
        <v>157</v>
      </c>
      <c r="F33" s="16">
        <v>706</v>
      </c>
      <c r="G33" s="17">
        <v>35409.89</v>
      </c>
      <c r="H33" s="16">
        <v>6520</v>
      </c>
      <c r="I33" s="17">
        <v>24999382.34</v>
      </c>
      <c r="J33" s="15" t="s">
        <v>22</v>
      </c>
      <c r="K33" s="15" t="s">
        <v>18</v>
      </c>
      <c r="L33" s="9">
        <f>YEAR(E33)</f>
        <v>2020</v>
      </c>
      <c r="M33" s="18">
        <f t="shared" si="0"/>
        <v>4603120</v>
      </c>
      <c r="P33" s="80" t="s">
        <v>107</v>
      </c>
      <c r="Q33" s="81">
        <v>5161</v>
      </c>
      <c r="R33" s="82">
        <v>28225.077272727271</v>
      </c>
      <c r="S33" s="82">
        <v>140735705.06999999</v>
      </c>
      <c r="T33" s="83">
        <v>31561665.379999999</v>
      </c>
    </row>
    <row r="34" spans="1:20" x14ac:dyDescent="0.15">
      <c r="A34" s="12"/>
      <c r="B34" s="13" t="s">
        <v>13</v>
      </c>
      <c r="C34" s="14" t="s">
        <v>19</v>
      </c>
      <c r="D34" s="15" t="s">
        <v>153</v>
      </c>
      <c r="E34" s="15" t="s">
        <v>159</v>
      </c>
      <c r="F34" s="16">
        <v>316</v>
      </c>
      <c r="G34" s="17">
        <v>35104.26</v>
      </c>
      <c r="H34" s="17">
        <v>2739.19</v>
      </c>
      <c r="I34" s="17">
        <v>11092946.16</v>
      </c>
      <c r="J34" s="15" t="s">
        <v>17</v>
      </c>
      <c r="K34" s="15" t="s">
        <v>18</v>
      </c>
      <c r="L34" s="9">
        <f>YEAR(E34)</f>
        <v>2020</v>
      </c>
      <c r="M34" s="18">
        <f t="shared" si="0"/>
        <v>865584.04</v>
      </c>
      <c r="P34" s="63">
        <v>2020</v>
      </c>
      <c r="Q34" s="43">
        <v>2225</v>
      </c>
      <c r="R34" s="44">
        <v>26031.717499999999</v>
      </c>
      <c r="S34" s="44">
        <v>56012207.840000004</v>
      </c>
      <c r="T34" s="61">
        <v>13162447.329999998</v>
      </c>
    </row>
    <row r="35" spans="1:20" x14ac:dyDescent="0.15">
      <c r="A35" s="12"/>
      <c r="B35" s="13" t="s">
        <v>13</v>
      </c>
      <c r="C35" s="14" t="s">
        <v>25</v>
      </c>
      <c r="D35" s="15" t="s">
        <v>153</v>
      </c>
      <c r="E35" s="15" t="s">
        <v>162</v>
      </c>
      <c r="F35" s="16">
        <v>890</v>
      </c>
      <c r="G35" s="17">
        <v>20914.84</v>
      </c>
      <c r="H35" s="17">
        <v>7851.32</v>
      </c>
      <c r="I35" s="19">
        <v>18614207.600000001</v>
      </c>
      <c r="J35" s="15" t="s">
        <v>17</v>
      </c>
      <c r="K35" s="15" t="s">
        <v>18</v>
      </c>
      <c r="L35" s="9">
        <f>YEAR(E35)</f>
        <v>2020</v>
      </c>
      <c r="M35" s="18">
        <f t="shared" si="0"/>
        <v>6987674.7999999998</v>
      </c>
      <c r="P35" s="63">
        <v>2021</v>
      </c>
      <c r="Q35" s="43">
        <v>1360</v>
      </c>
      <c r="R35" s="44">
        <v>34926.07</v>
      </c>
      <c r="S35" s="44">
        <v>46472338.480000004</v>
      </c>
      <c r="T35" s="61">
        <v>8934818.8200000003</v>
      </c>
    </row>
    <row r="36" spans="1:20" x14ac:dyDescent="0.15">
      <c r="A36" s="12"/>
      <c r="B36" s="13" t="s">
        <v>13</v>
      </c>
      <c r="C36" s="14" t="s">
        <v>38</v>
      </c>
      <c r="D36" s="15" t="s">
        <v>153</v>
      </c>
      <c r="E36" s="15" t="s">
        <v>164</v>
      </c>
      <c r="F36" s="16">
        <v>444</v>
      </c>
      <c r="G36" s="17">
        <v>25730.68</v>
      </c>
      <c r="H36" s="17">
        <v>5539.83</v>
      </c>
      <c r="I36" s="17">
        <v>11424421.92</v>
      </c>
      <c r="J36" s="15" t="s">
        <v>17</v>
      </c>
      <c r="K36" s="15" t="s">
        <v>18</v>
      </c>
      <c r="L36" s="9">
        <f>YEAR(E36)</f>
        <v>2020</v>
      </c>
      <c r="M36" s="18">
        <f t="shared" si="0"/>
        <v>2459684.52</v>
      </c>
      <c r="P36" s="63">
        <v>2022</v>
      </c>
      <c r="Q36" s="43">
        <v>1289</v>
      </c>
      <c r="R36" s="44">
        <v>24891.264999999999</v>
      </c>
      <c r="S36" s="44">
        <v>33411715.960000001</v>
      </c>
      <c r="T36" s="61">
        <v>8249456.4800000004</v>
      </c>
    </row>
    <row r="37" spans="1:20" x14ac:dyDescent="0.15">
      <c r="A37" s="12"/>
      <c r="B37" s="13" t="s">
        <v>13</v>
      </c>
      <c r="C37" s="14" t="s">
        <v>23</v>
      </c>
      <c r="D37" s="15" t="s">
        <v>114</v>
      </c>
      <c r="E37" s="15" t="s">
        <v>172</v>
      </c>
      <c r="F37" s="16">
        <v>825</v>
      </c>
      <c r="G37" s="17">
        <v>40168.050000000003</v>
      </c>
      <c r="H37" s="17">
        <v>4338.22</v>
      </c>
      <c r="I37" s="17">
        <v>33138641.25</v>
      </c>
      <c r="J37" s="15" t="s">
        <v>22</v>
      </c>
      <c r="K37" s="15" t="s">
        <v>18</v>
      </c>
      <c r="L37" s="9">
        <f>YEAR(E37)</f>
        <v>2020</v>
      </c>
      <c r="M37" s="18">
        <f t="shared" si="0"/>
        <v>3579031.5</v>
      </c>
      <c r="P37" s="63">
        <v>2023</v>
      </c>
      <c r="Q37" s="43">
        <v>287</v>
      </c>
      <c r="R37" s="44">
        <v>16862.169999999998</v>
      </c>
      <c r="S37" s="44">
        <v>4839442.79</v>
      </c>
      <c r="T37" s="61">
        <v>1214942.75</v>
      </c>
    </row>
    <row r="38" spans="1:20" ht="28" x14ac:dyDescent="0.15">
      <c r="A38" s="12"/>
      <c r="B38" s="13" t="s">
        <v>13</v>
      </c>
      <c r="C38" s="14" t="s">
        <v>23</v>
      </c>
      <c r="D38" s="15" t="s">
        <v>15</v>
      </c>
      <c r="E38" s="15" t="s">
        <v>29</v>
      </c>
      <c r="F38" s="16">
        <v>670</v>
      </c>
      <c r="G38" s="17">
        <v>29082.54</v>
      </c>
      <c r="H38" s="17">
        <v>4982.72</v>
      </c>
      <c r="I38" s="19">
        <v>19485301.800000001</v>
      </c>
      <c r="J38" s="15" t="s">
        <v>30</v>
      </c>
      <c r="K38" s="15" t="s">
        <v>18</v>
      </c>
      <c r="L38" s="9">
        <f>YEAR(E38)</f>
        <v>2021</v>
      </c>
      <c r="M38" s="18">
        <f t="shared" si="0"/>
        <v>3338422.4000000004</v>
      </c>
      <c r="P38" s="76" t="s">
        <v>15</v>
      </c>
      <c r="Q38" s="43">
        <v>3968</v>
      </c>
      <c r="R38" s="44">
        <v>33431.831250000003</v>
      </c>
      <c r="S38" s="44">
        <v>133106525.77</v>
      </c>
      <c r="T38" s="61">
        <v>22679799.34</v>
      </c>
    </row>
    <row r="39" spans="1:20" x14ac:dyDescent="0.15">
      <c r="A39" s="12"/>
      <c r="B39" s="13" t="s">
        <v>13</v>
      </c>
      <c r="C39" s="14" t="s">
        <v>31</v>
      </c>
      <c r="D39" s="15" t="s">
        <v>15</v>
      </c>
      <c r="E39" s="15" t="s">
        <v>32</v>
      </c>
      <c r="F39" s="16">
        <v>293</v>
      </c>
      <c r="G39" s="17">
        <v>35250.959999999999</v>
      </c>
      <c r="H39" s="17">
        <v>4432.8900000000003</v>
      </c>
      <c r="I39" s="17">
        <v>10328531.279999999</v>
      </c>
      <c r="J39" s="15" t="s">
        <v>17</v>
      </c>
      <c r="K39" s="15" t="s">
        <v>18</v>
      </c>
      <c r="L39" s="9">
        <f>YEAR(E39)</f>
        <v>2021</v>
      </c>
      <c r="M39" s="18">
        <f t="shared" si="0"/>
        <v>1298836.77</v>
      </c>
      <c r="P39" s="63">
        <v>2020</v>
      </c>
      <c r="Q39" s="43">
        <v>1099</v>
      </c>
      <c r="R39" s="44">
        <v>26588.095000000001</v>
      </c>
      <c r="S39" s="44">
        <v>30483849.129999999</v>
      </c>
      <c r="T39" s="61">
        <v>4665256.79</v>
      </c>
    </row>
    <row r="40" spans="1:20" x14ac:dyDescent="0.15">
      <c r="A40" s="12"/>
      <c r="B40" s="13" t="s">
        <v>13</v>
      </c>
      <c r="C40" s="14" t="s">
        <v>25</v>
      </c>
      <c r="D40" s="15" t="s">
        <v>15</v>
      </c>
      <c r="E40" s="15" t="s">
        <v>33</v>
      </c>
      <c r="F40" s="16">
        <v>109</v>
      </c>
      <c r="G40" s="17">
        <v>37687.33</v>
      </c>
      <c r="H40" s="17">
        <v>8794.43</v>
      </c>
      <c r="I40" s="17">
        <v>4107918.97</v>
      </c>
      <c r="J40" s="15" t="s">
        <v>28</v>
      </c>
      <c r="K40" s="15" t="s">
        <v>18</v>
      </c>
      <c r="L40" s="9">
        <f>YEAR(E40)</f>
        <v>2021</v>
      </c>
      <c r="M40" s="18">
        <f t="shared" si="0"/>
        <v>958592.87</v>
      </c>
      <c r="P40" s="63">
        <v>2021</v>
      </c>
      <c r="Q40" s="43">
        <v>1072</v>
      </c>
      <c r="R40" s="44">
        <v>34006.943333333336</v>
      </c>
      <c r="S40" s="44">
        <v>33921752.049999997</v>
      </c>
      <c r="T40" s="61">
        <v>5595852.04</v>
      </c>
    </row>
    <row r="41" spans="1:20" x14ac:dyDescent="0.15">
      <c r="A41" s="12"/>
      <c r="B41" s="13" t="s">
        <v>13</v>
      </c>
      <c r="C41" s="14" t="s">
        <v>35</v>
      </c>
      <c r="D41" s="15" t="s">
        <v>26</v>
      </c>
      <c r="E41" s="15" t="s">
        <v>36</v>
      </c>
      <c r="F41" s="16">
        <v>108</v>
      </c>
      <c r="G41" s="17">
        <v>37249.78</v>
      </c>
      <c r="H41" s="17">
        <v>4225.05</v>
      </c>
      <c r="I41" s="17">
        <v>4022976.24</v>
      </c>
      <c r="J41" s="15" t="s">
        <v>22</v>
      </c>
      <c r="K41" s="15" t="s">
        <v>18</v>
      </c>
      <c r="L41" s="9">
        <f>YEAR(E41)</f>
        <v>2021</v>
      </c>
      <c r="M41" s="18">
        <f t="shared" si="0"/>
        <v>456305.4</v>
      </c>
      <c r="P41" s="63">
        <v>2023</v>
      </c>
      <c r="Q41" s="43">
        <v>1797</v>
      </c>
      <c r="R41" s="44">
        <v>37419.21</v>
      </c>
      <c r="S41" s="44">
        <v>68700924.590000004</v>
      </c>
      <c r="T41" s="61">
        <v>12418690.51</v>
      </c>
    </row>
    <row r="42" spans="1:20" ht="14" x14ac:dyDescent="0.15">
      <c r="A42" s="12"/>
      <c r="B42" s="13" t="s">
        <v>13</v>
      </c>
      <c r="C42" s="14" t="s">
        <v>19</v>
      </c>
      <c r="D42" s="15" t="s">
        <v>26</v>
      </c>
      <c r="E42" s="15" t="s">
        <v>41</v>
      </c>
      <c r="F42" s="16">
        <v>344</v>
      </c>
      <c r="G42" s="17">
        <v>11762.79</v>
      </c>
      <c r="H42" s="17">
        <v>5039.24</v>
      </c>
      <c r="I42" s="17">
        <v>4046399.76</v>
      </c>
      <c r="J42" s="15" t="s">
        <v>17</v>
      </c>
      <c r="K42" s="15" t="s">
        <v>18</v>
      </c>
      <c r="L42" s="9">
        <f>YEAR(E42)</f>
        <v>2021</v>
      </c>
      <c r="M42" s="18">
        <f t="shared" si="0"/>
        <v>1733498.5599999998</v>
      </c>
      <c r="P42" s="76" t="s">
        <v>139</v>
      </c>
      <c r="Q42" s="77">
        <v>6445</v>
      </c>
      <c r="R42" s="78">
        <v>25150.25153846154</v>
      </c>
      <c r="S42" s="78">
        <v>167259813.44999999</v>
      </c>
      <c r="T42" s="79">
        <v>42863178.540000007</v>
      </c>
    </row>
    <row r="43" spans="1:20" x14ac:dyDescent="0.15">
      <c r="A43" s="12"/>
      <c r="B43" s="13" t="s">
        <v>13</v>
      </c>
      <c r="C43" s="14" t="s">
        <v>43</v>
      </c>
      <c r="D43" s="15" t="s">
        <v>26</v>
      </c>
      <c r="E43" s="15" t="s">
        <v>44</v>
      </c>
      <c r="F43" s="16">
        <v>188</v>
      </c>
      <c r="G43" s="17">
        <v>38387.230000000003</v>
      </c>
      <c r="H43" s="17">
        <v>9785.67</v>
      </c>
      <c r="I43" s="17">
        <v>7216799.2400000002</v>
      </c>
      <c r="J43" s="15" t="s">
        <v>30</v>
      </c>
      <c r="K43" s="15" t="s">
        <v>18</v>
      </c>
      <c r="L43" s="9">
        <f>YEAR(E43)</f>
        <v>2021</v>
      </c>
      <c r="M43" s="18">
        <f t="shared" si="0"/>
        <v>1839705.96</v>
      </c>
      <c r="P43" s="63">
        <v>2020</v>
      </c>
      <c r="Q43" s="43">
        <v>2277</v>
      </c>
      <c r="R43" s="44">
        <v>30566.587500000001</v>
      </c>
      <c r="S43" s="44">
        <v>75678544.539999992</v>
      </c>
      <c r="T43" s="61">
        <v>18477435.5</v>
      </c>
    </row>
    <row r="44" spans="1:20" x14ac:dyDescent="0.15">
      <c r="A44" s="12"/>
      <c r="B44" s="13" t="s">
        <v>13</v>
      </c>
      <c r="C44" s="14" t="s">
        <v>35</v>
      </c>
      <c r="D44" s="15" t="s">
        <v>26</v>
      </c>
      <c r="E44" s="15" t="s">
        <v>45</v>
      </c>
      <c r="F44" s="16">
        <v>973</v>
      </c>
      <c r="G44" s="17">
        <v>13019.66</v>
      </c>
      <c r="H44" s="17">
        <v>7802.91</v>
      </c>
      <c r="I44" s="17">
        <v>12668129.18</v>
      </c>
      <c r="J44" s="15" t="s">
        <v>17</v>
      </c>
      <c r="K44" s="15" t="s">
        <v>18</v>
      </c>
      <c r="L44" s="9">
        <f>YEAR(E44)</f>
        <v>2021</v>
      </c>
      <c r="M44" s="18">
        <f t="shared" si="0"/>
        <v>7592231.4299999997</v>
      </c>
      <c r="P44" s="63">
        <v>2021</v>
      </c>
      <c r="Q44" s="43">
        <v>1486</v>
      </c>
      <c r="R44" s="44">
        <v>24266.08666666667</v>
      </c>
      <c r="S44" s="44">
        <v>35364947.670000002</v>
      </c>
      <c r="T44" s="61">
        <v>8763467.2100000009</v>
      </c>
    </row>
    <row r="45" spans="1:20" x14ac:dyDescent="0.15">
      <c r="A45" s="12"/>
      <c r="B45" s="13" t="s">
        <v>13</v>
      </c>
      <c r="C45" s="14" t="s">
        <v>23</v>
      </c>
      <c r="D45" s="15" t="s">
        <v>53</v>
      </c>
      <c r="E45" s="15" t="s">
        <v>65</v>
      </c>
      <c r="F45" s="16">
        <v>599</v>
      </c>
      <c r="G45" s="17">
        <v>46916.93</v>
      </c>
      <c r="H45" s="19">
        <v>8747.6</v>
      </c>
      <c r="I45" s="17">
        <v>28103241.07</v>
      </c>
      <c r="J45" s="15" t="s">
        <v>17</v>
      </c>
      <c r="K45" s="15" t="s">
        <v>18</v>
      </c>
      <c r="L45" s="9">
        <f>YEAR(E45)</f>
        <v>2021</v>
      </c>
      <c r="M45" s="18">
        <f t="shared" si="0"/>
        <v>5239812.4000000004</v>
      </c>
      <c r="P45" s="63">
        <v>2022</v>
      </c>
      <c r="Q45" s="43">
        <v>1489</v>
      </c>
      <c r="R45" s="44">
        <v>18158.833333333332</v>
      </c>
      <c r="S45" s="44">
        <v>27351436.949999999</v>
      </c>
      <c r="T45" s="61">
        <v>7573840.29</v>
      </c>
    </row>
    <row r="46" spans="1:20" x14ac:dyDescent="0.15">
      <c r="A46" s="12"/>
      <c r="B46" s="13" t="s">
        <v>13</v>
      </c>
      <c r="C46" s="14" t="s">
        <v>31</v>
      </c>
      <c r="D46" s="15" t="s">
        <v>53</v>
      </c>
      <c r="E46" s="15" t="s">
        <v>66</v>
      </c>
      <c r="F46" s="16">
        <v>319</v>
      </c>
      <c r="G46" s="17">
        <v>26580.33</v>
      </c>
      <c r="H46" s="19">
        <v>9531.2000000000007</v>
      </c>
      <c r="I46" s="17">
        <v>8479125.2699999996</v>
      </c>
      <c r="J46" s="15" t="s">
        <v>17</v>
      </c>
      <c r="K46" s="15" t="s">
        <v>18</v>
      </c>
      <c r="L46" s="9">
        <f>YEAR(E46)</f>
        <v>2021</v>
      </c>
      <c r="M46" s="18">
        <f t="shared" si="0"/>
        <v>3040452.8000000003</v>
      </c>
      <c r="P46" s="63">
        <v>2023</v>
      </c>
      <c r="Q46" s="43">
        <v>1193</v>
      </c>
      <c r="R46" s="44">
        <v>25804.053333333333</v>
      </c>
      <c r="S46" s="44">
        <v>28864884.289999999</v>
      </c>
      <c r="T46" s="61">
        <v>8048435.540000001</v>
      </c>
    </row>
    <row r="47" spans="1:20" ht="14" x14ac:dyDescent="0.15">
      <c r="A47" s="12"/>
      <c r="B47" s="13" t="s">
        <v>13</v>
      </c>
      <c r="C47" s="14" t="s">
        <v>23</v>
      </c>
      <c r="D47" s="15" t="s">
        <v>53</v>
      </c>
      <c r="E47" s="15" t="s">
        <v>67</v>
      </c>
      <c r="F47" s="16">
        <v>195</v>
      </c>
      <c r="G47" s="17">
        <v>22573.75</v>
      </c>
      <c r="H47" s="17">
        <v>8379.0499999999993</v>
      </c>
      <c r="I47" s="17">
        <v>4401881.25</v>
      </c>
      <c r="J47" s="15" t="s">
        <v>17</v>
      </c>
      <c r="K47" s="15" t="s">
        <v>18</v>
      </c>
      <c r="L47" s="9">
        <f>YEAR(E47)</f>
        <v>2021</v>
      </c>
      <c r="M47" s="18">
        <f t="shared" si="0"/>
        <v>1633914.7499999998</v>
      </c>
      <c r="P47" s="76" t="s">
        <v>53</v>
      </c>
      <c r="Q47" s="77">
        <v>5221</v>
      </c>
      <c r="R47" s="78">
        <v>29896.97</v>
      </c>
      <c r="S47" s="78">
        <v>163481007.26000002</v>
      </c>
      <c r="T47" s="79">
        <v>36450099.880000003</v>
      </c>
    </row>
    <row r="48" spans="1:20" x14ac:dyDescent="0.15">
      <c r="A48" s="12"/>
      <c r="B48" s="13" t="s">
        <v>13</v>
      </c>
      <c r="C48" s="14" t="s">
        <v>57</v>
      </c>
      <c r="D48" s="15" t="s">
        <v>68</v>
      </c>
      <c r="E48" s="15" t="s">
        <v>67</v>
      </c>
      <c r="F48" s="16">
        <v>551</v>
      </c>
      <c r="G48" s="17">
        <v>23671.25</v>
      </c>
      <c r="H48" s="17">
        <v>6023.56</v>
      </c>
      <c r="I48" s="17">
        <v>13042858.75</v>
      </c>
      <c r="J48" s="15" t="s">
        <v>17</v>
      </c>
      <c r="K48" s="15" t="s">
        <v>18</v>
      </c>
      <c r="L48" s="9">
        <f>YEAR(E48)</f>
        <v>2021</v>
      </c>
      <c r="M48" s="18">
        <f t="shared" si="0"/>
        <v>3318981.56</v>
      </c>
      <c r="P48" s="63">
        <v>2020</v>
      </c>
      <c r="Q48" s="43">
        <v>1049</v>
      </c>
      <c r="R48" s="44">
        <v>23445.904999999999</v>
      </c>
      <c r="S48" s="44">
        <v>23411149.509999998</v>
      </c>
      <c r="T48" s="61">
        <v>6548342.1199999992</v>
      </c>
    </row>
    <row r="49" spans="1:20" x14ac:dyDescent="0.15">
      <c r="A49" s="12"/>
      <c r="B49" s="13" t="s">
        <v>13</v>
      </c>
      <c r="C49" s="14" t="s">
        <v>14</v>
      </c>
      <c r="D49" s="15" t="s">
        <v>53</v>
      </c>
      <c r="E49" s="15" t="s">
        <v>69</v>
      </c>
      <c r="F49" s="16">
        <v>397</v>
      </c>
      <c r="G49" s="16">
        <v>29715</v>
      </c>
      <c r="H49" s="17">
        <v>6060.24</v>
      </c>
      <c r="I49" s="16">
        <v>11796855</v>
      </c>
      <c r="J49" s="15" t="s">
        <v>28</v>
      </c>
      <c r="K49" s="15" t="s">
        <v>18</v>
      </c>
      <c r="L49" s="9">
        <f>YEAR(E49)</f>
        <v>2021</v>
      </c>
      <c r="M49" s="18">
        <f t="shared" si="0"/>
        <v>2405915.2799999998</v>
      </c>
      <c r="P49" s="63">
        <v>2021</v>
      </c>
      <c r="Q49" s="43">
        <v>1510</v>
      </c>
      <c r="R49" s="44">
        <v>31446.502500000002</v>
      </c>
      <c r="S49" s="44">
        <v>52781102.590000004</v>
      </c>
      <c r="T49" s="61">
        <v>12320095.23</v>
      </c>
    </row>
    <row r="50" spans="1:20" x14ac:dyDescent="0.15">
      <c r="A50" s="12"/>
      <c r="B50" s="13" t="s">
        <v>13</v>
      </c>
      <c r="C50" s="14" t="s">
        <v>23</v>
      </c>
      <c r="D50" s="15" t="s">
        <v>70</v>
      </c>
      <c r="E50" s="15" t="s">
        <v>73</v>
      </c>
      <c r="F50" s="16">
        <v>309</v>
      </c>
      <c r="G50" s="19">
        <v>36171.199999999997</v>
      </c>
      <c r="H50" s="17">
        <v>5485.99</v>
      </c>
      <c r="I50" s="19">
        <v>11176900.800000001</v>
      </c>
      <c r="J50" s="15" t="s">
        <v>17</v>
      </c>
      <c r="K50" s="15" t="s">
        <v>18</v>
      </c>
      <c r="L50" s="9">
        <f>YEAR(E50)</f>
        <v>2021</v>
      </c>
      <c r="M50" s="18">
        <f t="shared" si="0"/>
        <v>1695170.91</v>
      </c>
      <c r="P50" s="63">
        <v>2022</v>
      </c>
      <c r="Q50" s="43">
        <v>1363</v>
      </c>
      <c r="R50" s="44">
        <v>36096.254000000001</v>
      </c>
      <c r="S50" s="44">
        <v>50084346.840000004</v>
      </c>
      <c r="T50" s="61">
        <v>9193562.5199999996</v>
      </c>
    </row>
    <row r="51" spans="1:20" x14ac:dyDescent="0.15">
      <c r="A51" s="12"/>
      <c r="B51" s="13" t="s">
        <v>13</v>
      </c>
      <c r="C51" s="14" t="s">
        <v>38</v>
      </c>
      <c r="D51" s="15" t="s">
        <v>70</v>
      </c>
      <c r="E51" s="15" t="s">
        <v>74</v>
      </c>
      <c r="F51" s="16">
        <v>810</v>
      </c>
      <c r="G51" s="17">
        <v>37294.980000000003</v>
      </c>
      <c r="H51" s="19">
        <v>9804.7000000000007</v>
      </c>
      <c r="I51" s="19">
        <v>30208933.800000001</v>
      </c>
      <c r="J51" s="15" t="s">
        <v>17</v>
      </c>
      <c r="K51" s="15" t="s">
        <v>18</v>
      </c>
      <c r="L51" s="9">
        <f>YEAR(E51)</f>
        <v>2021</v>
      </c>
      <c r="M51" s="18">
        <f t="shared" si="0"/>
        <v>7941807.0000000009</v>
      </c>
      <c r="P51" s="63">
        <v>2023</v>
      </c>
      <c r="Q51" s="43">
        <v>1299</v>
      </c>
      <c r="R51" s="44">
        <v>21799.496666666666</v>
      </c>
      <c r="S51" s="44">
        <v>37204408.32</v>
      </c>
      <c r="T51" s="61">
        <v>8388100.0099999998</v>
      </c>
    </row>
    <row r="52" spans="1:20" ht="14" x14ac:dyDescent="0.15">
      <c r="A52" s="12"/>
      <c r="B52" s="13" t="s">
        <v>13</v>
      </c>
      <c r="C52" s="14" t="s">
        <v>31</v>
      </c>
      <c r="D52" s="15" t="s">
        <v>70</v>
      </c>
      <c r="E52" s="15" t="s">
        <v>77</v>
      </c>
      <c r="F52" s="16">
        <v>779</v>
      </c>
      <c r="G52" s="19">
        <v>41434.9</v>
      </c>
      <c r="H52" s="17">
        <v>4902.3900000000003</v>
      </c>
      <c r="I52" s="19">
        <v>32277787.100000001</v>
      </c>
      <c r="J52" s="15" t="s">
        <v>17</v>
      </c>
      <c r="K52" s="15" t="s">
        <v>18</v>
      </c>
      <c r="L52" s="9">
        <f>YEAR(E52)</f>
        <v>2021</v>
      </c>
      <c r="M52" s="18">
        <f t="shared" si="0"/>
        <v>3818961.81</v>
      </c>
      <c r="P52" s="76" t="s">
        <v>153</v>
      </c>
      <c r="Q52" s="77">
        <v>8051</v>
      </c>
      <c r="R52" s="78">
        <v>31036.53571428571</v>
      </c>
      <c r="S52" s="78">
        <v>254679817.41</v>
      </c>
      <c r="T52" s="79">
        <v>51742303.380000003</v>
      </c>
    </row>
    <row r="53" spans="1:20" x14ac:dyDescent="0.15">
      <c r="A53" s="12"/>
      <c r="B53" s="13" t="s">
        <v>13</v>
      </c>
      <c r="C53" s="14" t="s">
        <v>43</v>
      </c>
      <c r="D53" s="15" t="s">
        <v>70</v>
      </c>
      <c r="E53" s="15" t="s">
        <v>82</v>
      </c>
      <c r="F53" s="16">
        <v>407</v>
      </c>
      <c r="G53" s="17">
        <v>17240.740000000002</v>
      </c>
      <c r="H53" s="19">
        <v>7258.3</v>
      </c>
      <c r="I53" s="17">
        <v>7016981.1799999997</v>
      </c>
      <c r="J53" s="15" t="s">
        <v>17</v>
      </c>
      <c r="K53" s="15" t="s">
        <v>18</v>
      </c>
      <c r="L53" s="9">
        <f>YEAR(E53)</f>
        <v>2021</v>
      </c>
      <c r="M53" s="18">
        <f t="shared" si="0"/>
        <v>2954128.1</v>
      </c>
      <c r="P53" s="63">
        <v>2020</v>
      </c>
      <c r="Q53" s="43">
        <v>2974</v>
      </c>
      <c r="R53" s="44">
        <v>30284.265999999996</v>
      </c>
      <c r="S53" s="44">
        <v>87304663.899999991</v>
      </c>
      <c r="T53" s="61">
        <v>21003727.98</v>
      </c>
    </row>
    <row r="54" spans="1:20" x14ac:dyDescent="0.15">
      <c r="A54" s="12"/>
      <c r="B54" s="13" t="s">
        <v>13</v>
      </c>
      <c r="C54" s="14" t="s">
        <v>23</v>
      </c>
      <c r="D54" s="15" t="s">
        <v>70</v>
      </c>
      <c r="E54" s="15" t="s">
        <v>84</v>
      </c>
      <c r="F54" s="16">
        <v>469</v>
      </c>
      <c r="G54" s="17">
        <v>40500.51</v>
      </c>
      <c r="H54" s="17">
        <v>9256.9500000000007</v>
      </c>
      <c r="I54" s="17">
        <v>18994739.190000001</v>
      </c>
      <c r="J54" s="15" t="s">
        <v>30</v>
      </c>
      <c r="K54" s="15" t="s">
        <v>18</v>
      </c>
      <c r="L54" s="9">
        <f>YEAR(E54)</f>
        <v>2021</v>
      </c>
      <c r="M54" s="18">
        <f t="shared" si="0"/>
        <v>4341509.5500000007</v>
      </c>
      <c r="P54" s="63">
        <v>2021</v>
      </c>
      <c r="Q54" s="43">
        <v>3698</v>
      </c>
      <c r="R54" s="44">
        <v>26816.083333333332</v>
      </c>
      <c r="S54" s="44">
        <v>114348937.40999998</v>
      </c>
      <c r="T54" s="61">
        <v>21318677.879999999</v>
      </c>
    </row>
    <row r="55" spans="1:20" x14ac:dyDescent="0.15">
      <c r="A55" s="12"/>
      <c r="B55" s="13" t="s">
        <v>13</v>
      </c>
      <c r="C55" s="14" t="s">
        <v>79</v>
      </c>
      <c r="D55" s="15" t="s">
        <v>89</v>
      </c>
      <c r="E55" s="15" t="s">
        <v>92</v>
      </c>
      <c r="F55" s="16">
        <v>963</v>
      </c>
      <c r="G55" s="17">
        <v>16009.91</v>
      </c>
      <c r="H55" s="19">
        <v>7849.5</v>
      </c>
      <c r="I55" s="17">
        <v>15417543.33</v>
      </c>
      <c r="J55" s="15" t="s">
        <v>28</v>
      </c>
      <c r="K55" s="15" t="s">
        <v>18</v>
      </c>
      <c r="L55" s="9">
        <f>YEAR(E55)</f>
        <v>2021</v>
      </c>
      <c r="M55" s="18">
        <f t="shared" si="0"/>
        <v>7559068.5</v>
      </c>
      <c r="P55" s="63">
        <v>2022</v>
      </c>
      <c r="Q55" s="43">
        <v>558</v>
      </c>
      <c r="R55" s="44">
        <v>37757.629999999997</v>
      </c>
      <c r="S55" s="44">
        <v>21068757.539999999</v>
      </c>
      <c r="T55" s="61">
        <v>4903692.84</v>
      </c>
    </row>
    <row r="56" spans="1:20" x14ac:dyDescent="0.15">
      <c r="A56" s="12"/>
      <c r="B56" s="13" t="s">
        <v>13</v>
      </c>
      <c r="C56" s="14" t="s">
        <v>25</v>
      </c>
      <c r="D56" s="15" t="s">
        <v>89</v>
      </c>
      <c r="E56" s="15" t="s">
        <v>94</v>
      </c>
      <c r="F56" s="16">
        <v>491</v>
      </c>
      <c r="G56" s="17">
        <v>42937.24</v>
      </c>
      <c r="H56" s="17">
        <v>7776.41</v>
      </c>
      <c r="I56" s="17">
        <v>21082184.84</v>
      </c>
      <c r="J56" s="15" t="s">
        <v>17</v>
      </c>
      <c r="K56" s="15" t="s">
        <v>18</v>
      </c>
      <c r="L56" s="9">
        <f>YEAR(E56)</f>
        <v>2021</v>
      </c>
      <c r="M56" s="18">
        <f t="shared" si="0"/>
        <v>3818217.31</v>
      </c>
      <c r="P56" s="63">
        <v>2023</v>
      </c>
      <c r="Q56" s="43">
        <v>821</v>
      </c>
      <c r="R56" s="44">
        <v>42218.020000000004</v>
      </c>
      <c r="S56" s="44">
        <v>31957458.560000002</v>
      </c>
      <c r="T56" s="61">
        <v>4516204.68</v>
      </c>
    </row>
    <row r="57" spans="1:20" ht="14" x14ac:dyDescent="0.15">
      <c r="A57" s="12"/>
      <c r="B57" s="13" t="s">
        <v>13</v>
      </c>
      <c r="C57" s="14" t="s">
        <v>43</v>
      </c>
      <c r="D57" s="15" t="s">
        <v>89</v>
      </c>
      <c r="E57" s="15" t="s">
        <v>98</v>
      </c>
      <c r="F57" s="16">
        <v>238</v>
      </c>
      <c r="G57" s="17">
        <v>28152.42</v>
      </c>
      <c r="H57" s="17">
        <v>8234.85</v>
      </c>
      <c r="I57" s="17">
        <v>6700275.96</v>
      </c>
      <c r="J57" s="15" t="s">
        <v>17</v>
      </c>
      <c r="K57" s="15" t="s">
        <v>18</v>
      </c>
      <c r="L57" s="9">
        <f>YEAR(E57)</f>
        <v>2021</v>
      </c>
      <c r="M57" s="18">
        <f t="shared" si="0"/>
        <v>1959894.3</v>
      </c>
      <c r="P57" s="84" t="s">
        <v>789</v>
      </c>
      <c r="Q57" s="85">
        <v>69933</v>
      </c>
      <c r="R57" s="86">
        <v>29210.507753623184</v>
      </c>
      <c r="S57" s="86">
        <v>2072461627.0499997</v>
      </c>
      <c r="T57" s="87">
        <v>433702618.48000002</v>
      </c>
    </row>
    <row r="58" spans="1:20" x14ac:dyDescent="0.15">
      <c r="A58" s="12"/>
      <c r="B58" s="13" t="s">
        <v>13</v>
      </c>
      <c r="C58" s="14" t="s">
        <v>23</v>
      </c>
      <c r="D58" s="15" t="s">
        <v>89</v>
      </c>
      <c r="E58" s="15" t="s">
        <v>104</v>
      </c>
      <c r="F58" s="16">
        <v>305</v>
      </c>
      <c r="G58" s="17">
        <v>18218.73</v>
      </c>
      <c r="H58" s="17">
        <v>9792.49</v>
      </c>
      <c r="I58" s="17">
        <v>5556712.6500000004</v>
      </c>
      <c r="J58" s="15" t="s">
        <v>17</v>
      </c>
      <c r="K58" s="15" t="s">
        <v>18</v>
      </c>
      <c r="L58" s="9">
        <f>YEAR(E58)</f>
        <v>2021</v>
      </c>
      <c r="M58" s="18">
        <f t="shared" si="0"/>
        <v>2986709.4499999997</v>
      </c>
    </row>
    <row r="59" spans="1:20" x14ac:dyDescent="0.15">
      <c r="A59" s="12"/>
      <c r="B59" s="13" t="s">
        <v>13</v>
      </c>
      <c r="C59" s="14" t="s">
        <v>38</v>
      </c>
      <c r="D59" s="15" t="s">
        <v>107</v>
      </c>
      <c r="E59" s="15" t="s">
        <v>108</v>
      </c>
      <c r="F59" s="16">
        <v>360</v>
      </c>
      <c r="G59" s="17">
        <v>25462.65</v>
      </c>
      <c r="H59" s="17">
        <v>9477.39</v>
      </c>
      <c r="I59" s="16">
        <v>9166554</v>
      </c>
      <c r="J59" s="15" t="s">
        <v>17</v>
      </c>
      <c r="K59" s="15" t="s">
        <v>18</v>
      </c>
      <c r="L59" s="9">
        <f>YEAR(E59)</f>
        <v>2021</v>
      </c>
      <c r="M59" s="18">
        <f t="shared" si="0"/>
        <v>3411860.4</v>
      </c>
    </row>
    <row r="60" spans="1:20" x14ac:dyDescent="0.15">
      <c r="A60" s="12"/>
      <c r="B60" s="13" t="s">
        <v>13</v>
      </c>
      <c r="C60" s="14" t="s">
        <v>79</v>
      </c>
      <c r="D60" s="15" t="s">
        <v>107</v>
      </c>
      <c r="E60" s="15" t="s">
        <v>111</v>
      </c>
      <c r="F60" s="16">
        <v>394</v>
      </c>
      <c r="G60" s="19">
        <v>47388.5</v>
      </c>
      <c r="H60" s="17">
        <v>9454.0300000000007</v>
      </c>
      <c r="I60" s="16">
        <v>18671069</v>
      </c>
      <c r="J60" s="15" t="s">
        <v>17</v>
      </c>
      <c r="K60" s="15" t="s">
        <v>18</v>
      </c>
      <c r="L60" s="9">
        <f>YEAR(E60)</f>
        <v>2021</v>
      </c>
      <c r="M60" s="18">
        <f t="shared" si="0"/>
        <v>3724887.8200000003</v>
      </c>
    </row>
    <row r="61" spans="1:20" x14ac:dyDescent="0.15">
      <c r="A61" s="12"/>
      <c r="B61" s="13" t="s">
        <v>13</v>
      </c>
      <c r="C61" s="14" t="s">
        <v>23</v>
      </c>
      <c r="D61" s="15" t="s">
        <v>107</v>
      </c>
      <c r="E61" s="15" t="s">
        <v>115</v>
      </c>
      <c r="F61" s="16">
        <v>112</v>
      </c>
      <c r="G61" s="17">
        <v>37672.07</v>
      </c>
      <c r="H61" s="17">
        <v>5265.33</v>
      </c>
      <c r="I61" s="17">
        <v>4219271.84</v>
      </c>
      <c r="J61" s="15" t="s">
        <v>17</v>
      </c>
      <c r="K61" s="15" t="s">
        <v>18</v>
      </c>
      <c r="L61" s="9">
        <f>YEAR(E61)</f>
        <v>2021</v>
      </c>
      <c r="M61" s="18">
        <f t="shared" si="0"/>
        <v>589716.96</v>
      </c>
    </row>
    <row r="62" spans="1:20" x14ac:dyDescent="0.15">
      <c r="A62" s="12"/>
      <c r="B62" s="13" t="s">
        <v>13</v>
      </c>
      <c r="C62" s="14" t="s">
        <v>23</v>
      </c>
      <c r="D62" s="15" t="s">
        <v>107</v>
      </c>
      <c r="E62" s="15" t="s">
        <v>116</v>
      </c>
      <c r="F62" s="16">
        <v>494</v>
      </c>
      <c r="G62" s="17">
        <v>29181.06</v>
      </c>
      <c r="H62" s="17">
        <v>2446.06</v>
      </c>
      <c r="I62" s="17">
        <v>14415443.640000001</v>
      </c>
      <c r="J62" s="15" t="s">
        <v>17</v>
      </c>
      <c r="K62" s="15" t="s">
        <v>18</v>
      </c>
      <c r="L62" s="9">
        <f>YEAR(E62)</f>
        <v>2021</v>
      </c>
      <c r="M62" s="18">
        <f t="shared" si="0"/>
        <v>1208353.6399999999</v>
      </c>
    </row>
    <row r="63" spans="1:20" x14ac:dyDescent="0.15">
      <c r="A63" s="12"/>
      <c r="B63" s="13" t="s">
        <v>13</v>
      </c>
      <c r="C63" s="14" t="s">
        <v>43</v>
      </c>
      <c r="D63" s="15" t="s">
        <v>68</v>
      </c>
      <c r="E63" s="15" t="s">
        <v>126</v>
      </c>
      <c r="F63" s="16">
        <v>773</v>
      </c>
      <c r="G63" s="17">
        <v>38681.14</v>
      </c>
      <c r="H63" s="17">
        <v>8033.55</v>
      </c>
      <c r="I63" s="17">
        <v>29900521.219999999</v>
      </c>
      <c r="J63" s="15" t="s">
        <v>17</v>
      </c>
      <c r="K63" s="15" t="s">
        <v>18</v>
      </c>
      <c r="L63" s="9">
        <f>YEAR(E63)</f>
        <v>2021</v>
      </c>
      <c r="M63" s="18">
        <f t="shared" si="0"/>
        <v>6209934.1500000004</v>
      </c>
    </row>
    <row r="64" spans="1:20" x14ac:dyDescent="0.15">
      <c r="A64" s="12"/>
      <c r="B64" s="13" t="s">
        <v>13</v>
      </c>
      <c r="C64" s="14" t="s">
        <v>79</v>
      </c>
      <c r="D64" s="15" t="s">
        <v>68</v>
      </c>
      <c r="E64" s="15" t="s">
        <v>127</v>
      </c>
      <c r="F64" s="16">
        <v>279</v>
      </c>
      <c r="G64" s="17">
        <v>13571.23</v>
      </c>
      <c r="H64" s="17">
        <v>9897.25</v>
      </c>
      <c r="I64" s="17">
        <v>3786373.17</v>
      </c>
      <c r="J64" s="15" t="s">
        <v>30</v>
      </c>
      <c r="K64" s="15" t="s">
        <v>18</v>
      </c>
      <c r="L64" s="9">
        <f>YEAR(E64)</f>
        <v>2021</v>
      </c>
      <c r="M64" s="18">
        <f t="shared" si="0"/>
        <v>2761332.75</v>
      </c>
    </row>
    <row r="65" spans="1:13" x14ac:dyDescent="0.15">
      <c r="A65" s="12"/>
      <c r="B65" s="13" t="s">
        <v>13</v>
      </c>
      <c r="C65" s="14" t="s">
        <v>43</v>
      </c>
      <c r="D65" s="15" t="s">
        <v>68</v>
      </c>
      <c r="E65" s="15" t="s">
        <v>127</v>
      </c>
      <c r="F65" s="16">
        <v>634</v>
      </c>
      <c r="G65" s="17">
        <v>40807.39</v>
      </c>
      <c r="H65" s="17">
        <v>9589.5300000000007</v>
      </c>
      <c r="I65" s="17">
        <v>25871885.260000002</v>
      </c>
      <c r="J65" s="15" t="s">
        <v>17</v>
      </c>
      <c r="K65" s="15" t="s">
        <v>18</v>
      </c>
      <c r="L65" s="9">
        <f>YEAR(E65)</f>
        <v>2021</v>
      </c>
      <c r="M65" s="18">
        <f t="shared" si="0"/>
        <v>6079762.0200000005</v>
      </c>
    </row>
    <row r="66" spans="1:13" x14ac:dyDescent="0.15">
      <c r="A66" s="12"/>
      <c r="B66" s="13" t="s">
        <v>13</v>
      </c>
      <c r="C66" s="14" t="s">
        <v>31</v>
      </c>
      <c r="D66" s="15" t="s">
        <v>68</v>
      </c>
      <c r="E66" s="15" t="s">
        <v>128</v>
      </c>
      <c r="F66" s="16">
        <v>595</v>
      </c>
      <c r="G66" s="17">
        <v>49952.76</v>
      </c>
      <c r="H66" s="17">
        <v>3880.69</v>
      </c>
      <c r="I66" s="19">
        <v>29721892.199999999</v>
      </c>
      <c r="J66" s="15" t="s">
        <v>30</v>
      </c>
      <c r="K66" s="15" t="s">
        <v>18</v>
      </c>
      <c r="L66" s="9">
        <f>YEAR(E66)</f>
        <v>2021</v>
      </c>
      <c r="M66" s="18">
        <f t="shared" si="0"/>
        <v>2309010.5499999998</v>
      </c>
    </row>
    <row r="67" spans="1:13" x14ac:dyDescent="0.15">
      <c r="A67" s="12"/>
      <c r="B67" s="13" t="s">
        <v>13</v>
      </c>
      <c r="C67" s="14" t="s">
        <v>38</v>
      </c>
      <c r="D67" s="15" t="s">
        <v>68</v>
      </c>
      <c r="E67" s="15" t="s">
        <v>130</v>
      </c>
      <c r="F67" s="16">
        <v>777</v>
      </c>
      <c r="G67" s="17">
        <v>30049.86</v>
      </c>
      <c r="H67" s="17">
        <v>4993.55</v>
      </c>
      <c r="I67" s="17">
        <v>23348741.219999999</v>
      </c>
      <c r="J67" s="15" t="s">
        <v>30</v>
      </c>
      <c r="K67" s="15" t="s">
        <v>18</v>
      </c>
      <c r="L67" s="9">
        <f>YEAR(E67)</f>
        <v>2021</v>
      </c>
      <c r="M67" s="18">
        <f t="shared" si="0"/>
        <v>3879988.35</v>
      </c>
    </row>
    <row r="68" spans="1:13" x14ac:dyDescent="0.15">
      <c r="A68" s="12"/>
      <c r="B68" s="13" t="s">
        <v>13</v>
      </c>
      <c r="C68" s="14" t="s">
        <v>14</v>
      </c>
      <c r="D68" s="15" t="s">
        <v>68</v>
      </c>
      <c r="E68" s="15" t="s">
        <v>138</v>
      </c>
      <c r="F68" s="16">
        <v>669</v>
      </c>
      <c r="G68" s="17">
        <v>18940.330000000002</v>
      </c>
      <c r="H68" s="17">
        <v>2890.92</v>
      </c>
      <c r="I68" s="17">
        <v>12671080.77</v>
      </c>
      <c r="J68" s="15" t="s">
        <v>17</v>
      </c>
      <c r="K68" s="15" t="s">
        <v>18</v>
      </c>
      <c r="L68" s="9">
        <f>YEAR(E68)</f>
        <v>2021</v>
      </c>
      <c r="M68" s="18">
        <f t="shared" ref="M68:M131" si="1">H68*F68</f>
        <v>1934025.48</v>
      </c>
    </row>
    <row r="69" spans="1:13" x14ac:dyDescent="0.15">
      <c r="A69" s="12"/>
      <c r="B69" s="13" t="s">
        <v>13</v>
      </c>
      <c r="C69" s="14" t="s">
        <v>19</v>
      </c>
      <c r="D69" s="15" t="s">
        <v>139</v>
      </c>
      <c r="E69" s="15" t="s">
        <v>145</v>
      </c>
      <c r="F69" s="16">
        <v>359</v>
      </c>
      <c r="G69" s="17">
        <v>19044.29</v>
      </c>
      <c r="H69" s="17">
        <v>6879.43</v>
      </c>
      <c r="I69" s="17">
        <v>6836900.1100000003</v>
      </c>
      <c r="J69" s="15" t="s">
        <v>17</v>
      </c>
      <c r="K69" s="15" t="s">
        <v>18</v>
      </c>
      <c r="L69" s="9">
        <f>YEAR(E69)</f>
        <v>2021</v>
      </c>
      <c r="M69" s="18">
        <f t="shared" si="1"/>
        <v>2469715.37</v>
      </c>
    </row>
    <row r="70" spans="1:13" x14ac:dyDescent="0.15">
      <c r="A70" s="12"/>
      <c r="B70" s="13" t="s">
        <v>13</v>
      </c>
      <c r="C70" s="14" t="s">
        <v>57</v>
      </c>
      <c r="D70" s="15" t="s">
        <v>139</v>
      </c>
      <c r="E70" s="15" t="s">
        <v>146</v>
      </c>
      <c r="F70" s="16">
        <v>692</v>
      </c>
      <c r="G70" s="17">
        <v>20019.73</v>
      </c>
      <c r="H70" s="17">
        <v>4532.37</v>
      </c>
      <c r="I70" s="17">
        <v>13853653.16</v>
      </c>
      <c r="J70" s="15" t="s">
        <v>17</v>
      </c>
      <c r="K70" s="15" t="s">
        <v>18</v>
      </c>
      <c r="L70" s="9">
        <f>YEAR(E70)</f>
        <v>2021</v>
      </c>
      <c r="M70" s="18">
        <f t="shared" si="1"/>
        <v>3136400.04</v>
      </c>
    </row>
    <row r="71" spans="1:13" x14ac:dyDescent="0.15">
      <c r="A71" s="12"/>
      <c r="B71" s="13" t="s">
        <v>13</v>
      </c>
      <c r="C71" s="14" t="s">
        <v>79</v>
      </c>
      <c r="D71" s="15" t="s">
        <v>139</v>
      </c>
      <c r="E71" s="15" t="s">
        <v>148</v>
      </c>
      <c r="F71" s="16">
        <v>435</v>
      </c>
      <c r="G71" s="17">
        <v>33734.239999999998</v>
      </c>
      <c r="H71" s="17">
        <v>7258.28</v>
      </c>
      <c r="I71" s="19">
        <v>14674394.4</v>
      </c>
      <c r="J71" s="15" t="s">
        <v>17</v>
      </c>
      <c r="K71" s="15" t="s">
        <v>18</v>
      </c>
      <c r="L71" s="9">
        <f>YEAR(E71)</f>
        <v>2021</v>
      </c>
      <c r="M71" s="18">
        <f t="shared" si="1"/>
        <v>3157351.8</v>
      </c>
    </row>
    <row r="72" spans="1:13" x14ac:dyDescent="0.15">
      <c r="A72" s="12"/>
      <c r="B72" s="13" t="s">
        <v>13</v>
      </c>
      <c r="C72" s="14" t="s">
        <v>79</v>
      </c>
      <c r="D72" s="15" t="s">
        <v>153</v>
      </c>
      <c r="E72" s="15" t="s">
        <v>154</v>
      </c>
      <c r="F72" s="16">
        <v>870</v>
      </c>
      <c r="G72" s="17">
        <v>48583.99</v>
      </c>
      <c r="H72" s="17">
        <v>3988.43</v>
      </c>
      <c r="I72" s="19">
        <v>42268071.299999997</v>
      </c>
      <c r="J72" s="15" t="s">
        <v>17</v>
      </c>
      <c r="K72" s="15" t="s">
        <v>18</v>
      </c>
      <c r="L72" s="9">
        <f>YEAR(E72)</f>
        <v>2021</v>
      </c>
      <c r="M72" s="18">
        <f t="shared" si="1"/>
        <v>3469934.0999999996</v>
      </c>
    </row>
    <row r="73" spans="1:13" x14ac:dyDescent="0.15">
      <c r="A73" s="12"/>
      <c r="B73" s="13" t="s">
        <v>13</v>
      </c>
      <c r="C73" s="14" t="s">
        <v>79</v>
      </c>
      <c r="D73" s="15" t="s">
        <v>153</v>
      </c>
      <c r="E73" s="15" t="s">
        <v>155</v>
      </c>
      <c r="F73" s="16">
        <v>388</v>
      </c>
      <c r="G73" s="17">
        <v>14002.05</v>
      </c>
      <c r="H73" s="17">
        <v>7799.02</v>
      </c>
      <c r="I73" s="19">
        <v>5432795.4000000004</v>
      </c>
      <c r="J73" s="15" t="s">
        <v>17</v>
      </c>
      <c r="K73" s="15" t="s">
        <v>18</v>
      </c>
      <c r="L73" s="9">
        <f>YEAR(E73)</f>
        <v>2021</v>
      </c>
      <c r="M73" s="18">
        <f t="shared" si="1"/>
        <v>3026019.7600000002</v>
      </c>
    </row>
    <row r="74" spans="1:13" x14ac:dyDescent="0.15">
      <c r="A74" s="12"/>
      <c r="B74" s="13" t="s">
        <v>13</v>
      </c>
      <c r="C74" s="14" t="s">
        <v>25</v>
      </c>
      <c r="D74" s="15" t="s">
        <v>153</v>
      </c>
      <c r="E74" s="15" t="s">
        <v>160</v>
      </c>
      <c r="F74" s="16">
        <v>988</v>
      </c>
      <c r="G74" s="17">
        <v>34090.050000000003</v>
      </c>
      <c r="H74" s="17">
        <v>6763.49</v>
      </c>
      <c r="I74" s="19">
        <v>33680969.399999999</v>
      </c>
      <c r="J74" s="15" t="s">
        <v>17</v>
      </c>
      <c r="K74" s="15" t="s">
        <v>18</v>
      </c>
      <c r="L74" s="9">
        <f>YEAR(E74)</f>
        <v>2021</v>
      </c>
      <c r="M74" s="18">
        <f t="shared" si="1"/>
        <v>6682328.1200000001</v>
      </c>
    </row>
    <row r="75" spans="1:13" x14ac:dyDescent="0.15">
      <c r="A75" s="12"/>
      <c r="B75" s="13" t="s">
        <v>13</v>
      </c>
      <c r="C75" s="14" t="s">
        <v>25</v>
      </c>
      <c r="D75" s="15" t="s">
        <v>153</v>
      </c>
      <c r="E75" s="15" t="s">
        <v>165</v>
      </c>
      <c r="F75" s="16">
        <v>456</v>
      </c>
      <c r="G75" s="19">
        <v>21633.599999999999</v>
      </c>
      <c r="H75" s="17">
        <v>4135.4399999999996</v>
      </c>
      <c r="I75" s="19">
        <v>9864921.5999999996</v>
      </c>
      <c r="J75" s="15" t="s">
        <v>30</v>
      </c>
      <c r="K75" s="15" t="s">
        <v>18</v>
      </c>
      <c r="L75" s="9">
        <f>YEAR(E75)</f>
        <v>2021</v>
      </c>
      <c r="M75" s="18">
        <f t="shared" si="1"/>
        <v>1885760.64</v>
      </c>
    </row>
    <row r="76" spans="1:13" x14ac:dyDescent="0.15">
      <c r="A76" s="12"/>
      <c r="B76" s="13" t="s">
        <v>13</v>
      </c>
      <c r="C76" s="14" t="s">
        <v>79</v>
      </c>
      <c r="D76" s="15" t="s">
        <v>153</v>
      </c>
      <c r="E76" s="15" t="s">
        <v>166</v>
      </c>
      <c r="F76" s="16">
        <v>627</v>
      </c>
      <c r="G76" s="17">
        <v>28634.29</v>
      </c>
      <c r="H76" s="19">
        <v>6333.2</v>
      </c>
      <c r="I76" s="17">
        <v>17953699.829999998</v>
      </c>
      <c r="J76" s="15" t="s">
        <v>28</v>
      </c>
      <c r="K76" s="15" t="s">
        <v>18</v>
      </c>
      <c r="L76" s="9">
        <f>YEAR(E76)</f>
        <v>2021</v>
      </c>
      <c r="M76" s="18">
        <f t="shared" si="1"/>
        <v>3970916.4</v>
      </c>
    </row>
    <row r="77" spans="1:13" x14ac:dyDescent="0.15">
      <c r="A77" s="12"/>
      <c r="B77" s="13" t="s">
        <v>13</v>
      </c>
      <c r="C77" s="14" t="s">
        <v>38</v>
      </c>
      <c r="D77" s="15" t="s">
        <v>153</v>
      </c>
      <c r="E77" s="15" t="s">
        <v>167</v>
      </c>
      <c r="F77" s="16">
        <v>369</v>
      </c>
      <c r="G77" s="17">
        <v>13952.52</v>
      </c>
      <c r="H77" s="17">
        <v>6188.94</v>
      </c>
      <c r="I77" s="17">
        <v>5148479.88</v>
      </c>
      <c r="J77" s="15" t="s">
        <v>17</v>
      </c>
      <c r="K77" s="15" t="s">
        <v>18</v>
      </c>
      <c r="L77" s="9">
        <f>YEAR(E77)</f>
        <v>2021</v>
      </c>
      <c r="M77" s="18">
        <f t="shared" si="1"/>
        <v>2283718.86</v>
      </c>
    </row>
    <row r="78" spans="1:13" x14ac:dyDescent="0.15">
      <c r="A78" s="12"/>
      <c r="B78" s="13" t="s">
        <v>13</v>
      </c>
      <c r="C78" s="14" t="s">
        <v>25</v>
      </c>
      <c r="D78" s="15" t="s">
        <v>114</v>
      </c>
      <c r="E78" s="15" t="s">
        <v>171</v>
      </c>
      <c r="F78" s="16">
        <v>496</v>
      </c>
      <c r="G78" s="17">
        <v>16337.54</v>
      </c>
      <c r="H78" s="17">
        <v>7374.32</v>
      </c>
      <c r="I78" s="17">
        <v>8103419.8399999999</v>
      </c>
      <c r="J78" s="15" t="s">
        <v>22</v>
      </c>
      <c r="K78" s="15" t="s">
        <v>18</v>
      </c>
      <c r="L78" s="9">
        <f>YEAR(E78)</f>
        <v>2021</v>
      </c>
      <c r="M78" s="18">
        <f t="shared" si="1"/>
        <v>3657662.7199999997</v>
      </c>
    </row>
    <row r="79" spans="1:13" x14ac:dyDescent="0.15">
      <c r="A79" s="12"/>
      <c r="B79" s="13" t="s">
        <v>13</v>
      </c>
      <c r="C79" s="14" t="s">
        <v>23</v>
      </c>
      <c r="D79" s="15" t="s">
        <v>26</v>
      </c>
      <c r="E79" s="15" t="s">
        <v>37</v>
      </c>
      <c r="F79" s="16">
        <v>225</v>
      </c>
      <c r="G79" s="17">
        <v>27359.34</v>
      </c>
      <c r="H79" s="19">
        <v>4792.7</v>
      </c>
      <c r="I79" s="19">
        <v>6155851.5</v>
      </c>
      <c r="J79" s="15" t="s">
        <v>17</v>
      </c>
      <c r="K79" s="15" t="s">
        <v>18</v>
      </c>
      <c r="L79" s="9">
        <f>YEAR(E79)</f>
        <v>2022</v>
      </c>
      <c r="M79" s="18">
        <f t="shared" si="1"/>
        <v>1078357.5</v>
      </c>
    </row>
    <row r="80" spans="1:13" x14ac:dyDescent="0.15">
      <c r="A80" s="12"/>
      <c r="B80" s="13" t="s">
        <v>13</v>
      </c>
      <c r="C80" s="14" t="s">
        <v>35</v>
      </c>
      <c r="D80" s="15" t="s">
        <v>26</v>
      </c>
      <c r="E80" s="15" t="s">
        <v>47</v>
      </c>
      <c r="F80" s="16">
        <v>425</v>
      </c>
      <c r="G80" s="17">
        <v>18775.34</v>
      </c>
      <c r="H80" s="17">
        <v>5343.85</v>
      </c>
      <c r="I80" s="19">
        <v>7979519.5</v>
      </c>
      <c r="J80" s="15" t="s">
        <v>17</v>
      </c>
      <c r="K80" s="15" t="s">
        <v>18</v>
      </c>
      <c r="L80" s="9">
        <f>YEAR(E80)</f>
        <v>2022</v>
      </c>
      <c r="M80" s="18">
        <f t="shared" si="1"/>
        <v>2271136.25</v>
      </c>
    </row>
    <row r="81" spans="1:13" x14ac:dyDescent="0.15">
      <c r="A81" s="12"/>
      <c r="B81" s="13" t="s">
        <v>13</v>
      </c>
      <c r="C81" s="14" t="s">
        <v>35</v>
      </c>
      <c r="D81" s="15" t="s">
        <v>26</v>
      </c>
      <c r="E81" s="15" t="s">
        <v>49</v>
      </c>
      <c r="F81" s="16">
        <v>930</v>
      </c>
      <c r="G81" s="17">
        <v>37216.61</v>
      </c>
      <c r="H81" s="17">
        <v>4076.71</v>
      </c>
      <c r="I81" s="19">
        <v>34611447.299999997</v>
      </c>
      <c r="J81" s="15" t="s">
        <v>28</v>
      </c>
      <c r="K81" s="15" t="s">
        <v>18</v>
      </c>
      <c r="L81" s="9">
        <f>YEAR(E81)</f>
        <v>2022</v>
      </c>
      <c r="M81" s="18">
        <f t="shared" si="1"/>
        <v>3791340.3</v>
      </c>
    </row>
    <row r="82" spans="1:13" x14ac:dyDescent="0.15">
      <c r="A82" s="12"/>
      <c r="B82" s="13" t="s">
        <v>13</v>
      </c>
      <c r="C82" s="14" t="s">
        <v>25</v>
      </c>
      <c r="D82" s="15" t="s">
        <v>26</v>
      </c>
      <c r="E82" s="15" t="s">
        <v>51</v>
      </c>
      <c r="F82" s="16">
        <v>220</v>
      </c>
      <c r="G82" s="17">
        <v>37731.49</v>
      </c>
      <c r="H82" s="17">
        <v>5466.27</v>
      </c>
      <c r="I82" s="19">
        <v>8300927.7999999998</v>
      </c>
      <c r="J82" s="15" t="s">
        <v>28</v>
      </c>
      <c r="K82" s="15" t="s">
        <v>18</v>
      </c>
      <c r="L82" s="9">
        <f>YEAR(E82)</f>
        <v>2022</v>
      </c>
      <c r="M82" s="18">
        <f t="shared" si="1"/>
        <v>1202579.4000000001</v>
      </c>
    </row>
    <row r="83" spans="1:13" x14ac:dyDescent="0.15">
      <c r="A83" s="12"/>
      <c r="B83" s="13" t="s">
        <v>13</v>
      </c>
      <c r="C83" s="14" t="s">
        <v>23</v>
      </c>
      <c r="D83" s="15" t="s">
        <v>53</v>
      </c>
      <c r="E83" s="15" t="s">
        <v>54</v>
      </c>
      <c r="F83" s="16">
        <v>223</v>
      </c>
      <c r="G83" s="17">
        <v>41689.96</v>
      </c>
      <c r="H83" s="17">
        <v>7172.86</v>
      </c>
      <c r="I83" s="17">
        <v>9296861.0800000001</v>
      </c>
      <c r="J83" s="15" t="s">
        <v>17</v>
      </c>
      <c r="K83" s="15" t="s">
        <v>18</v>
      </c>
      <c r="L83" s="9">
        <f>YEAR(E83)</f>
        <v>2022</v>
      </c>
      <c r="M83" s="18">
        <f t="shared" si="1"/>
        <v>1599547.78</v>
      </c>
    </row>
    <row r="84" spans="1:13" x14ac:dyDescent="0.15">
      <c r="A84" s="12"/>
      <c r="B84" s="13" t="s">
        <v>13</v>
      </c>
      <c r="C84" s="14" t="s">
        <v>19</v>
      </c>
      <c r="D84" s="15" t="s">
        <v>53</v>
      </c>
      <c r="E84" s="15" t="s">
        <v>55</v>
      </c>
      <c r="F84" s="16">
        <v>238</v>
      </c>
      <c r="G84" s="17">
        <v>31839.65</v>
      </c>
      <c r="H84" s="17">
        <v>8488.9699999999993</v>
      </c>
      <c r="I84" s="19">
        <v>7577836.7000000002</v>
      </c>
      <c r="J84" s="15" t="s">
        <v>17</v>
      </c>
      <c r="K84" s="15" t="s">
        <v>18</v>
      </c>
      <c r="L84" s="9">
        <f>YEAR(E84)</f>
        <v>2022</v>
      </c>
      <c r="M84" s="18">
        <f t="shared" si="1"/>
        <v>2020374.8599999999</v>
      </c>
    </row>
    <row r="85" spans="1:13" x14ac:dyDescent="0.15">
      <c r="A85" s="12"/>
      <c r="B85" s="13" t="s">
        <v>13</v>
      </c>
      <c r="C85" s="14" t="s">
        <v>57</v>
      </c>
      <c r="D85" s="15" t="s">
        <v>53</v>
      </c>
      <c r="E85" s="15" t="s">
        <v>60</v>
      </c>
      <c r="F85" s="16">
        <v>228</v>
      </c>
      <c r="G85" s="17">
        <v>27992.79</v>
      </c>
      <c r="H85" s="17">
        <v>4627.45</v>
      </c>
      <c r="I85" s="17">
        <v>6382356.1200000001</v>
      </c>
      <c r="J85" s="15" t="s">
        <v>30</v>
      </c>
      <c r="K85" s="15" t="s">
        <v>18</v>
      </c>
      <c r="L85" s="9">
        <f>YEAR(E85)</f>
        <v>2022</v>
      </c>
      <c r="M85" s="18">
        <f t="shared" si="1"/>
        <v>1055058.5999999999</v>
      </c>
    </row>
    <row r="86" spans="1:13" x14ac:dyDescent="0.15">
      <c r="A86" s="12"/>
      <c r="B86" s="13" t="s">
        <v>13</v>
      </c>
      <c r="C86" s="14" t="s">
        <v>14</v>
      </c>
      <c r="D86" s="15" t="s">
        <v>53</v>
      </c>
      <c r="E86" s="15" t="s">
        <v>62</v>
      </c>
      <c r="F86" s="16">
        <v>462</v>
      </c>
      <c r="G86" s="17">
        <v>40352.050000000003</v>
      </c>
      <c r="H86" s="19">
        <v>5985.5</v>
      </c>
      <c r="I86" s="19">
        <v>18642647.100000001</v>
      </c>
      <c r="J86" s="15" t="s">
        <v>17</v>
      </c>
      <c r="K86" s="15" t="s">
        <v>18</v>
      </c>
      <c r="L86" s="9">
        <f>YEAR(E86)</f>
        <v>2022</v>
      </c>
      <c r="M86" s="18">
        <f t="shared" si="1"/>
        <v>2765301</v>
      </c>
    </row>
    <row r="87" spans="1:13" x14ac:dyDescent="0.15">
      <c r="A87" s="12"/>
      <c r="B87" s="13" t="s">
        <v>13</v>
      </c>
      <c r="C87" s="14" t="s">
        <v>38</v>
      </c>
      <c r="D87" s="15" t="s">
        <v>53</v>
      </c>
      <c r="E87" s="15" t="s">
        <v>63</v>
      </c>
      <c r="F87" s="16">
        <v>212</v>
      </c>
      <c r="G87" s="17">
        <v>38606.82</v>
      </c>
      <c r="H87" s="17">
        <v>8270.19</v>
      </c>
      <c r="I87" s="17">
        <v>8184645.8399999999</v>
      </c>
      <c r="J87" s="15" t="s">
        <v>17</v>
      </c>
      <c r="K87" s="15" t="s">
        <v>18</v>
      </c>
      <c r="L87" s="9">
        <f>YEAR(E87)</f>
        <v>2022</v>
      </c>
      <c r="M87" s="18">
        <f t="shared" si="1"/>
        <v>1753280.28</v>
      </c>
    </row>
    <row r="88" spans="1:13" x14ac:dyDescent="0.15">
      <c r="A88" s="12"/>
      <c r="B88" s="13" t="s">
        <v>13</v>
      </c>
      <c r="C88" s="14" t="s">
        <v>57</v>
      </c>
      <c r="D88" s="15" t="s">
        <v>70</v>
      </c>
      <c r="E88" s="15" t="s">
        <v>75</v>
      </c>
      <c r="F88" s="16">
        <v>197</v>
      </c>
      <c r="G88" s="17">
        <v>32460.959999999999</v>
      </c>
      <c r="H88" s="17">
        <v>3462.01</v>
      </c>
      <c r="I88" s="17">
        <v>6394809.1200000001</v>
      </c>
      <c r="J88" s="15" t="s">
        <v>17</v>
      </c>
      <c r="K88" s="15" t="s">
        <v>18</v>
      </c>
      <c r="L88" s="9">
        <f>YEAR(E88)</f>
        <v>2022</v>
      </c>
      <c r="M88" s="18">
        <f t="shared" si="1"/>
        <v>682015.97000000009</v>
      </c>
    </row>
    <row r="89" spans="1:13" x14ac:dyDescent="0.15">
      <c r="A89" s="12"/>
      <c r="B89" s="13" t="s">
        <v>13</v>
      </c>
      <c r="C89" s="14" t="s">
        <v>79</v>
      </c>
      <c r="D89" s="15" t="s">
        <v>70</v>
      </c>
      <c r="E89" s="15" t="s">
        <v>80</v>
      </c>
      <c r="F89" s="16">
        <v>969</v>
      </c>
      <c r="G89" s="17">
        <v>18970.62</v>
      </c>
      <c r="H89" s="17">
        <v>4948.6899999999996</v>
      </c>
      <c r="I89" s="17">
        <v>18382530.780000001</v>
      </c>
      <c r="J89" s="15" t="s">
        <v>17</v>
      </c>
      <c r="K89" s="15" t="s">
        <v>18</v>
      </c>
      <c r="L89" s="9">
        <f>YEAR(E89)</f>
        <v>2022</v>
      </c>
      <c r="M89" s="18">
        <f t="shared" si="1"/>
        <v>4795280.6099999994</v>
      </c>
    </row>
    <row r="90" spans="1:13" x14ac:dyDescent="0.15">
      <c r="A90" s="12"/>
      <c r="B90" s="13" t="s">
        <v>13</v>
      </c>
      <c r="C90" s="14" t="s">
        <v>31</v>
      </c>
      <c r="D90" s="15" t="s">
        <v>70</v>
      </c>
      <c r="E90" s="15" t="s">
        <v>81</v>
      </c>
      <c r="F90" s="16">
        <v>179</v>
      </c>
      <c r="G90" s="19">
        <v>11948.5</v>
      </c>
      <c r="H90" s="17">
        <v>8565.61</v>
      </c>
      <c r="I90" s="19">
        <v>2138781.5</v>
      </c>
      <c r="J90" s="15" t="s">
        <v>17</v>
      </c>
      <c r="K90" s="15" t="s">
        <v>18</v>
      </c>
      <c r="L90" s="9">
        <f>YEAR(E90)</f>
        <v>2022</v>
      </c>
      <c r="M90" s="18">
        <f t="shared" si="1"/>
        <v>1533244.1900000002</v>
      </c>
    </row>
    <row r="91" spans="1:13" x14ac:dyDescent="0.15">
      <c r="A91" s="12"/>
      <c r="B91" s="13" t="s">
        <v>13</v>
      </c>
      <c r="C91" s="14" t="s">
        <v>31</v>
      </c>
      <c r="D91" s="15" t="s">
        <v>70</v>
      </c>
      <c r="E91" s="15" t="s">
        <v>86</v>
      </c>
      <c r="F91" s="16">
        <v>884</v>
      </c>
      <c r="G91" s="17">
        <v>49041.91</v>
      </c>
      <c r="H91" s="17">
        <v>3226.31</v>
      </c>
      <c r="I91" s="17">
        <v>43353048.439999998</v>
      </c>
      <c r="J91" s="15" t="s">
        <v>17</v>
      </c>
      <c r="K91" s="15" t="s">
        <v>18</v>
      </c>
      <c r="L91" s="9">
        <f>YEAR(E91)</f>
        <v>2022</v>
      </c>
      <c r="M91" s="18">
        <f t="shared" si="1"/>
        <v>2852058.04</v>
      </c>
    </row>
    <row r="92" spans="1:13" x14ac:dyDescent="0.15">
      <c r="A92" s="12"/>
      <c r="B92" s="13" t="s">
        <v>13</v>
      </c>
      <c r="C92" s="14" t="s">
        <v>23</v>
      </c>
      <c r="D92" s="15" t="s">
        <v>89</v>
      </c>
      <c r="E92" s="15" t="s">
        <v>93</v>
      </c>
      <c r="F92" s="16">
        <v>509</v>
      </c>
      <c r="G92" s="17">
        <v>37586.949999999997</v>
      </c>
      <c r="H92" s="17">
        <v>3011.25</v>
      </c>
      <c r="I92" s="17">
        <v>19131757.550000001</v>
      </c>
      <c r="J92" s="15" t="s">
        <v>17</v>
      </c>
      <c r="K92" s="15" t="s">
        <v>18</v>
      </c>
      <c r="L92" s="9">
        <f>YEAR(E92)</f>
        <v>2022</v>
      </c>
      <c r="M92" s="18">
        <f t="shared" si="1"/>
        <v>1532726.25</v>
      </c>
    </row>
    <row r="93" spans="1:13" x14ac:dyDescent="0.15">
      <c r="A93" s="12"/>
      <c r="B93" s="13" t="s">
        <v>13</v>
      </c>
      <c r="C93" s="14" t="s">
        <v>38</v>
      </c>
      <c r="D93" s="15" t="s">
        <v>89</v>
      </c>
      <c r="E93" s="15" t="s">
        <v>95</v>
      </c>
      <c r="F93" s="16">
        <v>928</v>
      </c>
      <c r="G93" s="17">
        <v>43869.35</v>
      </c>
      <c r="H93" s="17">
        <v>7665.68</v>
      </c>
      <c r="I93" s="19">
        <v>40710756.799999997</v>
      </c>
      <c r="J93" s="15" t="s">
        <v>17</v>
      </c>
      <c r="K93" s="15" t="s">
        <v>18</v>
      </c>
      <c r="L93" s="9">
        <f>YEAR(E93)</f>
        <v>2022</v>
      </c>
      <c r="M93" s="18">
        <f t="shared" si="1"/>
        <v>7113751.04</v>
      </c>
    </row>
    <row r="94" spans="1:13" x14ac:dyDescent="0.15">
      <c r="A94" s="12"/>
      <c r="B94" s="13" t="s">
        <v>13</v>
      </c>
      <c r="C94" s="14" t="s">
        <v>43</v>
      </c>
      <c r="D94" s="15" t="s">
        <v>89</v>
      </c>
      <c r="E94" s="15" t="s">
        <v>96</v>
      </c>
      <c r="F94" s="16">
        <v>687</v>
      </c>
      <c r="G94" s="17">
        <v>33342.97</v>
      </c>
      <c r="H94" s="17">
        <v>6500.51</v>
      </c>
      <c r="I94" s="17">
        <v>22906620.390000001</v>
      </c>
      <c r="J94" s="15" t="s">
        <v>17</v>
      </c>
      <c r="K94" s="15" t="s">
        <v>18</v>
      </c>
      <c r="L94" s="9">
        <f>YEAR(E94)</f>
        <v>2022</v>
      </c>
      <c r="M94" s="18">
        <f t="shared" si="1"/>
        <v>4465850.37</v>
      </c>
    </row>
    <row r="95" spans="1:13" x14ac:dyDescent="0.15">
      <c r="A95" s="12"/>
      <c r="B95" s="13" t="s">
        <v>13</v>
      </c>
      <c r="C95" s="14" t="s">
        <v>35</v>
      </c>
      <c r="D95" s="15" t="s">
        <v>89</v>
      </c>
      <c r="E95" s="15" t="s">
        <v>97</v>
      </c>
      <c r="F95" s="16">
        <v>606</v>
      </c>
      <c r="G95" s="19">
        <v>27024.3</v>
      </c>
      <c r="H95" s="17">
        <v>3236.49</v>
      </c>
      <c r="I95" s="19">
        <v>16376725.800000001</v>
      </c>
      <c r="J95" s="15" t="s">
        <v>17</v>
      </c>
      <c r="K95" s="15" t="s">
        <v>18</v>
      </c>
      <c r="L95" s="9">
        <f>YEAR(E95)</f>
        <v>2022</v>
      </c>
      <c r="M95" s="18">
        <f t="shared" si="1"/>
        <v>1961312.94</v>
      </c>
    </row>
    <row r="96" spans="1:13" x14ac:dyDescent="0.15">
      <c r="A96" s="12"/>
      <c r="B96" s="13" t="s">
        <v>13</v>
      </c>
      <c r="C96" s="14" t="s">
        <v>14</v>
      </c>
      <c r="D96" s="15" t="s">
        <v>89</v>
      </c>
      <c r="E96" s="15" t="s">
        <v>99</v>
      </c>
      <c r="F96" s="16">
        <v>318</v>
      </c>
      <c r="G96" s="17">
        <v>24796.29</v>
      </c>
      <c r="H96" s="17">
        <v>9931.61</v>
      </c>
      <c r="I96" s="17">
        <v>7885220.2199999997</v>
      </c>
      <c r="J96" s="15" t="s">
        <v>22</v>
      </c>
      <c r="K96" s="15" t="s">
        <v>18</v>
      </c>
      <c r="L96" s="9">
        <f>YEAR(E96)</f>
        <v>2022</v>
      </c>
      <c r="M96" s="18">
        <f t="shared" si="1"/>
        <v>3158251.98</v>
      </c>
    </row>
    <row r="97" spans="1:13" x14ac:dyDescent="0.15">
      <c r="A97" s="12"/>
      <c r="B97" s="13" t="s">
        <v>13</v>
      </c>
      <c r="C97" s="14" t="s">
        <v>79</v>
      </c>
      <c r="D97" s="15" t="s">
        <v>89</v>
      </c>
      <c r="E97" s="15" t="s">
        <v>100</v>
      </c>
      <c r="F97" s="16">
        <v>603</v>
      </c>
      <c r="G97" s="17">
        <v>25715.79</v>
      </c>
      <c r="H97" s="17">
        <v>9586.4599999999991</v>
      </c>
      <c r="I97" s="17">
        <v>15506621.369999999</v>
      </c>
      <c r="J97" s="15" t="s">
        <v>22</v>
      </c>
      <c r="K97" s="15" t="s">
        <v>18</v>
      </c>
      <c r="L97" s="9">
        <f>YEAR(E97)</f>
        <v>2022</v>
      </c>
      <c r="M97" s="18">
        <f t="shared" si="1"/>
        <v>5780635.3799999999</v>
      </c>
    </row>
    <row r="98" spans="1:13" x14ac:dyDescent="0.15">
      <c r="A98" s="12"/>
      <c r="B98" s="13" t="s">
        <v>13</v>
      </c>
      <c r="C98" s="14" t="s">
        <v>35</v>
      </c>
      <c r="D98" s="15" t="s">
        <v>89</v>
      </c>
      <c r="E98" s="15" t="s">
        <v>106</v>
      </c>
      <c r="F98" s="16">
        <v>504</v>
      </c>
      <c r="G98" s="17">
        <v>16636.12</v>
      </c>
      <c r="H98" s="17">
        <v>4596.82</v>
      </c>
      <c r="I98" s="17">
        <v>8384604.4800000004</v>
      </c>
      <c r="J98" s="15" t="s">
        <v>22</v>
      </c>
      <c r="K98" s="15" t="s">
        <v>18</v>
      </c>
      <c r="L98" s="9">
        <f>YEAR(E98)</f>
        <v>2022</v>
      </c>
      <c r="M98" s="18">
        <f t="shared" si="1"/>
        <v>2316797.2799999998</v>
      </c>
    </row>
    <row r="99" spans="1:13" x14ac:dyDescent="0.15">
      <c r="A99" s="12"/>
      <c r="B99" s="13" t="s">
        <v>13</v>
      </c>
      <c r="C99" s="14" t="s">
        <v>19</v>
      </c>
      <c r="D99" s="15" t="s">
        <v>107</v>
      </c>
      <c r="E99" s="15" t="s">
        <v>112</v>
      </c>
      <c r="F99" s="16">
        <v>900</v>
      </c>
      <c r="G99" s="17">
        <v>27487.89</v>
      </c>
      <c r="H99" s="17">
        <v>7714.09</v>
      </c>
      <c r="I99" s="16">
        <v>24739101</v>
      </c>
      <c r="J99" s="15" t="s">
        <v>17</v>
      </c>
      <c r="K99" s="15" t="s">
        <v>18</v>
      </c>
      <c r="L99" s="9">
        <f>YEAR(E99)</f>
        <v>2022</v>
      </c>
      <c r="M99" s="18">
        <f t="shared" si="1"/>
        <v>6942681</v>
      </c>
    </row>
    <row r="100" spans="1:13" x14ac:dyDescent="0.15">
      <c r="A100" s="12"/>
      <c r="B100" s="13" t="s">
        <v>13</v>
      </c>
      <c r="C100" s="14" t="s">
        <v>25</v>
      </c>
      <c r="D100" s="15" t="s">
        <v>107</v>
      </c>
      <c r="E100" s="15" t="s">
        <v>113</v>
      </c>
      <c r="F100" s="16">
        <v>389</v>
      </c>
      <c r="G100" s="17">
        <v>22294.639999999999</v>
      </c>
      <c r="H100" s="17">
        <v>3359.32</v>
      </c>
      <c r="I100" s="17">
        <v>8672614.9600000009</v>
      </c>
      <c r="J100" s="15" t="s">
        <v>30</v>
      </c>
      <c r="K100" s="15" t="s">
        <v>18</v>
      </c>
      <c r="L100" s="9">
        <f>YEAR(E100)</f>
        <v>2022</v>
      </c>
      <c r="M100" s="18">
        <f t="shared" si="1"/>
        <v>1306775.48</v>
      </c>
    </row>
    <row r="101" spans="1:13" x14ac:dyDescent="0.15">
      <c r="A101" s="12"/>
      <c r="B101" s="13" t="s">
        <v>13</v>
      </c>
      <c r="C101" s="14" t="s">
        <v>14</v>
      </c>
      <c r="D101" s="15" t="s">
        <v>114</v>
      </c>
      <c r="E101" s="15" t="s">
        <v>113</v>
      </c>
      <c r="F101" s="16">
        <v>253</v>
      </c>
      <c r="G101" s="17">
        <v>10966.93</v>
      </c>
      <c r="H101" s="19">
        <v>2635.2</v>
      </c>
      <c r="I101" s="17">
        <v>2774633.29</v>
      </c>
      <c r="J101" s="15" t="s">
        <v>22</v>
      </c>
      <c r="K101" s="15" t="s">
        <v>18</v>
      </c>
      <c r="L101" s="9">
        <f>YEAR(E101)</f>
        <v>2022</v>
      </c>
      <c r="M101" s="18">
        <f t="shared" si="1"/>
        <v>666705.6</v>
      </c>
    </row>
    <row r="102" spans="1:13" x14ac:dyDescent="0.15">
      <c r="A102" s="12"/>
      <c r="B102" s="13" t="s">
        <v>13</v>
      </c>
      <c r="C102" s="14" t="s">
        <v>35</v>
      </c>
      <c r="D102" s="15" t="s">
        <v>68</v>
      </c>
      <c r="E102" s="15" t="s">
        <v>121</v>
      </c>
      <c r="F102" s="16">
        <v>633</v>
      </c>
      <c r="G102" s="17">
        <v>25099.43</v>
      </c>
      <c r="H102" s="17">
        <v>2601.7800000000002</v>
      </c>
      <c r="I102" s="17">
        <v>15887939.189999999</v>
      </c>
      <c r="J102" s="15" t="s">
        <v>17</v>
      </c>
      <c r="K102" s="15" t="s">
        <v>18</v>
      </c>
      <c r="L102" s="9">
        <f>YEAR(E102)</f>
        <v>2022</v>
      </c>
      <c r="M102" s="18">
        <f t="shared" si="1"/>
        <v>1646926.7400000002</v>
      </c>
    </row>
    <row r="103" spans="1:13" x14ac:dyDescent="0.15">
      <c r="A103" s="12"/>
      <c r="B103" s="13" t="s">
        <v>13</v>
      </c>
      <c r="C103" s="14" t="s">
        <v>79</v>
      </c>
      <c r="D103" s="15" t="s">
        <v>68</v>
      </c>
      <c r="E103" s="15" t="s">
        <v>122</v>
      </c>
      <c r="F103" s="16">
        <v>749</v>
      </c>
      <c r="G103" s="17">
        <v>28798.52</v>
      </c>
      <c r="H103" s="17">
        <v>6193.18</v>
      </c>
      <c r="I103" s="17">
        <v>21570091.48</v>
      </c>
      <c r="J103" s="15" t="s">
        <v>17</v>
      </c>
      <c r="K103" s="15" t="s">
        <v>18</v>
      </c>
      <c r="L103" s="9">
        <f>YEAR(E103)</f>
        <v>2022</v>
      </c>
      <c r="M103" s="18">
        <f t="shared" si="1"/>
        <v>4638691.82</v>
      </c>
    </row>
    <row r="104" spans="1:13" x14ac:dyDescent="0.15">
      <c r="A104" s="12"/>
      <c r="B104" s="13" t="s">
        <v>13</v>
      </c>
      <c r="C104" s="14" t="s">
        <v>14</v>
      </c>
      <c r="D104" s="15" t="s">
        <v>68</v>
      </c>
      <c r="E104" s="15" t="s">
        <v>129</v>
      </c>
      <c r="F104" s="16">
        <v>757</v>
      </c>
      <c r="G104" s="17">
        <v>15651.76</v>
      </c>
      <c r="H104" s="17">
        <v>2822.57</v>
      </c>
      <c r="I104" s="17">
        <v>11848382.32</v>
      </c>
      <c r="J104" s="15" t="s">
        <v>17</v>
      </c>
      <c r="K104" s="15" t="s">
        <v>18</v>
      </c>
      <c r="L104" s="9">
        <f>YEAR(E104)</f>
        <v>2022</v>
      </c>
      <c r="M104" s="18">
        <f t="shared" si="1"/>
        <v>2136685.4900000002</v>
      </c>
    </row>
    <row r="105" spans="1:13" x14ac:dyDescent="0.15">
      <c r="A105" s="12"/>
      <c r="B105" s="13" t="s">
        <v>13</v>
      </c>
      <c r="C105" s="14" t="s">
        <v>79</v>
      </c>
      <c r="D105" s="15" t="s">
        <v>68</v>
      </c>
      <c r="E105" s="15" t="s">
        <v>134</v>
      </c>
      <c r="F105" s="16">
        <v>412</v>
      </c>
      <c r="G105" s="17">
        <v>39780.129999999997</v>
      </c>
      <c r="H105" s="17">
        <v>7699.27</v>
      </c>
      <c r="I105" s="17">
        <v>16389413.560000001</v>
      </c>
      <c r="J105" s="15" t="s">
        <v>17</v>
      </c>
      <c r="K105" s="15" t="s">
        <v>18</v>
      </c>
      <c r="L105" s="9">
        <f>YEAR(E105)</f>
        <v>2022</v>
      </c>
      <c r="M105" s="18">
        <f t="shared" si="1"/>
        <v>3172099.24</v>
      </c>
    </row>
    <row r="106" spans="1:13" x14ac:dyDescent="0.15">
      <c r="A106" s="12"/>
      <c r="B106" s="13" t="s">
        <v>13</v>
      </c>
      <c r="C106" s="14" t="s">
        <v>25</v>
      </c>
      <c r="D106" s="15" t="s">
        <v>68</v>
      </c>
      <c r="E106" s="15" t="s">
        <v>135</v>
      </c>
      <c r="F106" s="16">
        <v>985</v>
      </c>
      <c r="G106" s="17">
        <v>17927.04</v>
      </c>
      <c r="H106" s="17">
        <v>2110.33</v>
      </c>
      <c r="I106" s="19">
        <v>17658134.399999999</v>
      </c>
      <c r="J106" s="15" t="s">
        <v>17</v>
      </c>
      <c r="K106" s="15" t="s">
        <v>18</v>
      </c>
      <c r="L106" s="9">
        <f>YEAR(E106)</f>
        <v>2022</v>
      </c>
      <c r="M106" s="18">
        <f t="shared" si="1"/>
        <v>2078675.0499999998</v>
      </c>
    </row>
    <row r="107" spans="1:13" x14ac:dyDescent="0.15">
      <c r="A107" s="12"/>
      <c r="B107" s="13" t="s">
        <v>13</v>
      </c>
      <c r="C107" s="14" t="s">
        <v>43</v>
      </c>
      <c r="D107" s="15" t="s">
        <v>139</v>
      </c>
      <c r="E107" s="15" t="s">
        <v>140</v>
      </c>
      <c r="F107" s="16">
        <v>720</v>
      </c>
      <c r="G107" s="17">
        <v>20018.86</v>
      </c>
      <c r="H107" s="19">
        <v>3870.9</v>
      </c>
      <c r="I107" s="19">
        <v>14413579.199999999</v>
      </c>
      <c r="J107" s="15" t="s">
        <v>17</v>
      </c>
      <c r="K107" s="15" t="s">
        <v>18</v>
      </c>
      <c r="L107" s="9">
        <f>YEAR(E107)</f>
        <v>2022</v>
      </c>
      <c r="M107" s="18">
        <f t="shared" si="1"/>
        <v>2787048</v>
      </c>
    </row>
    <row r="108" spans="1:13" x14ac:dyDescent="0.15">
      <c r="A108" s="12"/>
      <c r="B108" s="13" t="s">
        <v>13</v>
      </c>
      <c r="C108" s="14" t="s">
        <v>35</v>
      </c>
      <c r="D108" s="15" t="s">
        <v>139</v>
      </c>
      <c r="E108" s="15" t="s">
        <v>141</v>
      </c>
      <c r="F108" s="16">
        <v>494</v>
      </c>
      <c r="G108" s="17">
        <v>15808.25</v>
      </c>
      <c r="H108" s="17">
        <v>8514.16</v>
      </c>
      <c r="I108" s="19">
        <v>7809275.5</v>
      </c>
      <c r="J108" s="15" t="s">
        <v>17</v>
      </c>
      <c r="K108" s="15" t="s">
        <v>18</v>
      </c>
      <c r="L108" s="9">
        <f>YEAR(E108)</f>
        <v>2022</v>
      </c>
      <c r="M108" s="18">
        <f t="shared" si="1"/>
        <v>4205995.04</v>
      </c>
    </row>
    <row r="109" spans="1:13" x14ac:dyDescent="0.15">
      <c r="A109" s="12"/>
      <c r="B109" s="13" t="s">
        <v>13</v>
      </c>
      <c r="C109" s="14" t="s">
        <v>14</v>
      </c>
      <c r="D109" s="15" t="s">
        <v>139</v>
      </c>
      <c r="E109" s="15" t="s">
        <v>149</v>
      </c>
      <c r="F109" s="16">
        <v>275</v>
      </c>
      <c r="G109" s="17">
        <v>18649.39</v>
      </c>
      <c r="H109" s="17">
        <v>2111.9899999999998</v>
      </c>
      <c r="I109" s="17">
        <v>5128582.25</v>
      </c>
      <c r="J109" s="15" t="s">
        <v>17</v>
      </c>
      <c r="K109" s="15" t="s">
        <v>18</v>
      </c>
      <c r="L109" s="9">
        <f>YEAR(E109)</f>
        <v>2022</v>
      </c>
      <c r="M109" s="18">
        <f t="shared" si="1"/>
        <v>580797.24999999988</v>
      </c>
    </row>
    <row r="110" spans="1:13" x14ac:dyDescent="0.15">
      <c r="A110" s="12"/>
      <c r="B110" s="13" t="s">
        <v>13</v>
      </c>
      <c r="C110" s="14" t="s">
        <v>79</v>
      </c>
      <c r="D110" s="15" t="s">
        <v>153</v>
      </c>
      <c r="E110" s="15" t="s">
        <v>158</v>
      </c>
      <c r="F110" s="16">
        <v>558</v>
      </c>
      <c r="G110" s="17">
        <v>37757.629999999997</v>
      </c>
      <c r="H110" s="17">
        <v>8787.98</v>
      </c>
      <c r="I110" s="17">
        <v>21068757.539999999</v>
      </c>
      <c r="J110" s="15" t="s">
        <v>17</v>
      </c>
      <c r="K110" s="15" t="s">
        <v>18</v>
      </c>
      <c r="L110" s="9">
        <f>YEAR(E110)</f>
        <v>2022</v>
      </c>
      <c r="M110" s="18">
        <f t="shared" si="1"/>
        <v>4903692.84</v>
      </c>
    </row>
    <row r="111" spans="1:13" x14ac:dyDescent="0.15">
      <c r="A111" s="12"/>
      <c r="B111" s="13" t="s">
        <v>13</v>
      </c>
      <c r="C111" s="14" t="s">
        <v>25</v>
      </c>
      <c r="D111" s="15" t="s">
        <v>114</v>
      </c>
      <c r="E111" s="15" t="s">
        <v>173</v>
      </c>
      <c r="F111" s="16">
        <v>823</v>
      </c>
      <c r="G111" s="17">
        <v>27043.87</v>
      </c>
      <c r="H111" s="17">
        <v>3741.34</v>
      </c>
      <c r="I111" s="17">
        <v>22257105.010000002</v>
      </c>
      <c r="J111" s="15" t="s">
        <v>17</v>
      </c>
      <c r="K111" s="15" t="s">
        <v>18</v>
      </c>
      <c r="L111" s="9">
        <f>YEAR(E111)</f>
        <v>2022</v>
      </c>
      <c r="M111" s="18">
        <f t="shared" si="1"/>
        <v>3079122.8200000003</v>
      </c>
    </row>
    <row r="112" spans="1:13" x14ac:dyDescent="0.15">
      <c r="A112" s="12"/>
      <c r="B112" s="13" t="s">
        <v>13</v>
      </c>
      <c r="C112" s="14" t="s">
        <v>14</v>
      </c>
      <c r="D112" s="15" t="s">
        <v>15</v>
      </c>
      <c r="E112" s="15" t="s">
        <v>16</v>
      </c>
      <c r="F112" s="16">
        <v>561</v>
      </c>
      <c r="G112" s="17">
        <v>12953.71</v>
      </c>
      <c r="H112" s="17">
        <v>2565.69</v>
      </c>
      <c r="I112" s="17">
        <v>7267031.3099999996</v>
      </c>
      <c r="J112" s="15" t="s">
        <v>17</v>
      </c>
      <c r="K112" s="15" t="s">
        <v>18</v>
      </c>
      <c r="L112" s="9">
        <f>YEAR(E112)</f>
        <v>2023</v>
      </c>
      <c r="M112" s="18">
        <f t="shared" si="1"/>
        <v>1439352.09</v>
      </c>
    </row>
    <row r="113" spans="1:13" x14ac:dyDescent="0.15">
      <c r="A113" s="12"/>
      <c r="B113" s="13" t="s">
        <v>13</v>
      </c>
      <c r="C113" s="14" t="s">
        <v>23</v>
      </c>
      <c r="D113" s="15" t="s">
        <v>15</v>
      </c>
      <c r="E113" s="15" t="s">
        <v>24</v>
      </c>
      <c r="F113" s="16">
        <v>506</v>
      </c>
      <c r="G113" s="17">
        <v>49365.93</v>
      </c>
      <c r="H113" s="17">
        <v>8498.57</v>
      </c>
      <c r="I113" s="17">
        <v>24979160.579999998</v>
      </c>
      <c r="J113" s="15" t="s">
        <v>17</v>
      </c>
      <c r="K113" s="15" t="s">
        <v>18</v>
      </c>
      <c r="L113" s="9">
        <f>YEAR(E113)</f>
        <v>2023</v>
      </c>
      <c r="M113" s="18">
        <f t="shared" si="1"/>
        <v>4300276.42</v>
      </c>
    </row>
    <row r="114" spans="1:13" x14ac:dyDescent="0.15">
      <c r="A114" s="12"/>
      <c r="B114" s="13" t="s">
        <v>13</v>
      </c>
      <c r="C114" s="14" t="s">
        <v>25</v>
      </c>
      <c r="D114" s="15" t="s">
        <v>26</v>
      </c>
      <c r="E114" s="15" t="s">
        <v>24</v>
      </c>
      <c r="F114" s="16">
        <v>104</v>
      </c>
      <c r="G114" s="17">
        <v>28856.79</v>
      </c>
      <c r="H114" s="17">
        <v>6754.28</v>
      </c>
      <c r="I114" s="17">
        <v>3001106.16</v>
      </c>
      <c r="J114" s="15" t="s">
        <v>22</v>
      </c>
      <c r="K114" s="15" t="s">
        <v>18</v>
      </c>
      <c r="L114" s="9">
        <f>YEAR(E114)</f>
        <v>2023</v>
      </c>
      <c r="M114" s="18">
        <f t="shared" si="1"/>
        <v>702445.12</v>
      </c>
    </row>
    <row r="115" spans="1:13" x14ac:dyDescent="0.15">
      <c r="A115" s="12"/>
      <c r="B115" s="13" t="s">
        <v>13</v>
      </c>
      <c r="C115" s="14" t="s">
        <v>23</v>
      </c>
      <c r="D115" s="15" t="s">
        <v>15</v>
      </c>
      <c r="E115" s="15" t="s">
        <v>27</v>
      </c>
      <c r="F115" s="16">
        <v>730</v>
      </c>
      <c r="G115" s="17">
        <v>49937.99</v>
      </c>
      <c r="H115" s="19">
        <v>9149.4</v>
      </c>
      <c r="I115" s="19">
        <v>36454732.700000003</v>
      </c>
      <c r="J115" s="15" t="s">
        <v>28</v>
      </c>
      <c r="K115" s="15" t="s">
        <v>18</v>
      </c>
      <c r="L115" s="9">
        <f>YEAR(E115)</f>
        <v>2023</v>
      </c>
      <c r="M115" s="18">
        <f t="shared" si="1"/>
        <v>6679062</v>
      </c>
    </row>
    <row r="116" spans="1:13" x14ac:dyDescent="0.15">
      <c r="A116" s="12"/>
      <c r="B116" s="13" t="s">
        <v>13</v>
      </c>
      <c r="C116" s="14" t="s">
        <v>38</v>
      </c>
      <c r="D116" s="15" t="s">
        <v>26</v>
      </c>
      <c r="E116" s="15" t="s">
        <v>39</v>
      </c>
      <c r="F116" s="16">
        <v>245</v>
      </c>
      <c r="G116" s="17">
        <v>22058.15</v>
      </c>
      <c r="H116" s="17">
        <v>9141.0499999999993</v>
      </c>
      <c r="I116" s="17">
        <v>5404246.75</v>
      </c>
      <c r="J116" s="15" t="s">
        <v>22</v>
      </c>
      <c r="K116" s="15" t="s">
        <v>18</v>
      </c>
      <c r="L116" s="9">
        <f>YEAR(E116)</f>
        <v>2023</v>
      </c>
      <c r="M116" s="18">
        <f t="shared" si="1"/>
        <v>2239557.25</v>
      </c>
    </row>
    <row r="117" spans="1:13" x14ac:dyDescent="0.15">
      <c r="A117" s="12"/>
      <c r="B117" s="13" t="s">
        <v>13</v>
      </c>
      <c r="C117" s="14" t="s">
        <v>38</v>
      </c>
      <c r="D117" s="15" t="s">
        <v>26</v>
      </c>
      <c r="E117" s="15" t="s">
        <v>46</v>
      </c>
      <c r="F117" s="16">
        <v>388</v>
      </c>
      <c r="G117" s="17">
        <v>43524.13</v>
      </c>
      <c r="H117" s="17">
        <v>7427.72</v>
      </c>
      <c r="I117" s="17">
        <v>16887362.440000001</v>
      </c>
      <c r="J117" s="15" t="s">
        <v>17</v>
      </c>
      <c r="K117" s="15" t="s">
        <v>18</v>
      </c>
      <c r="L117" s="9">
        <f>YEAR(E117)</f>
        <v>2023</v>
      </c>
      <c r="M117" s="18">
        <f t="shared" si="1"/>
        <v>2881955.36</v>
      </c>
    </row>
    <row r="118" spans="1:13" x14ac:dyDescent="0.15">
      <c r="A118" s="12"/>
      <c r="B118" s="13" t="s">
        <v>13</v>
      </c>
      <c r="C118" s="14" t="s">
        <v>25</v>
      </c>
      <c r="D118" s="15" t="s">
        <v>26</v>
      </c>
      <c r="E118" s="15" t="s">
        <v>52</v>
      </c>
      <c r="F118" s="16">
        <v>296</v>
      </c>
      <c r="G118" s="17">
        <v>28499.89</v>
      </c>
      <c r="H118" s="17">
        <v>4918.3100000000004</v>
      </c>
      <c r="I118" s="17">
        <v>8435967.4399999995</v>
      </c>
      <c r="J118" s="15" t="s">
        <v>30</v>
      </c>
      <c r="K118" s="15" t="s">
        <v>18</v>
      </c>
      <c r="L118" s="9">
        <f>YEAR(E118)</f>
        <v>2023</v>
      </c>
      <c r="M118" s="18">
        <f t="shared" si="1"/>
        <v>1455819.76</v>
      </c>
    </row>
    <row r="119" spans="1:13" x14ac:dyDescent="0.15">
      <c r="A119" s="12"/>
      <c r="B119" s="13" t="s">
        <v>13</v>
      </c>
      <c r="C119" s="14" t="s">
        <v>57</v>
      </c>
      <c r="D119" s="15" t="s">
        <v>53</v>
      </c>
      <c r="E119" s="15" t="s">
        <v>58</v>
      </c>
      <c r="F119" s="16">
        <v>768</v>
      </c>
      <c r="G119" s="17">
        <v>39606.639999999999</v>
      </c>
      <c r="H119" s="17">
        <v>7529.98</v>
      </c>
      <c r="I119" s="17">
        <v>30417899.52</v>
      </c>
      <c r="J119" s="15" t="s">
        <v>17</v>
      </c>
      <c r="K119" s="15" t="s">
        <v>18</v>
      </c>
      <c r="L119" s="9">
        <f>YEAR(E119)</f>
        <v>2023</v>
      </c>
      <c r="M119" s="18">
        <f t="shared" si="1"/>
        <v>5783024.6399999997</v>
      </c>
    </row>
    <row r="120" spans="1:13" x14ac:dyDescent="0.15">
      <c r="A120" s="12"/>
      <c r="B120" s="13" t="s">
        <v>13</v>
      </c>
      <c r="C120" s="14" t="s">
        <v>14</v>
      </c>
      <c r="D120" s="15" t="s">
        <v>53</v>
      </c>
      <c r="E120" s="15" t="s">
        <v>59</v>
      </c>
      <c r="F120" s="16">
        <v>128</v>
      </c>
      <c r="G120" s="17">
        <v>13118.57</v>
      </c>
      <c r="H120" s="17">
        <v>7901.12</v>
      </c>
      <c r="I120" s="17">
        <v>1679176.96</v>
      </c>
      <c r="J120" s="15" t="s">
        <v>17</v>
      </c>
      <c r="K120" s="15" t="s">
        <v>18</v>
      </c>
      <c r="L120" s="9">
        <f>YEAR(E120)</f>
        <v>2023</v>
      </c>
      <c r="M120" s="18">
        <f t="shared" si="1"/>
        <v>1011343.36</v>
      </c>
    </row>
    <row r="121" spans="1:13" x14ac:dyDescent="0.15">
      <c r="A121" s="12"/>
      <c r="B121" s="13" t="s">
        <v>13</v>
      </c>
      <c r="C121" s="14" t="s">
        <v>35</v>
      </c>
      <c r="D121" s="15" t="s">
        <v>53</v>
      </c>
      <c r="E121" s="15" t="s">
        <v>61</v>
      </c>
      <c r="F121" s="16">
        <v>403</v>
      </c>
      <c r="G121" s="17">
        <v>12673.28</v>
      </c>
      <c r="H121" s="17">
        <v>3954.67</v>
      </c>
      <c r="I121" s="17">
        <v>5107331.84</v>
      </c>
      <c r="J121" s="15" t="s">
        <v>22</v>
      </c>
      <c r="K121" s="15" t="s">
        <v>18</v>
      </c>
      <c r="L121" s="9">
        <f>YEAR(E121)</f>
        <v>2023</v>
      </c>
      <c r="M121" s="18">
        <f t="shared" si="1"/>
        <v>1593732.01</v>
      </c>
    </row>
    <row r="122" spans="1:13" x14ac:dyDescent="0.15">
      <c r="A122" s="12"/>
      <c r="B122" s="13" t="s">
        <v>13</v>
      </c>
      <c r="C122" s="14" t="s">
        <v>35</v>
      </c>
      <c r="D122" s="15" t="s">
        <v>70</v>
      </c>
      <c r="E122" s="15" t="s">
        <v>71</v>
      </c>
      <c r="F122" s="16">
        <v>555</v>
      </c>
      <c r="G122" s="17">
        <v>16865.509999999998</v>
      </c>
      <c r="H122" s="17">
        <v>4394.07</v>
      </c>
      <c r="I122" s="17">
        <v>9360358.0500000007</v>
      </c>
      <c r="J122" s="15" t="s">
        <v>17</v>
      </c>
      <c r="K122" s="15" t="s">
        <v>18</v>
      </c>
      <c r="L122" s="9">
        <f>YEAR(E122)</f>
        <v>2023</v>
      </c>
      <c r="M122" s="18">
        <f t="shared" si="1"/>
        <v>2438708.8499999996</v>
      </c>
    </row>
    <row r="123" spans="1:13" x14ac:dyDescent="0.15">
      <c r="A123" s="12"/>
      <c r="B123" s="13" t="s">
        <v>13</v>
      </c>
      <c r="C123" s="14" t="s">
        <v>31</v>
      </c>
      <c r="D123" s="15" t="s">
        <v>70</v>
      </c>
      <c r="E123" s="15" t="s">
        <v>72</v>
      </c>
      <c r="F123" s="16">
        <v>506</v>
      </c>
      <c r="G123" s="17">
        <v>35141.25</v>
      </c>
      <c r="H123" s="17">
        <v>6995.65</v>
      </c>
      <c r="I123" s="19">
        <v>17781472.5</v>
      </c>
      <c r="J123" s="15" t="s">
        <v>28</v>
      </c>
      <c r="K123" s="15" t="s">
        <v>18</v>
      </c>
      <c r="L123" s="9">
        <f>YEAR(E123)</f>
        <v>2023</v>
      </c>
      <c r="M123" s="18">
        <f t="shared" si="1"/>
        <v>3539798.9</v>
      </c>
    </row>
    <row r="124" spans="1:13" x14ac:dyDescent="0.15">
      <c r="A124" s="12"/>
      <c r="B124" s="13" t="s">
        <v>13</v>
      </c>
      <c r="C124" s="14" t="s">
        <v>43</v>
      </c>
      <c r="D124" s="15" t="s">
        <v>70</v>
      </c>
      <c r="E124" s="15" t="s">
        <v>76</v>
      </c>
      <c r="F124" s="16">
        <v>687</v>
      </c>
      <c r="G124" s="17">
        <v>31309.13</v>
      </c>
      <c r="H124" s="17">
        <v>5015.01</v>
      </c>
      <c r="I124" s="17">
        <v>21509372.309999999</v>
      </c>
      <c r="J124" s="15" t="s">
        <v>17</v>
      </c>
      <c r="K124" s="15" t="s">
        <v>18</v>
      </c>
      <c r="L124" s="9">
        <f>YEAR(E124)</f>
        <v>2023</v>
      </c>
      <c r="M124" s="18">
        <f t="shared" si="1"/>
        <v>3445311.87</v>
      </c>
    </row>
    <row r="125" spans="1:13" x14ac:dyDescent="0.15">
      <c r="A125" s="12"/>
      <c r="B125" s="13" t="s">
        <v>13</v>
      </c>
      <c r="C125" s="14" t="s">
        <v>31</v>
      </c>
      <c r="D125" s="15" t="s">
        <v>70</v>
      </c>
      <c r="E125" s="15" t="s">
        <v>83</v>
      </c>
      <c r="F125" s="16">
        <v>653</v>
      </c>
      <c r="G125" s="17">
        <v>43827.24</v>
      </c>
      <c r="H125" s="19">
        <v>5249.1</v>
      </c>
      <c r="I125" s="17">
        <v>28619187.719999999</v>
      </c>
      <c r="J125" s="15" t="s">
        <v>17</v>
      </c>
      <c r="K125" s="15" t="s">
        <v>18</v>
      </c>
      <c r="L125" s="9">
        <f>YEAR(E125)</f>
        <v>2023</v>
      </c>
      <c r="M125" s="18">
        <f t="shared" si="1"/>
        <v>3427662.3000000003</v>
      </c>
    </row>
    <row r="126" spans="1:13" x14ac:dyDescent="0.15">
      <c r="A126" s="12"/>
      <c r="B126" s="13" t="s">
        <v>13</v>
      </c>
      <c r="C126" s="14" t="s">
        <v>35</v>
      </c>
      <c r="D126" s="15" t="s">
        <v>70</v>
      </c>
      <c r="E126" s="15" t="s">
        <v>88</v>
      </c>
      <c r="F126" s="16">
        <v>705</v>
      </c>
      <c r="G126" s="17">
        <v>20889.939999999999</v>
      </c>
      <c r="H126" s="17">
        <v>5798.03</v>
      </c>
      <c r="I126" s="19">
        <v>14727407.699999999</v>
      </c>
      <c r="J126" s="15" t="s">
        <v>28</v>
      </c>
      <c r="K126" s="15" t="s">
        <v>18</v>
      </c>
      <c r="L126" s="9">
        <f>YEAR(E126)</f>
        <v>2023</v>
      </c>
      <c r="M126" s="18">
        <f t="shared" si="1"/>
        <v>4087611.15</v>
      </c>
    </row>
    <row r="127" spans="1:13" x14ac:dyDescent="0.15">
      <c r="A127" s="12"/>
      <c r="B127" s="13" t="s">
        <v>13</v>
      </c>
      <c r="C127" s="14" t="s">
        <v>14</v>
      </c>
      <c r="D127" s="15" t="s">
        <v>89</v>
      </c>
      <c r="E127" s="15" t="s">
        <v>90</v>
      </c>
      <c r="F127" s="16">
        <v>494</v>
      </c>
      <c r="G127" s="17">
        <v>30668.78</v>
      </c>
      <c r="H127" s="17">
        <v>5725.02</v>
      </c>
      <c r="I127" s="17">
        <v>15150377.32</v>
      </c>
      <c r="J127" s="15" t="s">
        <v>17</v>
      </c>
      <c r="K127" s="15" t="s">
        <v>18</v>
      </c>
      <c r="L127" s="9">
        <f>YEAR(E127)</f>
        <v>2023</v>
      </c>
      <c r="M127" s="18">
        <f t="shared" si="1"/>
        <v>2828159.8800000004</v>
      </c>
    </row>
    <row r="128" spans="1:13" x14ac:dyDescent="0.15">
      <c r="A128" s="12"/>
      <c r="B128" s="13" t="s">
        <v>13</v>
      </c>
      <c r="C128" s="14" t="s">
        <v>14</v>
      </c>
      <c r="D128" s="15" t="s">
        <v>89</v>
      </c>
      <c r="E128" s="15" t="s">
        <v>101</v>
      </c>
      <c r="F128" s="16">
        <v>296</v>
      </c>
      <c r="G128" s="17">
        <v>12168.22</v>
      </c>
      <c r="H128" s="19">
        <v>6858.4</v>
      </c>
      <c r="I128" s="17">
        <v>3601793.12</v>
      </c>
      <c r="J128" s="15" t="s">
        <v>17</v>
      </c>
      <c r="K128" s="15" t="s">
        <v>18</v>
      </c>
      <c r="L128" s="9">
        <f>YEAR(E128)</f>
        <v>2023</v>
      </c>
      <c r="M128" s="18">
        <f t="shared" si="1"/>
        <v>2030086.4</v>
      </c>
    </row>
    <row r="129" spans="1:13" x14ac:dyDescent="0.15">
      <c r="A129" s="12"/>
      <c r="B129" s="13" t="s">
        <v>13</v>
      </c>
      <c r="C129" s="14" t="s">
        <v>43</v>
      </c>
      <c r="D129" s="15" t="s">
        <v>89</v>
      </c>
      <c r="E129" s="15" t="s">
        <v>102</v>
      </c>
      <c r="F129" s="16">
        <v>374</v>
      </c>
      <c r="G129" s="19">
        <v>37904.800000000003</v>
      </c>
      <c r="H129" s="17">
        <v>8329.34</v>
      </c>
      <c r="I129" s="19">
        <v>14176395.199999999</v>
      </c>
      <c r="J129" s="15" t="s">
        <v>30</v>
      </c>
      <c r="K129" s="15" t="s">
        <v>18</v>
      </c>
      <c r="L129" s="9">
        <f>YEAR(E129)</f>
        <v>2023</v>
      </c>
      <c r="M129" s="18">
        <f t="shared" si="1"/>
        <v>3115173.16</v>
      </c>
    </row>
    <row r="130" spans="1:13" x14ac:dyDescent="0.15">
      <c r="A130" s="12"/>
      <c r="B130" s="13" t="s">
        <v>13</v>
      </c>
      <c r="C130" s="14" t="s">
        <v>25</v>
      </c>
      <c r="D130" s="15" t="s">
        <v>107</v>
      </c>
      <c r="E130" s="15" t="s">
        <v>118</v>
      </c>
      <c r="F130" s="16">
        <v>287</v>
      </c>
      <c r="G130" s="17">
        <v>16862.169999999998</v>
      </c>
      <c r="H130" s="17">
        <v>4233.25</v>
      </c>
      <c r="I130" s="17">
        <v>4839442.79</v>
      </c>
      <c r="J130" s="15" t="s">
        <v>22</v>
      </c>
      <c r="K130" s="15" t="s">
        <v>18</v>
      </c>
      <c r="L130" s="9">
        <f>YEAR(E130)</f>
        <v>2023</v>
      </c>
      <c r="M130" s="18">
        <f t="shared" si="1"/>
        <v>1214942.75</v>
      </c>
    </row>
    <row r="131" spans="1:13" x14ac:dyDescent="0.15">
      <c r="A131" s="12"/>
      <c r="B131" s="13" t="s">
        <v>13</v>
      </c>
      <c r="C131" s="14" t="s">
        <v>31</v>
      </c>
      <c r="D131" s="15" t="s">
        <v>68</v>
      </c>
      <c r="E131" s="15" t="s">
        <v>123</v>
      </c>
      <c r="F131" s="16">
        <v>608</v>
      </c>
      <c r="G131" s="17">
        <v>26360.69</v>
      </c>
      <c r="H131" s="17">
        <v>9315.67</v>
      </c>
      <c r="I131" s="17">
        <v>16027299.52</v>
      </c>
      <c r="J131" s="15" t="s">
        <v>17</v>
      </c>
      <c r="K131" s="15" t="s">
        <v>18</v>
      </c>
      <c r="L131" s="9">
        <f>YEAR(E131)</f>
        <v>2023</v>
      </c>
      <c r="M131" s="18">
        <f t="shared" si="1"/>
        <v>5663927.3600000003</v>
      </c>
    </row>
    <row r="132" spans="1:13" x14ac:dyDescent="0.15">
      <c r="A132" s="12"/>
      <c r="B132" s="13" t="s">
        <v>13</v>
      </c>
      <c r="C132" s="14" t="s">
        <v>31</v>
      </c>
      <c r="D132" s="15" t="s">
        <v>68</v>
      </c>
      <c r="E132" s="15" t="s">
        <v>132</v>
      </c>
      <c r="F132" s="16">
        <v>409</v>
      </c>
      <c r="G132" s="17">
        <v>48643.45</v>
      </c>
      <c r="H132" s="17">
        <v>3745.48</v>
      </c>
      <c r="I132" s="17">
        <v>19895171.050000001</v>
      </c>
      <c r="J132" s="15" t="s">
        <v>17</v>
      </c>
      <c r="K132" s="15" t="s">
        <v>18</v>
      </c>
      <c r="L132" s="9">
        <f>YEAR(E132)</f>
        <v>2023</v>
      </c>
      <c r="M132" s="18">
        <f t="shared" ref="M132:M140" si="2">H132*F132</f>
        <v>1531901.32</v>
      </c>
    </row>
    <row r="133" spans="1:13" x14ac:dyDescent="0.15">
      <c r="A133" s="12"/>
      <c r="B133" s="13" t="s">
        <v>13</v>
      </c>
      <c r="C133" s="14" t="s">
        <v>23</v>
      </c>
      <c r="D133" s="15" t="s">
        <v>139</v>
      </c>
      <c r="E133" s="15" t="s">
        <v>142</v>
      </c>
      <c r="F133" s="16">
        <v>490</v>
      </c>
      <c r="G133" s="17">
        <v>23893.95</v>
      </c>
      <c r="H133" s="17">
        <v>5788.54</v>
      </c>
      <c r="I133" s="19">
        <v>11708035.5</v>
      </c>
      <c r="J133" s="15" t="s">
        <v>30</v>
      </c>
      <c r="K133" s="15" t="s">
        <v>18</v>
      </c>
      <c r="L133" s="9">
        <f>YEAR(E133)</f>
        <v>2023</v>
      </c>
      <c r="M133" s="18">
        <f t="shared" si="2"/>
        <v>2836384.6</v>
      </c>
    </row>
    <row r="134" spans="1:13" x14ac:dyDescent="0.15">
      <c r="A134" s="12"/>
      <c r="B134" s="13" t="s">
        <v>13</v>
      </c>
      <c r="C134" s="14" t="s">
        <v>31</v>
      </c>
      <c r="D134" s="15" t="s">
        <v>139</v>
      </c>
      <c r="E134" s="15" t="s">
        <v>144</v>
      </c>
      <c r="F134" s="16">
        <v>413</v>
      </c>
      <c r="G134" s="17">
        <v>13305.43</v>
      </c>
      <c r="H134" s="17">
        <v>7780.18</v>
      </c>
      <c r="I134" s="17">
        <v>5495142.5899999999</v>
      </c>
      <c r="J134" s="15" t="s">
        <v>22</v>
      </c>
      <c r="K134" s="15" t="s">
        <v>18</v>
      </c>
      <c r="L134" s="9">
        <f>YEAR(E134)</f>
        <v>2023</v>
      </c>
      <c r="M134" s="18">
        <f t="shared" si="2"/>
        <v>3213214.3400000003</v>
      </c>
    </row>
    <row r="135" spans="1:13" x14ac:dyDescent="0.15">
      <c r="A135" s="12"/>
      <c r="B135" s="13" t="s">
        <v>13</v>
      </c>
      <c r="C135" s="14" t="s">
        <v>35</v>
      </c>
      <c r="D135" s="15" t="s">
        <v>139</v>
      </c>
      <c r="E135" s="15" t="s">
        <v>147</v>
      </c>
      <c r="F135" s="16">
        <v>290</v>
      </c>
      <c r="G135" s="17">
        <v>40212.78</v>
      </c>
      <c r="H135" s="17">
        <v>6892.54</v>
      </c>
      <c r="I135" s="19">
        <v>11661706.199999999</v>
      </c>
      <c r="J135" s="15" t="s">
        <v>22</v>
      </c>
      <c r="K135" s="15" t="s">
        <v>18</v>
      </c>
      <c r="L135" s="9">
        <f>YEAR(E135)</f>
        <v>2023</v>
      </c>
      <c r="M135" s="18">
        <f t="shared" si="2"/>
        <v>1998836.6</v>
      </c>
    </row>
    <row r="136" spans="1:13" x14ac:dyDescent="0.15">
      <c r="A136" s="12"/>
      <c r="B136" s="13" t="s">
        <v>13</v>
      </c>
      <c r="C136" s="14" t="s">
        <v>14</v>
      </c>
      <c r="D136" s="15" t="s">
        <v>153</v>
      </c>
      <c r="E136" s="15" t="s">
        <v>161</v>
      </c>
      <c r="F136" s="16">
        <v>221</v>
      </c>
      <c r="G136" s="17">
        <v>49351.360000000001</v>
      </c>
      <c r="H136" s="17">
        <v>5461.08</v>
      </c>
      <c r="I136" s="17">
        <v>10906650.560000001</v>
      </c>
      <c r="J136" s="15" t="s">
        <v>17</v>
      </c>
      <c r="K136" s="15" t="s">
        <v>18</v>
      </c>
      <c r="L136" s="9">
        <f>YEAR(E136)</f>
        <v>2023</v>
      </c>
      <c r="M136" s="18">
        <f t="shared" si="2"/>
        <v>1206898.68</v>
      </c>
    </row>
    <row r="137" spans="1:13" x14ac:dyDescent="0.15">
      <c r="A137" s="12"/>
      <c r="B137" s="13" t="s">
        <v>13</v>
      </c>
      <c r="C137" s="14" t="s">
        <v>31</v>
      </c>
      <c r="D137" s="15" t="s">
        <v>153</v>
      </c>
      <c r="E137" s="15" t="s">
        <v>163</v>
      </c>
      <c r="F137" s="16">
        <v>600</v>
      </c>
      <c r="G137" s="17">
        <v>35084.68</v>
      </c>
      <c r="H137" s="17">
        <v>5515.51</v>
      </c>
      <c r="I137" s="16">
        <v>21050808</v>
      </c>
      <c r="J137" s="15" t="s">
        <v>28</v>
      </c>
      <c r="K137" s="15" t="s">
        <v>18</v>
      </c>
      <c r="L137" s="9">
        <f>YEAR(E137)</f>
        <v>2023</v>
      </c>
      <c r="M137" s="18">
        <f t="shared" si="2"/>
        <v>3309306</v>
      </c>
    </row>
    <row r="138" spans="1:13" x14ac:dyDescent="0.15">
      <c r="A138" s="12"/>
      <c r="B138" s="13" t="s">
        <v>13</v>
      </c>
      <c r="C138" s="14" t="s">
        <v>19</v>
      </c>
      <c r="D138" s="15" t="s">
        <v>114</v>
      </c>
      <c r="E138" s="15" t="s">
        <v>168</v>
      </c>
      <c r="F138" s="16">
        <v>998</v>
      </c>
      <c r="G138" s="19">
        <v>30576.799999999999</v>
      </c>
      <c r="H138" s="17">
        <v>2142.19</v>
      </c>
      <c r="I138" s="19">
        <v>30515646.399999999</v>
      </c>
      <c r="J138" s="15" t="s">
        <v>17</v>
      </c>
      <c r="K138" s="15" t="s">
        <v>18</v>
      </c>
      <c r="L138" s="9">
        <f>YEAR(E138)</f>
        <v>2023</v>
      </c>
      <c r="M138" s="18">
        <f t="shared" si="2"/>
        <v>2137905.62</v>
      </c>
    </row>
    <row r="139" spans="1:13" x14ac:dyDescent="0.15">
      <c r="A139" s="12"/>
      <c r="B139" s="13" t="s">
        <v>13</v>
      </c>
      <c r="C139" s="14" t="s">
        <v>14</v>
      </c>
      <c r="D139" s="15" t="s">
        <v>114</v>
      </c>
      <c r="E139" s="15" t="s">
        <v>169</v>
      </c>
      <c r="F139" s="16">
        <v>278</v>
      </c>
      <c r="G139" s="17">
        <v>28564.880000000001</v>
      </c>
      <c r="H139" s="17">
        <v>8098.26</v>
      </c>
      <c r="I139" s="17">
        <v>7941036.6399999997</v>
      </c>
      <c r="J139" s="15" t="s">
        <v>17</v>
      </c>
      <c r="K139" s="15" t="s">
        <v>18</v>
      </c>
      <c r="L139" s="9">
        <f>YEAR(E139)</f>
        <v>2023</v>
      </c>
      <c r="M139" s="18">
        <f t="shared" si="2"/>
        <v>2251316.2800000003</v>
      </c>
    </row>
    <row r="140" spans="1:13" ht="14" thickBot="1" x14ac:dyDescent="0.2">
      <c r="A140" s="20"/>
      <c r="B140" s="21" t="s">
        <v>13</v>
      </c>
      <c r="C140" s="22" t="s">
        <v>14</v>
      </c>
      <c r="D140" s="23" t="s">
        <v>114</v>
      </c>
      <c r="E140" s="23" t="s">
        <v>170</v>
      </c>
      <c r="F140" s="24">
        <v>315</v>
      </c>
      <c r="G140" s="25">
        <v>42814.92</v>
      </c>
      <c r="H140" s="25">
        <v>6620.22</v>
      </c>
      <c r="I140" s="27">
        <v>13486699.800000001</v>
      </c>
      <c r="J140" s="23" t="s">
        <v>17</v>
      </c>
      <c r="K140" s="23" t="s">
        <v>18</v>
      </c>
      <c r="L140" s="9">
        <f>YEAR(E140)</f>
        <v>2023</v>
      </c>
      <c r="M140" s="18">
        <f t="shared" si="2"/>
        <v>2085369.3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3A8248-D8EE-4846-8F7F-9BF734FD9648}">
  <dimension ref="A1:T122"/>
  <sheetViews>
    <sheetView workbookViewId="0">
      <selection activeCell="P10" sqref="P10:T55"/>
    </sheetView>
  </sheetViews>
  <sheetFormatPr baseColWidth="10" defaultRowHeight="13" x14ac:dyDescent="0.15"/>
  <cols>
    <col min="9" max="9" width="11.6640625" bestFit="1" customWidth="1"/>
    <col min="16" max="16" width="11.1640625" customWidth="1"/>
    <col min="17" max="17" width="10.33203125" customWidth="1"/>
    <col min="18" max="18" width="13.6640625" customWidth="1"/>
    <col min="19" max="19" width="16.6640625" bestFit="1" customWidth="1"/>
    <col min="20" max="20" width="15.1640625" bestFit="1" customWidth="1"/>
  </cols>
  <sheetData>
    <row r="1" spans="1:20" ht="14" thickBot="1" x14ac:dyDescent="0.2"/>
    <row r="2" spans="1:20" ht="14" thickBot="1" x14ac:dyDescent="0.2">
      <c r="A2" s="3" t="s">
        <v>174</v>
      </c>
      <c r="B2" s="68" t="s">
        <v>2</v>
      </c>
      <c r="C2" s="69" t="s">
        <v>3</v>
      </c>
      <c r="D2" s="69" t="s">
        <v>4</v>
      </c>
      <c r="E2" s="69" t="s">
        <v>5</v>
      </c>
      <c r="F2" s="69" t="s">
        <v>6</v>
      </c>
      <c r="G2" s="69" t="s">
        <v>7</v>
      </c>
      <c r="H2" s="69" t="s">
        <v>8</v>
      </c>
      <c r="I2" s="69" t="s">
        <v>9</v>
      </c>
      <c r="J2" s="69" t="s">
        <v>10</v>
      </c>
      <c r="K2" s="69" t="s">
        <v>11</v>
      </c>
      <c r="L2" s="58" t="s">
        <v>12</v>
      </c>
      <c r="M2" s="75" t="s">
        <v>793</v>
      </c>
    </row>
    <row r="3" spans="1:20" x14ac:dyDescent="0.15">
      <c r="A3" s="5"/>
      <c r="B3" s="6" t="s">
        <v>174</v>
      </c>
      <c r="C3" s="7" t="s">
        <v>43</v>
      </c>
      <c r="D3" s="8" t="s">
        <v>114</v>
      </c>
      <c r="E3" s="8" t="s">
        <v>175</v>
      </c>
      <c r="F3" s="9">
        <v>702</v>
      </c>
      <c r="G3" s="10">
        <v>18536.45</v>
      </c>
      <c r="H3" s="10">
        <v>5105.01</v>
      </c>
      <c r="I3" s="26">
        <v>13012587.9</v>
      </c>
      <c r="J3" s="8" t="s">
        <v>30</v>
      </c>
      <c r="K3" s="8" t="s">
        <v>18</v>
      </c>
      <c r="L3" s="9">
        <f>YEAR(E3)</f>
        <v>2020</v>
      </c>
      <c r="M3">
        <f>H3*F3</f>
        <v>3583717.02</v>
      </c>
      <c r="O3" s="73"/>
      <c r="P3" s="73" t="s">
        <v>12</v>
      </c>
      <c r="Q3" s="73" t="s">
        <v>792</v>
      </c>
      <c r="R3" s="73" t="s">
        <v>793</v>
      </c>
    </row>
    <row r="4" spans="1:20" x14ac:dyDescent="0.15">
      <c r="A4" s="12"/>
      <c r="B4" s="13" t="s">
        <v>174</v>
      </c>
      <c r="C4" s="14" t="s">
        <v>57</v>
      </c>
      <c r="D4" s="15" t="s">
        <v>139</v>
      </c>
      <c r="E4" s="15" t="s">
        <v>175</v>
      </c>
      <c r="F4" s="16">
        <v>963</v>
      </c>
      <c r="G4" s="19">
        <v>29641.1</v>
      </c>
      <c r="H4" s="17">
        <v>7617.73</v>
      </c>
      <c r="I4" s="19">
        <v>28544379.300000001</v>
      </c>
      <c r="J4" s="15" t="s">
        <v>30</v>
      </c>
      <c r="K4" s="15" t="s">
        <v>18</v>
      </c>
      <c r="L4" s="9">
        <f>YEAR(E4)</f>
        <v>2020</v>
      </c>
      <c r="M4">
        <f t="shared" ref="M4:M67" si="0">H4*F4</f>
        <v>7335873.9899999993</v>
      </c>
      <c r="O4" s="74"/>
      <c r="P4" s="74">
        <v>2020</v>
      </c>
      <c r="Q4" s="74">
        <f>ROUND(SUMIF(L3:L122,P4,F3:F122),0)</f>
        <v>16508</v>
      </c>
      <c r="R4" s="74">
        <f>ROUND(SUMIF(L3:L122,P4, M3:M122),0)</f>
        <v>113042535</v>
      </c>
    </row>
    <row r="5" spans="1:20" x14ac:dyDescent="0.15">
      <c r="A5" s="12"/>
      <c r="B5" s="13" t="s">
        <v>174</v>
      </c>
      <c r="C5" s="14" t="s">
        <v>79</v>
      </c>
      <c r="D5" s="15" t="s">
        <v>107</v>
      </c>
      <c r="E5" s="15" t="s">
        <v>175</v>
      </c>
      <c r="F5" s="16">
        <v>405</v>
      </c>
      <c r="G5" s="17">
        <v>49485.77</v>
      </c>
      <c r="H5" s="17">
        <v>8763.98</v>
      </c>
      <c r="I5" s="17">
        <v>20041736.850000001</v>
      </c>
      <c r="J5" s="15" t="s">
        <v>28</v>
      </c>
      <c r="K5" s="15" t="s">
        <v>18</v>
      </c>
      <c r="L5" s="9">
        <f>YEAR(E5)</f>
        <v>2020</v>
      </c>
      <c r="M5">
        <f t="shared" si="0"/>
        <v>3549411.9</v>
      </c>
      <c r="O5" s="74"/>
      <c r="P5" s="74">
        <v>2021</v>
      </c>
      <c r="Q5" s="74">
        <f>ROUND(SUMIF(L3:L140,P5,F3:F141),0)</f>
        <v>15761</v>
      </c>
      <c r="R5" s="74">
        <f>ROUND(SUMIF(L3:L122,P5, M3:M122),0)</f>
        <v>106456180</v>
      </c>
    </row>
    <row r="6" spans="1:20" x14ac:dyDescent="0.15">
      <c r="A6" s="12"/>
      <c r="B6" s="13" t="s">
        <v>174</v>
      </c>
      <c r="C6" s="14" t="s">
        <v>25</v>
      </c>
      <c r="D6" s="15" t="s">
        <v>114</v>
      </c>
      <c r="E6" s="15" t="s">
        <v>176</v>
      </c>
      <c r="F6" s="16">
        <v>518</v>
      </c>
      <c r="G6" s="19">
        <v>11462.7</v>
      </c>
      <c r="H6" s="17">
        <v>9321.44</v>
      </c>
      <c r="I6" s="19">
        <v>5937678.5999999996</v>
      </c>
      <c r="J6" s="15" t="s">
        <v>28</v>
      </c>
      <c r="K6" s="15" t="s">
        <v>18</v>
      </c>
      <c r="L6" s="9">
        <f>YEAR(E6)</f>
        <v>2020</v>
      </c>
      <c r="M6">
        <f t="shared" si="0"/>
        <v>4828505.92</v>
      </c>
      <c r="O6" s="74"/>
      <c r="P6" s="74">
        <v>2022</v>
      </c>
      <c r="Q6" s="74">
        <f>ROUND(SUMIF(L3:L122,P6,F3:F122),0)</f>
        <v>15270</v>
      </c>
      <c r="R6" s="74">
        <f>ROUND(SUMIF(L3:L122,P6, M3:M122),0)</f>
        <v>92703385</v>
      </c>
    </row>
    <row r="7" spans="1:20" x14ac:dyDescent="0.15">
      <c r="A7" s="12"/>
      <c r="B7" s="13" t="s">
        <v>174</v>
      </c>
      <c r="C7" s="14" t="s">
        <v>35</v>
      </c>
      <c r="D7" s="15" t="s">
        <v>114</v>
      </c>
      <c r="E7" s="15" t="s">
        <v>179</v>
      </c>
      <c r="F7" s="16">
        <v>531</v>
      </c>
      <c r="G7" s="17">
        <v>16488.41</v>
      </c>
      <c r="H7" s="17">
        <v>7791.27</v>
      </c>
      <c r="I7" s="17">
        <v>8755345.7100000009</v>
      </c>
      <c r="J7" s="15" t="s">
        <v>28</v>
      </c>
      <c r="K7" s="15" t="s">
        <v>18</v>
      </c>
      <c r="L7" s="9">
        <f>YEAR(E7)</f>
        <v>2020</v>
      </c>
      <c r="M7">
        <f t="shared" si="0"/>
        <v>4137164.37</v>
      </c>
      <c r="O7" s="74"/>
      <c r="P7" s="74">
        <v>2023</v>
      </c>
      <c r="Q7" s="74">
        <f>ROUND(SUMIF(L3:L122,P7,F3:F122),0)</f>
        <v>16695</v>
      </c>
      <c r="R7" s="74">
        <f>ROUND(SUMIF(L3:L122,P7, M3:M122),0)</f>
        <v>104301361</v>
      </c>
    </row>
    <row r="8" spans="1:20" ht="14" x14ac:dyDescent="0.15">
      <c r="A8" s="12"/>
      <c r="B8" s="13" t="s">
        <v>174</v>
      </c>
      <c r="C8" s="14" t="s">
        <v>23</v>
      </c>
      <c r="D8" s="15" t="s">
        <v>114</v>
      </c>
      <c r="E8" s="15" t="s">
        <v>189</v>
      </c>
      <c r="F8" s="16">
        <v>690</v>
      </c>
      <c r="G8" s="17">
        <v>32888.269999999997</v>
      </c>
      <c r="H8" s="17">
        <v>8503.9699999999993</v>
      </c>
      <c r="I8" s="19">
        <v>22692906.300000001</v>
      </c>
      <c r="J8" s="15" t="s">
        <v>17</v>
      </c>
      <c r="K8" s="15" t="s">
        <v>18</v>
      </c>
      <c r="L8" s="9">
        <f>YEAR(E8)</f>
        <v>2020</v>
      </c>
      <c r="M8">
        <f t="shared" si="0"/>
        <v>5867739.2999999998</v>
      </c>
      <c r="O8" s="74"/>
      <c r="P8" s="70" t="s">
        <v>795</v>
      </c>
      <c r="Q8" s="70">
        <f>SUM(Q4:Q7)</f>
        <v>64234</v>
      </c>
      <c r="R8" s="70">
        <f>SUM(R4:R7)</f>
        <v>416503461</v>
      </c>
    </row>
    <row r="9" spans="1:20" x14ac:dyDescent="0.15">
      <c r="A9" s="12"/>
      <c r="B9" s="13" t="s">
        <v>174</v>
      </c>
      <c r="C9" s="14" t="s">
        <v>35</v>
      </c>
      <c r="D9" s="15" t="s">
        <v>139</v>
      </c>
      <c r="E9" s="15" t="s">
        <v>198</v>
      </c>
      <c r="F9" s="16">
        <v>566</v>
      </c>
      <c r="G9" s="17">
        <v>10637.35</v>
      </c>
      <c r="H9" s="17">
        <v>3020.33</v>
      </c>
      <c r="I9" s="19">
        <v>6020740.0999999996</v>
      </c>
      <c r="J9" s="15" t="s">
        <v>30</v>
      </c>
      <c r="K9" s="15" t="s">
        <v>18</v>
      </c>
      <c r="L9" s="9">
        <f>YEAR(E9)</f>
        <v>2020</v>
      </c>
      <c r="M9">
        <f t="shared" si="0"/>
        <v>1709506.78</v>
      </c>
    </row>
    <row r="10" spans="1:20" x14ac:dyDescent="0.15">
      <c r="A10" s="12"/>
      <c r="B10" s="13" t="s">
        <v>174</v>
      </c>
      <c r="C10" s="14" t="s">
        <v>35</v>
      </c>
      <c r="D10" s="15" t="s">
        <v>26</v>
      </c>
      <c r="E10" s="15" t="s">
        <v>203</v>
      </c>
      <c r="F10" s="16">
        <v>395</v>
      </c>
      <c r="G10" s="17">
        <v>10195.24</v>
      </c>
      <c r="H10" s="17">
        <v>6032.84</v>
      </c>
      <c r="I10" s="19">
        <v>4027119.8</v>
      </c>
      <c r="J10" s="15" t="s">
        <v>30</v>
      </c>
      <c r="K10" s="15" t="s">
        <v>18</v>
      </c>
      <c r="L10" s="9">
        <f>YEAR(E10)</f>
        <v>2020</v>
      </c>
      <c r="M10">
        <f t="shared" si="0"/>
        <v>2382971.8000000003</v>
      </c>
    </row>
    <row r="11" spans="1:20" ht="17" customHeight="1" x14ac:dyDescent="0.15">
      <c r="A11" s="12"/>
      <c r="B11" s="13" t="s">
        <v>174</v>
      </c>
      <c r="C11" s="14" t="s">
        <v>19</v>
      </c>
      <c r="D11" s="15" t="s">
        <v>26</v>
      </c>
      <c r="E11" s="15" t="s">
        <v>212</v>
      </c>
      <c r="F11" s="16">
        <v>765</v>
      </c>
      <c r="G11" s="17">
        <v>38984.959999999999</v>
      </c>
      <c r="H11" s="17">
        <v>8638.35</v>
      </c>
      <c r="I11" s="19">
        <v>29823494.399999999</v>
      </c>
      <c r="J11" s="15" t="s">
        <v>28</v>
      </c>
      <c r="K11" s="15" t="s">
        <v>18</v>
      </c>
      <c r="L11" s="9">
        <f>YEAR(E11)</f>
        <v>2020</v>
      </c>
      <c r="M11">
        <f t="shared" si="0"/>
        <v>6608337.75</v>
      </c>
      <c r="P11" s="36" t="s">
        <v>787</v>
      </c>
      <c r="Q11" s="32" t="s">
        <v>785</v>
      </c>
      <c r="R11" s="37" t="s">
        <v>797</v>
      </c>
      <c r="S11" s="37" t="s">
        <v>790</v>
      </c>
      <c r="T11" s="59" t="s">
        <v>796</v>
      </c>
    </row>
    <row r="12" spans="1:20" ht="14" x14ac:dyDescent="0.15">
      <c r="A12" s="12"/>
      <c r="B12" s="13" t="s">
        <v>174</v>
      </c>
      <c r="C12" s="14" t="s">
        <v>23</v>
      </c>
      <c r="D12" s="15" t="s">
        <v>26</v>
      </c>
      <c r="E12" s="15" t="s">
        <v>214</v>
      </c>
      <c r="F12" s="16">
        <v>504</v>
      </c>
      <c r="G12" s="17">
        <v>10656.58</v>
      </c>
      <c r="H12" s="17">
        <v>9979.02</v>
      </c>
      <c r="I12" s="17">
        <v>5370916.3200000003</v>
      </c>
      <c r="J12" s="15" t="s">
        <v>17</v>
      </c>
      <c r="K12" s="15" t="s">
        <v>18</v>
      </c>
      <c r="L12" s="9">
        <f>YEAR(E12)</f>
        <v>2020</v>
      </c>
      <c r="M12">
        <f t="shared" si="0"/>
        <v>5029426.08</v>
      </c>
      <c r="P12" s="80" t="s">
        <v>89</v>
      </c>
      <c r="Q12" s="81">
        <v>7473</v>
      </c>
      <c r="R12" s="82">
        <v>28211.213333333337</v>
      </c>
      <c r="S12" s="82">
        <v>223704325.65999997</v>
      </c>
      <c r="T12" s="83">
        <v>51085872.74000001</v>
      </c>
    </row>
    <row r="13" spans="1:20" x14ac:dyDescent="0.15">
      <c r="A13" s="12"/>
      <c r="B13" s="13" t="s">
        <v>174</v>
      </c>
      <c r="C13" s="14" t="s">
        <v>25</v>
      </c>
      <c r="D13" s="15" t="s">
        <v>26</v>
      </c>
      <c r="E13" s="15" t="s">
        <v>151</v>
      </c>
      <c r="F13" s="16">
        <v>302</v>
      </c>
      <c r="G13" s="19">
        <v>19878.5</v>
      </c>
      <c r="H13" s="17">
        <v>8056.92</v>
      </c>
      <c r="I13" s="16">
        <v>6003307</v>
      </c>
      <c r="J13" s="15" t="s">
        <v>17</v>
      </c>
      <c r="K13" s="15" t="s">
        <v>18</v>
      </c>
      <c r="L13" s="9">
        <f>YEAR(E13)</f>
        <v>2020</v>
      </c>
      <c r="M13">
        <f t="shared" si="0"/>
        <v>2433189.84</v>
      </c>
      <c r="P13" s="63">
        <v>2020</v>
      </c>
      <c r="Q13" s="43">
        <v>1765</v>
      </c>
      <c r="R13" s="44">
        <v>36172.223333333335</v>
      </c>
      <c r="S13" s="44">
        <v>63003685.489999995</v>
      </c>
      <c r="T13" s="61">
        <v>12027839.950000001</v>
      </c>
    </row>
    <row r="14" spans="1:20" x14ac:dyDescent="0.15">
      <c r="A14" s="12"/>
      <c r="B14" s="13" t="s">
        <v>174</v>
      </c>
      <c r="C14" s="14" t="s">
        <v>57</v>
      </c>
      <c r="D14" s="15" t="s">
        <v>15</v>
      </c>
      <c r="E14" s="15" t="s">
        <v>91</v>
      </c>
      <c r="F14" s="16">
        <v>885</v>
      </c>
      <c r="G14" s="17">
        <v>37238.519999999997</v>
      </c>
      <c r="H14" s="17">
        <v>5263.08</v>
      </c>
      <c r="I14" s="19">
        <v>32956090.199999999</v>
      </c>
      <c r="J14" s="15" t="s">
        <v>17</v>
      </c>
      <c r="K14" s="15" t="s">
        <v>18</v>
      </c>
      <c r="L14" s="9">
        <f>YEAR(E14)</f>
        <v>2020</v>
      </c>
      <c r="M14">
        <f t="shared" si="0"/>
        <v>4657825.8</v>
      </c>
      <c r="P14" s="63">
        <v>2021</v>
      </c>
      <c r="Q14" s="43">
        <v>3251</v>
      </c>
      <c r="R14" s="44">
        <v>28905.604000000003</v>
      </c>
      <c r="S14" s="44">
        <v>108131211.88999999</v>
      </c>
      <c r="T14" s="61">
        <v>24829276.169999998</v>
      </c>
    </row>
    <row r="15" spans="1:20" x14ac:dyDescent="0.15">
      <c r="A15" s="12"/>
      <c r="B15" s="13" t="s">
        <v>174</v>
      </c>
      <c r="C15" s="14" t="s">
        <v>23</v>
      </c>
      <c r="D15" s="15" t="s">
        <v>15</v>
      </c>
      <c r="E15" s="15" t="s">
        <v>217</v>
      </c>
      <c r="F15" s="16">
        <v>229</v>
      </c>
      <c r="G15" s="17">
        <v>18212.59</v>
      </c>
      <c r="H15" s="17">
        <v>3226.57</v>
      </c>
      <c r="I15" s="17">
        <v>4170683.11</v>
      </c>
      <c r="J15" s="15" t="s">
        <v>28</v>
      </c>
      <c r="K15" s="15" t="s">
        <v>18</v>
      </c>
      <c r="L15" s="9">
        <f>YEAR(E15)</f>
        <v>2020</v>
      </c>
      <c r="M15">
        <f t="shared" si="0"/>
        <v>738884.53</v>
      </c>
      <c r="P15" s="63">
        <v>2022</v>
      </c>
      <c r="Q15" s="43">
        <v>1846</v>
      </c>
      <c r="R15" s="44">
        <v>21216.643333333333</v>
      </c>
      <c r="S15" s="44">
        <v>39225224.939999998</v>
      </c>
      <c r="T15" s="61">
        <v>9939182.2400000002</v>
      </c>
    </row>
    <row r="16" spans="1:20" x14ac:dyDescent="0.15">
      <c r="A16" s="12"/>
      <c r="B16" s="13" t="s">
        <v>174</v>
      </c>
      <c r="C16" s="14" t="s">
        <v>79</v>
      </c>
      <c r="D16" s="15" t="s">
        <v>15</v>
      </c>
      <c r="E16" s="15" t="s">
        <v>218</v>
      </c>
      <c r="F16" s="16">
        <v>534</v>
      </c>
      <c r="G16" s="17">
        <v>15831.82</v>
      </c>
      <c r="H16" s="17">
        <v>3835.13</v>
      </c>
      <c r="I16" s="17">
        <v>8454191.8800000008</v>
      </c>
      <c r="J16" s="15" t="s">
        <v>22</v>
      </c>
      <c r="K16" s="15" t="s">
        <v>18</v>
      </c>
      <c r="L16" s="9">
        <f>YEAR(E16)</f>
        <v>2020</v>
      </c>
      <c r="M16">
        <f t="shared" si="0"/>
        <v>2047959.4200000002</v>
      </c>
      <c r="P16" s="63">
        <v>2023</v>
      </c>
      <c r="Q16" s="43">
        <v>611</v>
      </c>
      <c r="R16" s="44">
        <v>21839.94</v>
      </c>
      <c r="S16" s="44">
        <v>13344203.34</v>
      </c>
      <c r="T16" s="61">
        <v>4289574.38</v>
      </c>
    </row>
    <row r="17" spans="1:20" ht="14" x14ac:dyDescent="0.15">
      <c r="A17" s="12"/>
      <c r="B17" s="13" t="s">
        <v>174</v>
      </c>
      <c r="C17" s="14" t="s">
        <v>79</v>
      </c>
      <c r="D17" s="15" t="s">
        <v>15</v>
      </c>
      <c r="E17" s="15" t="s">
        <v>222</v>
      </c>
      <c r="F17" s="16">
        <v>158</v>
      </c>
      <c r="G17" s="17">
        <v>24848.97</v>
      </c>
      <c r="H17" s="17">
        <v>5426.09</v>
      </c>
      <c r="I17" s="17">
        <v>3926137.26</v>
      </c>
      <c r="J17" s="15" t="s">
        <v>22</v>
      </c>
      <c r="K17" s="15" t="s">
        <v>18</v>
      </c>
      <c r="L17" s="9">
        <f>YEAR(E17)</f>
        <v>2020</v>
      </c>
      <c r="M17">
        <f t="shared" si="0"/>
        <v>857322.22</v>
      </c>
      <c r="P17" s="76" t="s">
        <v>70</v>
      </c>
      <c r="Q17" s="77">
        <v>3676</v>
      </c>
      <c r="R17" s="78">
        <v>26619.917142857146</v>
      </c>
      <c r="S17" s="78">
        <v>105461964.12</v>
      </c>
      <c r="T17" s="79">
        <v>24393684.48</v>
      </c>
    </row>
    <row r="18" spans="1:20" x14ac:dyDescent="0.15">
      <c r="A18" s="12"/>
      <c r="B18" s="13" t="s">
        <v>174</v>
      </c>
      <c r="C18" s="14" t="s">
        <v>43</v>
      </c>
      <c r="D18" s="15" t="s">
        <v>70</v>
      </c>
      <c r="E18" s="15" t="s">
        <v>227</v>
      </c>
      <c r="F18" s="16">
        <v>312</v>
      </c>
      <c r="G18" s="17">
        <v>29465.29</v>
      </c>
      <c r="H18" s="17">
        <v>8310.14</v>
      </c>
      <c r="I18" s="17">
        <v>9193170.4800000004</v>
      </c>
      <c r="J18" s="15" t="s">
        <v>17</v>
      </c>
      <c r="K18" s="15" t="s">
        <v>18</v>
      </c>
      <c r="L18" s="9">
        <f>YEAR(E18)</f>
        <v>2020</v>
      </c>
      <c r="M18">
        <f t="shared" si="0"/>
        <v>2592763.6799999997</v>
      </c>
      <c r="P18" s="63">
        <v>2020</v>
      </c>
      <c r="Q18" s="43">
        <v>754</v>
      </c>
      <c r="R18" s="44">
        <v>24124.09</v>
      </c>
      <c r="S18" s="44">
        <v>17495207.859999999</v>
      </c>
      <c r="T18" s="61">
        <v>5050049.42</v>
      </c>
    </row>
    <row r="19" spans="1:20" x14ac:dyDescent="0.15">
      <c r="A19" s="12"/>
      <c r="B19" s="13" t="s">
        <v>174</v>
      </c>
      <c r="C19" s="14" t="s">
        <v>35</v>
      </c>
      <c r="D19" s="15" t="s">
        <v>70</v>
      </c>
      <c r="E19" s="15" t="s">
        <v>229</v>
      </c>
      <c r="F19" s="16">
        <v>442</v>
      </c>
      <c r="G19" s="17">
        <v>18782.89</v>
      </c>
      <c r="H19" s="17">
        <v>5559.47</v>
      </c>
      <c r="I19" s="17">
        <v>8302037.3799999999</v>
      </c>
      <c r="J19" s="15" t="s">
        <v>22</v>
      </c>
      <c r="K19" s="15" t="s">
        <v>18</v>
      </c>
      <c r="L19" s="9">
        <f>YEAR(E19)</f>
        <v>2020</v>
      </c>
      <c r="M19">
        <f t="shared" si="0"/>
        <v>2457285.7400000002</v>
      </c>
      <c r="P19" s="63">
        <v>2021</v>
      </c>
      <c r="Q19" s="43">
        <v>2219</v>
      </c>
      <c r="R19" s="44">
        <v>27215.62</v>
      </c>
      <c r="S19" s="44">
        <v>63610982.640000001</v>
      </c>
      <c r="T19" s="61">
        <v>12859812.740000002</v>
      </c>
    </row>
    <row r="20" spans="1:20" x14ac:dyDescent="0.15">
      <c r="A20" s="12"/>
      <c r="B20" s="13" t="s">
        <v>174</v>
      </c>
      <c r="C20" s="14" t="s">
        <v>31</v>
      </c>
      <c r="D20" s="15" t="s">
        <v>107</v>
      </c>
      <c r="E20" s="15" t="s">
        <v>236</v>
      </c>
      <c r="F20" s="16">
        <v>895</v>
      </c>
      <c r="G20" s="17">
        <v>44627.31</v>
      </c>
      <c r="H20" s="17">
        <v>6484.53</v>
      </c>
      <c r="I20" s="17">
        <v>39941442.450000003</v>
      </c>
      <c r="J20" s="15" t="s">
        <v>30</v>
      </c>
      <c r="K20" s="15" t="s">
        <v>18</v>
      </c>
      <c r="L20" s="9">
        <f>YEAR(E20)</f>
        <v>2020</v>
      </c>
      <c r="M20">
        <f t="shared" si="0"/>
        <v>5803654.3499999996</v>
      </c>
      <c r="P20" s="63">
        <v>2022</v>
      </c>
      <c r="Q20" s="43">
        <v>163</v>
      </c>
      <c r="R20" s="44">
        <v>16244.54</v>
      </c>
      <c r="S20" s="44">
        <v>2647860.02</v>
      </c>
      <c r="T20" s="61">
        <v>1609566.3199999998</v>
      </c>
    </row>
    <row r="21" spans="1:20" x14ac:dyDescent="0.15">
      <c r="A21" s="12"/>
      <c r="B21" s="13" t="s">
        <v>174</v>
      </c>
      <c r="C21" s="14" t="s">
        <v>79</v>
      </c>
      <c r="D21" s="15" t="s">
        <v>153</v>
      </c>
      <c r="E21" s="15" t="s">
        <v>48</v>
      </c>
      <c r="F21" s="16">
        <v>871</v>
      </c>
      <c r="G21" s="16">
        <v>41177</v>
      </c>
      <c r="H21" s="17">
        <v>9144.43</v>
      </c>
      <c r="I21" s="16">
        <v>35865167</v>
      </c>
      <c r="J21" s="15" t="s">
        <v>17</v>
      </c>
      <c r="K21" s="15" t="s">
        <v>18</v>
      </c>
      <c r="L21" s="9">
        <f>YEAR(E21)</f>
        <v>2020</v>
      </c>
      <c r="M21">
        <f t="shared" si="0"/>
        <v>7964798.5300000003</v>
      </c>
      <c r="P21" s="63">
        <v>2023</v>
      </c>
      <c r="Q21" s="43">
        <v>540</v>
      </c>
      <c r="R21" s="44">
        <v>40199.839999999997</v>
      </c>
      <c r="S21" s="44">
        <v>21707913.600000001</v>
      </c>
      <c r="T21" s="61">
        <v>4874256</v>
      </c>
    </row>
    <row r="22" spans="1:20" ht="14" x14ac:dyDescent="0.15">
      <c r="A22" s="12"/>
      <c r="B22" s="13" t="s">
        <v>174</v>
      </c>
      <c r="C22" s="14" t="s">
        <v>23</v>
      </c>
      <c r="D22" s="15" t="s">
        <v>153</v>
      </c>
      <c r="E22" s="15" t="s">
        <v>172</v>
      </c>
      <c r="F22" s="16">
        <v>427</v>
      </c>
      <c r="G22" s="17">
        <v>29828.71</v>
      </c>
      <c r="H22" s="17">
        <v>2279.98</v>
      </c>
      <c r="I22" s="17">
        <v>12736859.17</v>
      </c>
      <c r="J22" s="15" t="s">
        <v>17</v>
      </c>
      <c r="K22" s="15" t="s">
        <v>18</v>
      </c>
      <c r="L22" s="9">
        <f>YEAR(E22)</f>
        <v>2020</v>
      </c>
      <c r="M22">
        <f t="shared" si="0"/>
        <v>973551.46</v>
      </c>
      <c r="P22" s="80" t="s">
        <v>26</v>
      </c>
      <c r="Q22" s="81">
        <v>8933</v>
      </c>
      <c r="R22" s="82">
        <v>26779.332105263158</v>
      </c>
      <c r="S22" s="82">
        <v>263406633.81</v>
      </c>
      <c r="T22" s="83">
        <v>62650575.07</v>
      </c>
    </row>
    <row r="23" spans="1:20" ht="14" x14ac:dyDescent="0.15">
      <c r="A23" s="12"/>
      <c r="B23" s="13" t="s">
        <v>174</v>
      </c>
      <c r="C23" s="14" t="s">
        <v>79</v>
      </c>
      <c r="D23" s="15" t="s">
        <v>153</v>
      </c>
      <c r="E23" s="15" t="s">
        <v>246</v>
      </c>
      <c r="F23" s="16">
        <v>711</v>
      </c>
      <c r="G23" s="17">
        <v>33178.93</v>
      </c>
      <c r="H23" s="17">
        <v>7017.84</v>
      </c>
      <c r="I23" s="17">
        <v>23590219.23</v>
      </c>
      <c r="J23" s="15" t="s">
        <v>17</v>
      </c>
      <c r="K23" s="15" t="s">
        <v>18</v>
      </c>
      <c r="L23" s="9">
        <f>YEAR(E23)</f>
        <v>2020</v>
      </c>
      <c r="M23">
        <f t="shared" si="0"/>
        <v>4989684.24</v>
      </c>
      <c r="P23" s="80" t="s">
        <v>68</v>
      </c>
      <c r="Q23" s="81">
        <v>6238</v>
      </c>
      <c r="R23" s="82">
        <v>26536.43307692308</v>
      </c>
      <c r="S23" s="82">
        <v>167322939.02000001</v>
      </c>
      <c r="T23" s="83">
        <v>44944553.730000004</v>
      </c>
    </row>
    <row r="24" spans="1:20" x14ac:dyDescent="0.15">
      <c r="A24" s="12"/>
      <c r="B24" s="13" t="s">
        <v>174</v>
      </c>
      <c r="C24" s="14" t="s">
        <v>23</v>
      </c>
      <c r="D24" s="15" t="s">
        <v>153</v>
      </c>
      <c r="E24" s="15" t="s">
        <v>119</v>
      </c>
      <c r="F24" s="16">
        <v>242</v>
      </c>
      <c r="G24" s="17">
        <v>31257.41</v>
      </c>
      <c r="H24" s="17">
        <v>4475.9799999999996</v>
      </c>
      <c r="I24" s="17">
        <v>7564293.2199999997</v>
      </c>
      <c r="J24" s="15" t="s">
        <v>17</v>
      </c>
      <c r="K24" s="15" t="s">
        <v>18</v>
      </c>
      <c r="L24" s="9">
        <f>YEAR(E24)</f>
        <v>2020</v>
      </c>
      <c r="M24">
        <f t="shared" si="0"/>
        <v>1083187.1599999999</v>
      </c>
      <c r="P24" s="63">
        <v>2020</v>
      </c>
      <c r="Q24" s="43">
        <v>1897</v>
      </c>
      <c r="R24" s="44">
        <v>26557.810000000005</v>
      </c>
      <c r="S24" s="44">
        <v>47793753.140000001</v>
      </c>
      <c r="T24" s="61">
        <v>14493565.76</v>
      </c>
    </row>
    <row r="25" spans="1:20" x14ac:dyDescent="0.15">
      <c r="A25" s="12"/>
      <c r="B25" s="13" t="s">
        <v>174</v>
      </c>
      <c r="C25" s="14" t="s">
        <v>38</v>
      </c>
      <c r="D25" s="15" t="s">
        <v>68</v>
      </c>
      <c r="E25" s="15" t="s">
        <v>250</v>
      </c>
      <c r="F25" s="16">
        <v>144</v>
      </c>
      <c r="G25" s="17">
        <v>19564.37</v>
      </c>
      <c r="H25" s="17">
        <v>9750.77</v>
      </c>
      <c r="I25" s="17">
        <v>2817269.28</v>
      </c>
      <c r="J25" s="15" t="s">
        <v>17</v>
      </c>
      <c r="K25" s="15" t="s">
        <v>18</v>
      </c>
      <c r="L25" s="9">
        <f>YEAR(E25)</f>
        <v>2020</v>
      </c>
      <c r="M25">
        <f t="shared" si="0"/>
        <v>1404110.8800000001</v>
      </c>
      <c r="P25" s="63">
        <v>2021</v>
      </c>
      <c r="Q25" s="43">
        <v>1305</v>
      </c>
      <c r="R25" s="44">
        <v>38304.449999999997</v>
      </c>
      <c r="S25" s="44">
        <v>49914597.289999999</v>
      </c>
      <c r="T25" s="61">
        <v>9350846.4199999999</v>
      </c>
    </row>
    <row r="26" spans="1:20" x14ac:dyDescent="0.15">
      <c r="A26" s="12"/>
      <c r="B26" s="13" t="s">
        <v>174</v>
      </c>
      <c r="C26" s="14" t="s">
        <v>35</v>
      </c>
      <c r="D26" s="15" t="s">
        <v>68</v>
      </c>
      <c r="E26" s="15" t="s">
        <v>252</v>
      </c>
      <c r="F26" s="16">
        <v>165</v>
      </c>
      <c r="G26" s="17">
        <v>30565.62</v>
      </c>
      <c r="H26" s="17">
        <v>6590.04</v>
      </c>
      <c r="I26" s="19">
        <v>5043327.3</v>
      </c>
      <c r="J26" s="15" t="s">
        <v>17</v>
      </c>
      <c r="K26" s="15" t="s">
        <v>18</v>
      </c>
      <c r="L26" s="9">
        <f>YEAR(E26)</f>
        <v>2020</v>
      </c>
      <c r="M26">
        <f t="shared" si="0"/>
        <v>1087356.6000000001</v>
      </c>
      <c r="P26" s="63">
        <v>2022</v>
      </c>
      <c r="Q26" s="43">
        <v>2052</v>
      </c>
      <c r="R26" s="44">
        <v>24357.625</v>
      </c>
      <c r="S26" s="44">
        <v>53166654.350000001</v>
      </c>
      <c r="T26" s="61">
        <v>12441311.550000001</v>
      </c>
    </row>
    <row r="27" spans="1:20" x14ac:dyDescent="0.15">
      <c r="A27" s="12"/>
      <c r="B27" s="13" t="s">
        <v>174</v>
      </c>
      <c r="C27" s="14" t="s">
        <v>23</v>
      </c>
      <c r="D27" s="15" t="s">
        <v>68</v>
      </c>
      <c r="E27" s="15" t="s">
        <v>254</v>
      </c>
      <c r="F27" s="16">
        <v>385</v>
      </c>
      <c r="G27" s="17">
        <v>49366.58</v>
      </c>
      <c r="H27" s="17">
        <v>9252.64</v>
      </c>
      <c r="I27" s="19">
        <v>19006133.300000001</v>
      </c>
      <c r="J27" s="15" t="s">
        <v>30</v>
      </c>
      <c r="K27" s="15" t="s">
        <v>18</v>
      </c>
      <c r="L27" s="9">
        <f>YEAR(E27)</f>
        <v>2020</v>
      </c>
      <c r="M27">
        <f t="shared" si="0"/>
        <v>3562266.4</v>
      </c>
      <c r="P27" s="63">
        <v>2023</v>
      </c>
      <c r="Q27" s="43">
        <v>984</v>
      </c>
      <c r="R27" s="44">
        <v>19072.59</v>
      </c>
      <c r="S27" s="44">
        <v>16447934.24</v>
      </c>
      <c r="T27" s="61">
        <v>8658830</v>
      </c>
    </row>
    <row r="28" spans="1:20" ht="14" x14ac:dyDescent="0.15">
      <c r="A28" s="12"/>
      <c r="B28" s="13" t="s">
        <v>174</v>
      </c>
      <c r="C28" s="14" t="s">
        <v>38</v>
      </c>
      <c r="D28" s="15" t="s">
        <v>68</v>
      </c>
      <c r="E28" s="15" t="s">
        <v>257</v>
      </c>
      <c r="F28" s="16">
        <v>467</v>
      </c>
      <c r="G28" s="17">
        <v>13294.58</v>
      </c>
      <c r="H28" s="17">
        <v>4013.08</v>
      </c>
      <c r="I28" s="17">
        <v>6208568.8600000003</v>
      </c>
      <c r="J28" s="15" t="s">
        <v>17</v>
      </c>
      <c r="K28" s="15" t="s">
        <v>18</v>
      </c>
      <c r="L28" s="9">
        <f>YEAR(E28)</f>
        <v>2020</v>
      </c>
      <c r="M28">
        <f t="shared" si="0"/>
        <v>1874108.3599999999</v>
      </c>
      <c r="P28" s="76" t="s">
        <v>114</v>
      </c>
      <c r="Q28" s="77">
        <v>12251</v>
      </c>
      <c r="R28" s="78">
        <v>23574.78</v>
      </c>
      <c r="S28" s="78">
        <v>292253334.35999995</v>
      </c>
      <c r="T28" s="79">
        <v>81250550.830000013</v>
      </c>
    </row>
    <row r="29" spans="1:20" x14ac:dyDescent="0.15">
      <c r="A29" s="12"/>
      <c r="B29" s="13" t="s">
        <v>174</v>
      </c>
      <c r="C29" s="14" t="s">
        <v>31</v>
      </c>
      <c r="D29" s="15" t="s">
        <v>68</v>
      </c>
      <c r="E29" s="15" t="s">
        <v>260</v>
      </c>
      <c r="F29" s="16">
        <v>736</v>
      </c>
      <c r="G29" s="19">
        <v>19997.900000000001</v>
      </c>
      <c r="H29" s="17">
        <v>8920.82</v>
      </c>
      <c r="I29" s="19">
        <v>14718454.4</v>
      </c>
      <c r="J29" s="15" t="s">
        <v>17</v>
      </c>
      <c r="K29" s="15" t="s">
        <v>18</v>
      </c>
      <c r="L29" s="9">
        <f>YEAR(E29)</f>
        <v>2020</v>
      </c>
      <c r="M29">
        <f t="shared" si="0"/>
        <v>6565723.5199999996</v>
      </c>
      <c r="P29" s="63">
        <v>2020</v>
      </c>
      <c r="Q29" s="43">
        <v>2441</v>
      </c>
      <c r="R29" s="44">
        <v>19843.957499999997</v>
      </c>
      <c r="S29" s="44">
        <v>50398518.510000005</v>
      </c>
      <c r="T29" s="61">
        <v>18417126.609999999</v>
      </c>
    </row>
    <row r="30" spans="1:20" x14ac:dyDescent="0.15">
      <c r="A30" s="12"/>
      <c r="B30" s="13" t="s">
        <v>174</v>
      </c>
      <c r="C30" s="14" t="s">
        <v>23</v>
      </c>
      <c r="D30" s="15" t="s">
        <v>53</v>
      </c>
      <c r="E30" s="15" t="s">
        <v>263</v>
      </c>
      <c r="F30" s="16">
        <v>137</v>
      </c>
      <c r="G30" s="17">
        <v>22503.47</v>
      </c>
      <c r="H30" s="17">
        <v>4193.51</v>
      </c>
      <c r="I30" s="17">
        <v>3082975.39</v>
      </c>
      <c r="J30" s="15" t="s">
        <v>17</v>
      </c>
      <c r="K30" s="15" t="s">
        <v>18</v>
      </c>
      <c r="L30" s="9">
        <f>YEAR(E30)</f>
        <v>2020</v>
      </c>
      <c r="M30">
        <f t="shared" si="0"/>
        <v>574510.87</v>
      </c>
      <c r="P30" s="63">
        <v>2021</v>
      </c>
      <c r="Q30" s="43">
        <v>2681</v>
      </c>
      <c r="R30" s="44">
        <v>30438.4925</v>
      </c>
      <c r="S30" s="44">
        <v>75888781.289999992</v>
      </c>
      <c r="T30" s="61">
        <v>14428220.560000001</v>
      </c>
    </row>
    <row r="31" spans="1:20" x14ac:dyDescent="0.15">
      <c r="A31" s="12"/>
      <c r="B31" s="13" t="s">
        <v>174</v>
      </c>
      <c r="C31" s="14" t="s">
        <v>79</v>
      </c>
      <c r="D31" s="15" t="s">
        <v>53</v>
      </c>
      <c r="E31" s="15" t="s">
        <v>264</v>
      </c>
      <c r="F31" s="16">
        <v>662</v>
      </c>
      <c r="G31" s="17">
        <v>31310.98</v>
      </c>
      <c r="H31" s="19">
        <v>6516.4</v>
      </c>
      <c r="I31" s="17">
        <v>20727868.760000002</v>
      </c>
      <c r="J31" s="15" t="s">
        <v>17</v>
      </c>
      <c r="K31" s="15" t="s">
        <v>18</v>
      </c>
      <c r="L31" s="9">
        <f>YEAR(E31)</f>
        <v>2020</v>
      </c>
      <c r="M31">
        <f t="shared" si="0"/>
        <v>4313856.8</v>
      </c>
      <c r="P31" s="63">
        <v>2022</v>
      </c>
      <c r="Q31" s="43">
        <v>5135</v>
      </c>
      <c r="R31" s="44">
        <v>22397.95888888889</v>
      </c>
      <c r="S31" s="44">
        <v>119648151.17</v>
      </c>
      <c r="T31" s="61">
        <v>33962380.839999996</v>
      </c>
    </row>
    <row r="32" spans="1:20" x14ac:dyDescent="0.15">
      <c r="A32" s="12"/>
      <c r="B32" s="13" t="s">
        <v>174</v>
      </c>
      <c r="C32" s="14" t="s">
        <v>43</v>
      </c>
      <c r="D32" s="15" t="s">
        <v>89</v>
      </c>
      <c r="E32" s="15" t="s">
        <v>272</v>
      </c>
      <c r="F32" s="16">
        <v>192</v>
      </c>
      <c r="G32" s="17">
        <v>38775.730000000003</v>
      </c>
      <c r="H32" s="17">
        <v>5076.82</v>
      </c>
      <c r="I32" s="17">
        <v>7444940.1600000001</v>
      </c>
      <c r="J32" s="15" t="s">
        <v>17</v>
      </c>
      <c r="K32" s="15" t="s">
        <v>18</v>
      </c>
      <c r="L32" s="9">
        <f>YEAR(E32)</f>
        <v>2020</v>
      </c>
      <c r="M32">
        <f t="shared" si="0"/>
        <v>974749.44</v>
      </c>
      <c r="P32" s="63">
        <v>2023</v>
      </c>
      <c r="Q32" s="43">
        <v>1994</v>
      </c>
      <c r="R32" s="44">
        <v>22928.056666666671</v>
      </c>
      <c r="S32" s="44">
        <v>46317883.390000001</v>
      </c>
      <c r="T32" s="61">
        <v>14442822.82</v>
      </c>
    </row>
    <row r="33" spans="1:20" ht="14" x14ac:dyDescent="0.15">
      <c r="A33" s="12"/>
      <c r="B33" s="13" t="s">
        <v>174</v>
      </c>
      <c r="C33" s="14" t="s">
        <v>38</v>
      </c>
      <c r="D33" s="15" t="s">
        <v>89</v>
      </c>
      <c r="E33" s="15" t="s">
        <v>273</v>
      </c>
      <c r="F33" s="16">
        <v>825</v>
      </c>
      <c r="G33" s="17">
        <v>44058.73</v>
      </c>
      <c r="H33" s="17">
        <v>4559.3900000000003</v>
      </c>
      <c r="I33" s="17">
        <v>36348452.25</v>
      </c>
      <c r="J33" s="15" t="s">
        <v>28</v>
      </c>
      <c r="K33" s="15" t="s">
        <v>18</v>
      </c>
      <c r="L33" s="9">
        <f>YEAR(E33)</f>
        <v>2020</v>
      </c>
      <c r="M33">
        <f t="shared" si="0"/>
        <v>3761496.7500000005</v>
      </c>
      <c r="P33" s="76" t="s">
        <v>107</v>
      </c>
      <c r="Q33" s="77">
        <v>4577</v>
      </c>
      <c r="R33" s="78">
        <v>42942.555555555555</v>
      </c>
      <c r="S33" s="78">
        <v>200574734.52000001</v>
      </c>
      <c r="T33" s="79">
        <v>33384443.189999998</v>
      </c>
    </row>
    <row r="34" spans="1:20" x14ac:dyDescent="0.15">
      <c r="A34" s="12"/>
      <c r="B34" s="13" t="s">
        <v>174</v>
      </c>
      <c r="C34" s="14" t="s">
        <v>35</v>
      </c>
      <c r="D34" s="15" t="s">
        <v>89</v>
      </c>
      <c r="E34" s="15" t="s">
        <v>274</v>
      </c>
      <c r="F34" s="16">
        <v>748</v>
      </c>
      <c r="G34" s="17">
        <v>25682.21</v>
      </c>
      <c r="H34" s="17">
        <v>9748.1200000000008</v>
      </c>
      <c r="I34" s="17">
        <v>19210293.079999998</v>
      </c>
      <c r="J34" s="15" t="s">
        <v>17</v>
      </c>
      <c r="K34" s="15" t="s">
        <v>18</v>
      </c>
      <c r="L34" s="9">
        <f>YEAR(E34)</f>
        <v>2020</v>
      </c>
      <c r="M34">
        <f t="shared" si="0"/>
        <v>7291593.7600000007</v>
      </c>
      <c r="P34" s="63">
        <v>2020</v>
      </c>
      <c r="Q34" s="43">
        <v>1300</v>
      </c>
      <c r="R34" s="44">
        <v>47056.539999999994</v>
      </c>
      <c r="S34" s="44">
        <v>59983179.300000004</v>
      </c>
      <c r="T34" s="61">
        <v>9353066.25</v>
      </c>
    </row>
    <row r="35" spans="1:20" x14ac:dyDescent="0.15">
      <c r="A35" s="12"/>
      <c r="B35" s="13" t="s">
        <v>174</v>
      </c>
      <c r="C35" s="14" t="s">
        <v>79</v>
      </c>
      <c r="D35" s="15" t="s">
        <v>114</v>
      </c>
      <c r="E35" s="15" t="s">
        <v>128</v>
      </c>
      <c r="F35" s="16">
        <v>584</v>
      </c>
      <c r="G35" s="17">
        <v>44793.37</v>
      </c>
      <c r="H35" s="17">
        <v>7045.51</v>
      </c>
      <c r="I35" s="17">
        <v>26159328.079999998</v>
      </c>
      <c r="J35" s="15" t="s">
        <v>17</v>
      </c>
      <c r="K35" s="15" t="s">
        <v>18</v>
      </c>
      <c r="L35" s="9">
        <f>YEAR(E35)</f>
        <v>2021</v>
      </c>
      <c r="M35">
        <f t="shared" si="0"/>
        <v>4114577.8400000003</v>
      </c>
      <c r="P35" s="63">
        <v>2021</v>
      </c>
      <c r="Q35" s="43">
        <v>1230</v>
      </c>
      <c r="R35" s="44">
        <v>36221.604999999996</v>
      </c>
      <c r="S35" s="44">
        <v>49477351.949999996</v>
      </c>
      <c r="T35" s="61">
        <v>9331131.0300000012</v>
      </c>
    </row>
    <row r="36" spans="1:20" x14ac:dyDescent="0.15">
      <c r="A36" s="12"/>
      <c r="B36" s="13" t="s">
        <v>174</v>
      </c>
      <c r="C36" s="14" t="s">
        <v>38</v>
      </c>
      <c r="D36" s="15" t="s">
        <v>114</v>
      </c>
      <c r="E36" s="15" t="s">
        <v>181</v>
      </c>
      <c r="F36" s="16">
        <v>634</v>
      </c>
      <c r="G36" s="17">
        <v>20602.990000000002</v>
      </c>
      <c r="H36" s="17">
        <v>5428.66</v>
      </c>
      <c r="I36" s="17">
        <v>13062295.66</v>
      </c>
      <c r="J36" s="15" t="s">
        <v>30</v>
      </c>
      <c r="K36" s="15" t="s">
        <v>18</v>
      </c>
      <c r="L36" s="9">
        <f>YEAR(E36)</f>
        <v>2021</v>
      </c>
      <c r="M36">
        <f t="shared" si="0"/>
        <v>3441770.44</v>
      </c>
      <c r="P36" s="63">
        <v>2022</v>
      </c>
      <c r="Q36" s="43">
        <v>778</v>
      </c>
      <c r="R36" s="44">
        <v>49985.86</v>
      </c>
      <c r="S36" s="44">
        <v>38888999.079999998</v>
      </c>
      <c r="T36" s="61">
        <v>6547204.54</v>
      </c>
    </row>
    <row r="37" spans="1:20" x14ac:dyDescent="0.15">
      <c r="A37" s="12"/>
      <c r="B37" s="13" t="s">
        <v>174</v>
      </c>
      <c r="C37" s="14" t="s">
        <v>25</v>
      </c>
      <c r="D37" s="15" t="s">
        <v>26</v>
      </c>
      <c r="E37" s="15" t="s">
        <v>181</v>
      </c>
      <c r="F37" s="16">
        <v>275</v>
      </c>
      <c r="G37" s="17">
        <v>21247.69</v>
      </c>
      <c r="H37" s="17">
        <v>5273.59</v>
      </c>
      <c r="I37" s="17">
        <v>5843114.75</v>
      </c>
      <c r="J37" s="15" t="s">
        <v>17</v>
      </c>
      <c r="K37" s="15" t="s">
        <v>18</v>
      </c>
      <c r="L37" s="9">
        <f>YEAR(E37)</f>
        <v>2021</v>
      </c>
      <c r="M37">
        <f t="shared" si="0"/>
        <v>1450237.25</v>
      </c>
      <c r="P37" s="63">
        <v>2023</v>
      </c>
      <c r="Q37" s="43">
        <v>1269</v>
      </c>
      <c r="R37" s="44">
        <v>42485.212500000001</v>
      </c>
      <c r="S37" s="44">
        <v>52225204.189999998</v>
      </c>
      <c r="T37" s="61">
        <v>8153041.3699999992</v>
      </c>
    </row>
    <row r="38" spans="1:20" ht="14" customHeight="1" x14ac:dyDescent="0.15">
      <c r="A38" s="12"/>
      <c r="B38" s="13" t="s">
        <v>174</v>
      </c>
      <c r="C38" s="14" t="s">
        <v>31</v>
      </c>
      <c r="D38" s="15" t="s">
        <v>114</v>
      </c>
      <c r="E38" s="15" t="s">
        <v>187</v>
      </c>
      <c r="F38" s="16">
        <v>601</v>
      </c>
      <c r="G38" s="17">
        <v>45644.07</v>
      </c>
      <c r="H38" s="17">
        <v>4474.6400000000003</v>
      </c>
      <c r="I38" s="17">
        <v>27432086.07</v>
      </c>
      <c r="J38" s="15" t="s">
        <v>28</v>
      </c>
      <c r="K38" s="15" t="s">
        <v>18</v>
      </c>
      <c r="L38" s="9">
        <f>YEAR(E38)</f>
        <v>2021</v>
      </c>
      <c r="M38">
        <f t="shared" si="0"/>
        <v>2689258.64</v>
      </c>
      <c r="P38" s="80" t="s">
        <v>15</v>
      </c>
      <c r="Q38" s="81">
        <v>4229</v>
      </c>
      <c r="R38" s="82">
        <v>28938.215000000004</v>
      </c>
      <c r="S38" s="82">
        <v>129711067.30000001</v>
      </c>
      <c r="T38" s="83">
        <v>19348988.380000003</v>
      </c>
    </row>
    <row r="39" spans="1:20" ht="14" x14ac:dyDescent="0.15">
      <c r="A39" s="12"/>
      <c r="B39" s="13" t="s">
        <v>174</v>
      </c>
      <c r="C39" s="14" t="s">
        <v>19</v>
      </c>
      <c r="D39" s="15" t="s">
        <v>114</v>
      </c>
      <c r="E39" s="15" t="s">
        <v>188</v>
      </c>
      <c r="F39" s="16">
        <v>862</v>
      </c>
      <c r="G39" s="17">
        <v>10713.54</v>
      </c>
      <c r="H39" s="17">
        <v>4852.22</v>
      </c>
      <c r="I39" s="17">
        <v>9235071.4800000004</v>
      </c>
      <c r="J39" s="15" t="s">
        <v>17</v>
      </c>
      <c r="K39" s="15" t="s">
        <v>18</v>
      </c>
      <c r="L39" s="9">
        <f>YEAR(E39)</f>
        <v>2021</v>
      </c>
      <c r="M39">
        <f t="shared" si="0"/>
        <v>4182613.64</v>
      </c>
      <c r="P39" s="80" t="s">
        <v>139</v>
      </c>
      <c r="Q39" s="81">
        <v>6236</v>
      </c>
      <c r="R39" s="82">
        <v>28141.125555555554</v>
      </c>
      <c r="S39" s="82">
        <v>186095768.46000001</v>
      </c>
      <c r="T39" s="83">
        <v>31756274.879999999</v>
      </c>
    </row>
    <row r="40" spans="1:20" x14ac:dyDescent="0.15">
      <c r="A40" s="12"/>
      <c r="B40" s="13" t="s">
        <v>174</v>
      </c>
      <c r="C40" s="14" t="s">
        <v>19</v>
      </c>
      <c r="D40" s="15" t="s">
        <v>139</v>
      </c>
      <c r="E40" s="15" t="s">
        <v>194</v>
      </c>
      <c r="F40" s="16">
        <v>881</v>
      </c>
      <c r="G40" s="17">
        <v>47757.87</v>
      </c>
      <c r="H40" s="17">
        <v>6806.86</v>
      </c>
      <c r="I40" s="17">
        <v>42074683.469999999</v>
      </c>
      <c r="J40" s="15" t="s">
        <v>22</v>
      </c>
      <c r="K40" s="15" t="s">
        <v>18</v>
      </c>
      <c r="L40" s="9">
        <f>YEAR(E40)</f>
        <v>2021</v>
      </c>
      <c r="M40">
        <f t="shared" si="0"/>
        <v>5996843.6600000001</v>
      </c>
      <c r="P40" s="63">
        <v>2020</v>
      </c>
      <c r="Q40" s="43">
        <v>1529</v>
      </c>
      <c r="R40" s="44">
        <v>20139.224999999999</v>
      </c>
      <c r="S40" s="44">
        <v>34565119.399999999</v>
      </c>
      <c r="T40" s="61">
        <v>9045380.7699999996</v>
      </c>
    </row>
    <row r="41" spans="1:20" x14ac:dyDescent="0.15">
      <c r="A41" s="12"/>
      <c r="B41" s="13" t="s">
        <v>174</v>
      </c>
      <c r="C41" s="14" t="s">
        <v>14</v>
      </c>
      <c r="D41" s="15" t="s">
        <v>139</v>
      </c>
      <c r="E41" s="15" t="s">
        <v>196</v>
      </c>
      <c r="F41" s="16">
        <v>364</v>
      </c>
      <c r="G41" s="17">
        <v>20676.03</v>
      </c>
      <c r="H41" s="17">
        <v>6076.57</v>
      </c>
      <c r="I41" s="17">
        <v>7526074.9199999999</v>
      </c>
      <c r="J41" s="15" t="s">
        <v>17</v>
      </c>
      <c r="K41" s="15" t="s">
        <v>18</v>
      </c>
      <c r="L41" s="9">
        <f>YEAR(E41)</f>
        <v>2021</v>
      </c>
      <c r="M41">
        <f t="shared" si="0"/>
        <v>2211871.48</v>
      </c>
      <c r="P41" s="63">
        <v>2021</v>
      </c>
      <c r="Q41" s="43">
        <v>1245</v>
      </c>
      <c r="R41" s="44">
        <v>34216.949999999997</v>
      </c>
      <c r="S41" s="44">
        <v>49600758.390000001</v>
      </c>
      <c r="T41" s="61">
        <v>8208715.1400000006</v>
      </c>
    </row>
    <row r="42" spans="1:20" x14ac:dyDescent="0.15">
      <c r="A42" s="12"/>
      <c r="B42" s="13" t="s">
        <v>174</v>
      </c>
      <c r="C42" s="14" t="s">
        <v>31</v>
      </c>
      <c r="D42" s="15" t="s">
        <v>26</v>
      </c>
      <c r="E42" s="15" t="s">
        <v>205</v>
      </c>
      <c r="F42" s="16">
        <v>641</v>
      </c>
      <c r="G42" s="17">
        <v>22151.23</v>
      </c>
      <c r="H42" s="17">
        <v>9884.51</v>
      </c>
      <c r="I42" s="17">
        <v>14198938.43</v>
      </c>
      <c r="J42" s="15" t="s">
        <v>22</v>
      </c>
      <c r="K42" s="15" t="s">
        <v>18</v>
      </c>
      <c r="L42" s="9">
        <f>YEAR(E42)</f>
        <v>2021</v>
      </c>
      <c r="M42">
        <f t="shared" si="0"/>
        <v>6335970.9100000001</v>
      </c>
      <c r="P42" s="63">
        <v>2022</v>
      </c>
      <c r="Q42" s="43">
        <v>261</v>
      </c>
      <c r="R42" s="44">
        <v>18757.63</v>
      </c>
      <c r="S42" s="44">
        <v>4895741.43</v>
      </c>
      <c r="T42" s="61">
        <v>526457.88</v>
      </c>
    </row>
    <row r="43" spans="1:20" x14ac:dyDescent="0.15">
      <c r="A43" s="12"/>
      <c r="B43" s="13" t="s">
        <v>174</v>
      </c>
      <c r="C43" s="14" t="s">
        <v>19</v>
      </c>
      <c r="D43" s="15" t="s">
        <v>26</v>
      </c>
      <c r="E43" s="15" t="s">
        <v>207</v>
      </c>
      <c r="F43" s="16">
        <v>155</v>
      </c>
      <c r="G43" s="17">
        <v>19830.810000000001</v>
      </c>
      <c r="H43" s="17">
        <v>9336.83</v>
      </c>
      <c r="I43" s="17">
        <v>3073775.55</v>
      </c>
      <c r="J43" s="15" t="s">
        <v>17</v>
      </c>
      <c r="K43" s="15" t="s">
        <v>18</v>
      </c>
      <c r="L43" s="9">
        <f>YEAR(E43)</f>
        <v>2021</v>
      </c>
      <c r="M43">
        <f t="shared" si="0"/>
        <v>1447208.65</v>
      </c>
      <c r="P43" s="63">
        <v>2023</v>
      </c>
      <c r="Q43" s="43">
        <v>3201</v>
      </c>
      <c r="R43" s="44">
        <v>31450.037499999999</v>
      </c>
      <c r="S43" s="44">
        <v>97034149.239999995</v>
      </c>
      <c r="T43" s="61">
        <v>13975721.09</v>
      </c>
    </row>
    <row r="44" spans="1:20" ht="14" x14ac:dyDescent="0.15">
      <c r="A44" s="12"/>
      <c r="B44" s="13" t="s">
        <v>174</v>
      </c>
      <c r="C44" s="14" t="s">
        <v>14</v>
      </c>
      <c r="D44" s="15" t="s">
        <v>26</v>
      </c>
      <c r="E44" s="15" t="s">
        <v>208</v>
      </c>
      <c r="F44" s="16">
        <v>541</v>
      </c>
      <c r="G44" s="17">
        <v>49593.68</v>
      </c>
      <c r="H44" s="17">
        <v>5788.97</v>
      </c>
      <c r="I44" s="17">
        <v>26830180.879999999</v>
      </c>
      <c r="J44" s="15" t="s">
        <v>17</v>
      </c>
      <c r="K44" s="15" t="s">
        <v>18</v>
      </c>
      <c r="L44" s="9">
        <f>YEAR(E44)</f>
        <v>2021</v>
      </c>
      <c r="M44">
        <f t="shared" si="0"/>
        <v>3131832.77</v>
      </c>
      <c r="P44" s="80" t="s">
        <v>53</v>
      </c>
      <c r="Q44" s="81">
        <v>3755</v>
      </c>
      <c r="R44" s="82">
        <v>30153.795714285716</v>
      </c>
      <c r="S44" s="82">
        <v>120301656.31999999</v>
      </c>
      <c r="T44" s="83">
        <v>25117003.640000001</v>
      </c>
    </row>
    <row r="45" spans="1:20" ht="14" customHeight="1" x14ac:dyDescent="0.15">
      <c r="A45" s="12"/>
      <c r="B45" s="13" t="s">
        <v>174</v>
      </c>
      <c r="C45" s="14" t="s">
        <v>19</v>
      </c>
      <c r="D45" s="15" t="s">
        <v>70</v>
      </c>
      <c r="E45" s="15" t="s">
        <v>208</v>
      </c>
      <c r="F45" s="16">
        <v>960</v>
      </c>
      <c r="G45" s="17">
        <v>42119.76</v>
      </c>
      <c r="H45" s="17">
        <v>7291.26</v>
      </c>
      <c r="I45" s="19">
        <v>40434969.600000001</v>
      </c>
      <c r="J45" s="15" t="s">
        <v>17</v>
      </c>
      <c r="K45" s="15" t="s">
        <v>18</v>
      </c>
      <c r="L45" s="9">
        <f>YEAR(E45)</f>
        <v>2021</v>
      </c>
      <c r="M45">
        <f t="shared" si="0"/>
        <v>6999609.6000000006</v>
      </c>
      <c r="P45" s="80" t="s">
        <v>153</v>
      </c>
      <c r="Q45" s="81">
        <v>6866</v>
      </c>
      <c r="R45" s="82">
        <v>31259.617857142857</v>
      </c>
      <c r="S45" s="82">
        <v>224475855.82000002</v>
      </c>
      <c r="T45" s="83">
        <v>42571514.100000001</v>
      </c>
    </row>
    <row r="46" spans="1:20" ht="14" x14ac:dyDescent="0.15">
      <c r="A46" s="12"/>
      <c r="B46" s="13" t="s">
        <v>174</v>
      </c>
      <c r="C46" s="14" t="s">
        <v>35</v>
      </c>
      <c r="D46" s="15" t="s">
        <v>26</v>
      </c>
      <c r="E46" s="15" t="s">
        <v>210</v>
      </c>
      <c r="F46" s="16">
        <v>501</v>
      </c>
      <c r="G46" s="17">
        <v>39715.39</v>
      </c>
      <c r="H46" s="17">
        <v>6170.93</v>
      </c>
      <c r="I46" s="17">
        <v>19897410.390000001</v>
      </c>
      <c r="J46" s="15" t="s">
        <v>30</v>
      </c>
      <c r="K46" s="15" t="s">
        <v>18</v>
      </c>
      <c r="L46" s="9">
        <f>YEAR(E46)</f>
        <v>2021</v>
      </c>
      <c r="M46">
        <f t="shared" si="0"/>
        <v>3091635.93</v>
      </c>
      <c r="P46" s="46" t="s">
        <v>789</v>
      </c>
      <c r="Q46" s="47">
        <v>64234</v>
      </c>
      <c r="R46" s="48">
        <v>28566.641833333331</v>
      </c>
      <c r="S46" s="48">
        <v>1913308279.3899999</v>
      </c>
      <c r="T46" s="62">
        <v>416503461.0400002</v>
      </c>
    </row>
    <row r="47" spans="1:20" x14ac:dyDescent="0.15">
      <c r="A47" s="12"/>
      <c r="B47" s="13" t="s">
        <v>174</v>
      </c>
      <c r="C47" s="14" t="s">
        <v>19</v>
      </c>
      <c r="D47" s="15" t="s">
        <v>15</v>
      </c>
      <c r="E47" s="15" t="s">
        <v>67</v>
      </c>
      <c r="F47" s="16">
        <v>184</v>
      </c>
      <c r="G47" s="17">
        <v>11548.45</v>
      </c>
      <c r="H47" s="17">
        <v>4562.51</v>
      </c>
      <c r="I47" s="19">
        <v>2124914.7999999998</v>
      </c>
      <c r="J47" s="15" t="s">
        <v>22</v>
      </c>
      <c r="K47" s="15" t="s">
        <v>18</v>
      </c>
      <c r="L47" s="9">
        <f>YEAR(E47)</f>
        <v>2021</v>
      </c>
      <c r="M47">
        <f t="shared" si="0"/>
        <v>839501.84000000008</v>
      </c>
    </row>
    <row r="48" spans="1:20" x14ac:dyDescent="0.15">
      <c r="A48" s="12"/>
      <c r="B48" s="13" t="s">
        <v>174</v>
      </c>
      <c r="C48" s="14" t="s">
        <v>19</v>
      </c>
      <c r="D48" s="15" t="s">
        <v>70</v>
      </c>
      <c r="E48" s="15" t="s">
        <v>225</v>
      </c>
      <c r="F48" s="16">
        <v>766</v>
      </c>
      <c r="G48" s="17">
        <v>13513.38</v>
      </c>
      <c r="H48" s="16">
        <v>4155</v>
      </c>
      <c r="I48" s="17">
        <v>10351249.08</v>
      </c>
      <c r="J48" s="15" t="s">
        <v>17</v>
      </c>
      <c r="K48" s="15" t="s">
        <v>18</v>
      </c>
      <c r="L48" s="9">
        <f>YEAR(E48)</f>
        <v>2021</v>
      </c>
      <c r="M48">
        <f t="shared" si="0"/>
        <v>3182730</v>
      </c>
    </row>
    <row r="49" spans="1:13" x14ac:dyDescent="0.15">
      <c r="A49" s="12"/>
      <c r="B49" s="13" t="s">
        <v>174</v>
      </c>
      <c r="C49" s="14" t="s">
        <v>79</v>
      </c>
      <c r="D49" s="15" t="s">
        <v>70</v>
      </c>
      <c r="E49" s="15" t="s">
        <v>230</v>
      </c>
      <c r="F49" s="16">
        <v>493</v>
      </c>
      <c r="G49" s="17">
        <v>26013.72</v>
      </c>
      <c r="H49" s="17">
        <v>5430.98</v>
      </c>
      <c r="I49" s="17">
        <v>12824763.960000001</v>
      </c>
      <c r="J49" s="15" t="s">
        <v>22</v>
      </c>
      <c r="K49" s="15" t="s">
        <v>18</v>
      </c>
      <c r="L49" s="9">
        <f>YEAR(E49)</f>
        <v>2021</v>
      </c>
      <c r="M49">
        <f t="shared" si="0"/>
        <v>2677473.1399999997</v>
      </c>
    </row>
    <row r="50" spans="1:13" x14ac:dyDescent="0.15">
      <c r="A50" s="12"/>
      <c r="B50" s="13" t="s">
        <v>174</v>
      </c>
      <c r="C50" s="14" t="s">
        <v>43</v>
      </c>
      <c r="D50" s="15" t="s">
        <v>107</v>
      </c>
      <c r="E50" s="15" t="s">
        <v>231</v>
      </c>
      <c r="F50" s="16">
        <v>987</v>
      </c>
      <c r="G50" s="17">
        <v>42840.93</v>
      </c>
      <c r="H50" s="17">
        <v>7044.67</v>
      </c>
      <c r="I50" s="17">
        <v>42283997.909999996</v>
      </c>
      <c r="J50" s="15" t="s">
        <v>17</v>
      </c>
      <c r="K50" s="15" t="s">
        <v>18</v>
      </c>
      <c r="L50" s="9">
        <f>YEAR(E50)</f>
        <v>2021</v>
      </c>
      <c r="M50">
        <f t="shared" si="0"/>
        <v>6953089.29</v>
      </c>
    </row>
    <row r="51" spans="1:13" x14ac:dyDescent="0.15">
      <c r="A51" s="12"/>
      <c r="B51" s="13" t="s">
        <v>174</v>
      </c>
      <c r="C51" s="14" t="s">
        <v>79</v>
      </c>
      <c r="D51" s="15" t="s">
        <v>107</v>
      </c>
      <c r="E51" s="15" t="s">
        <v>234</v>
      </c>
      <c r="F51" s="16">
        <v>243</v>
      </c>
      <c r="G51" s="17">
        <v>29602.28</v>
      </c>
      <c r="H51" s="17">
        <v>9786.18</v>
      </c>
      <c r="I51" s="17">
        <v>7193354.04</v>
      </c>
      <c r="J51" s="15" t="s">
        <v>28</v>
      </c>
      <c r="K51" s="15" t="s">
        <v>18</v>
      </c>
      <c r="L51" s="9">
        <f>YEAR(E51)</f>
        <v>2021</v>
      </c>
      <c r="M51">
        <f t="shared" si="0"/>
        <v>2378041.7400000002</v>
      </c>
    </row>
    <row r="52" spans="1:13" x14ac:dyDescent="0.15">
      <c r="A52" s="12"/>
      <c r="B52" s="13" t="s">
        <v>174</v>
      </c>
      <c r="C52" s="14" t="s">
        <v>35</v>
      </c>
      <c r="D52" s="15" t="s">
        <v>153</v>
      </c>
      <c r="E52" s="15" t="s">
        <v>241</v>
      </c>
      <c r="F52" s="16">
        <v>304</v>
      </c>
      <c r="G52" s="17">
        <v>40982.46</v>
      </c>
      <c r="H52" s="17">
        <v>9884.64</v>
      </c>
      <c r="I52" s="17">
        <v>12458667.84</v>
      </c>
      <c r="J52" s="15" t="s">
        <v>17</v>
      </c>
      <c r="K52" s="15" t="s">
        <v>18</v>
      </c>
      <c r="L52" s="9">
        <f>YEAR(E52)</f>
        <v>2021</v>
      </c>
      <c r="M52">
        <f t="shared" si="0"/>
        <v>3004930.5599999996</v>
      </c>
    </row>
    <row r="53" spans="1:13" x14ac:dyDescent="0.15">
      <c r="A53" s="12"/>
      <c r="B53" s="13" t="s">
        <v>174</v>
      </c>
      <c r="C53" s="14" t="s">
        <v>23</v>
      </c>
      <c r="D53" s="15" t="s">
        <v>153</v>
      </c>
      <c r="E53" s="15" t="s">
        <v>242</v>
      </c>
      <c r="F53" s="16">
        <v>347</v>
      </c>
      <c r="G53" s="17">
        <v>42921.85</v>
      </c>
      <c r="H53" s="17">
        <v>8708.69</v>
      </c>
      <c r="I53" s="17">
        <v>14893881.949999999</v>
      </c>
      <c r="J53" s="15" t="s">
        <v>28</v>
      </c>
      <c r="K53" s="15" t="s">
        <v>18</v>
      </c>
      <c r="L53" s="9">
        <f>YEAR(E53)</f>
        <v>2021</v>
      </c>
      <c r="M53">
        <f t="shared" si="0"/>
        <v>3021915.43</v>
      </c>
    </row>
    <row r="54" spans="1:13" x14ac:dyDescent="0.15">
      <c r="A54" s="12"/>
      <c r="B54" s="13" t="s">
        <v>174</v>
      </c>
      <c r="C54" s="14" t="s">
        <v>19</v>
      </c>
      <c r="D54" s="15" t="s">
        <v>153</v>
      </c>
      <c r="E54" s="15" t="s">
        <v>243</v>
      </c>
      <c r="F54" s="16">
        <v>506</v>
      </c>
      <c r="G54" s="19">
        <v>37983.199999999997</v>
      </c>
      <c r="H54" s="17">
        <v>5305.54</v>
      </c>
      <c r="I54" s="19">
        <v>19219499.199999999</v>
      </c>
      <c r="J54" s="15" t="s">
        <v>30</v>
      </c>
      <c r="K54" s="15" t="s">
        <v>18</v>
      </c>
      <c r="L54" s="9">
        <f>YEAR(E54)</f>
        <v>2021</v>
      </c>
      <c r="M54">
        <f t="shared" si="0"/>
        <v>2684603.2399999998</v>
      </c>
    </row>
    <row r="55" spans="1:13" x14ac:dyDescent="0.15">
      <c r="A55" s="12"/>
      <c r="B55" s="13" t="s">
        <v>174</v>
      </c>
      <c r="C55" s="14" t="s">
        <v>31</v>
      </c>
      <c r="D55" s="15" t="s">
        <v>153</v>
      </c>
      <c r="E55" s="15" t="s">
        <v>244</v>
      </c>
      <c r="F55" s="16">
        <v>182</v>
      </c>
      <c r="G55" s="17">
        <v>11360.04</v>
      </c>
      <c r="H55" s="17">
        <v>3424.28</v>
      </c>
      <c r="I55" s="17">
        <v>2067527.28</v>
      </c>
      <c r="J55" s="15" t="s">
        <v>30</v>
      </c>
      <c r="K55" s="15" t="s">
        <v>18</v>
      </c>
      <c r="L55" s="9">
        <f>YEAR(E55)</f>
        <v>2021</v>
      </c>
      <c r="M55">
        <f t="shared" si="0"/>
        <v>623218.96000000008</v>
      </c>
    </row>
    <row r="56" spans="1:13" x14ac:dyDescent="0.15">
      <c r="A56" s="12"/>
      <c r="B56" s="13" t="s">
        <v>174</v>
      </c>
      <c r="C56" s="14" t="s">
        <v>79</v>
      </c>
      <c r="D56" s="15" t="s">
        <v>68</v>
      </c>
      <c r="E56" s="15" t="s">
        <v>255</v>
      </c>
      <c r="F56" s="16">
        <v>928</v>
      </c>
      <c r="G56" s="17">
        <v>38172.49</v>
      </c>
      <c r="H56" s="17">
        <v>7185.46</v>
      </c>
      <c r="I56" s="17">
        <v>35424070.719999999</v>
      </c>
      <c r="J56" s="15" t="s">
        <v>17</v>
      </c>
      <c r="K56" s="15" t="s">
        <v>18</v>
      </c>
      <c r="L56" s="9">
        <f>YEAR(E56)</f>
        <v>2021</v>
      </c>
      <c r="M56">
        <f t="shared" si="0"/>
        <v>6668106.8799999999</v>
      </c>
    </row>
    <row r="57" spans="1:13" x14ac:dyDescent="0.15">
      <c r="A57" s="12"/>
      <c r="B57" s="13" t="s">
        <v>174</v>
      </c>
      <c r="C57" s="14" t="s">
        <v>23</v>
      </c>
      <c r="D57" s="15" t="s">
        <v>68</v>
      </c>
      <c r="E57" s="15" t="s">
        <v>256</v>
      </c>
      <c r="F57" s="16">
        <v>377</v>
      </c>
      <c r="G57" s="17">
        <v>38436.410000000003</v>
      </c>
      <c r="H57" s="17">
        <v>7116.02</v>
      </c>
      <c r="I57" s="17">
        <v>14490526.57</v>
      </c>
      <c r="J57" s="15" t="s">
        <v>17</v>
      </c>
      <c r="K57" s="15" t="s">
        <v>18</v>
      </c>
      <c r="L57" s="9">
        <f>YEAR(E57)</f>
        <v>2021</v>
      </c>
      <c r="M57">
        <f t="shared" si="0"/>
        <v>2682739.54</v>
      </c>
    </row>
    <row r="58" spans="1:13" x14ac:dyDescent="0.15">
      <c r="A58" s="12"/>
      <c r="B58" s="13" t="s">
        <v>174</v>
      </c>
      <c r="C58" s="14" t="s">
        <v>35</v>
      </c>
      <c r="D58" s="15" t="s">
        <v>53</v>
      </c>
      <c r="E58" s="15" t="s">
        <v>267</v>
      </c>
      <c r="F58" s="16">
        <v>194</v>
      </c>
      <c r="G58" s="17">
        <v>13561.52</v>
      </c>
      <c r="H58" s="17">
        <v>9366.61</v>
      </c>
      <c r="I58" s="17">
        <v>2630934.88</v>
      </c>
      <c r="J58" s="15" t="s">
        <v>30</v>
      </c>
      <c r="K58" s="15" t="s">
        <v>18</v>
      </c>
      <c r="L58" s="9">
        <f>YEAR(E58)</f>
        <v>2021</v>
      </c>
      <c r="M58">
        <f t="shared" si="0"/>
        <v>1817122.34</v>
      </c>
    </row>
    <row r="59" spans="1:13" x14ac:dyDescent="0.15">
      <c r="A59" s="12"/>
      <c r="B59" s="13" t="s">
        <v>174</v>
      </c>
      <c r="C59" s="14" t="s">
        <v>35</v>
      </c>
      <c r="D59" s="15" t="s">
        <v>89</v>
      </c>
      <c r="E59" s="15" t="s">
        <v>268</v>
      </c>
      <c r="F59" s="16">
        <v>375</v>
      </c>
      <c r="G59" s="17">
        <v>14459.63</v>
      </c>
      <c r="H59" s="17">
        <v>7873.61</v>
      </c>
      <c r="I59" s="17">
        <v>5422361.25</v>
      </c>
      <c r="J59" s="15" t="s">
        <v>17</v>
      </c>
      <c r="K59" s="15" t="s">
        <v>18</v>
      </c>
      <c r="L59" s="9">
        <f>YEAR(E59)</f>
        <v>2021</v>
      </c>
      <c r="M59">
        <f t="shared" si="0"/>
        <v>2952603.75</v>
      </c>
    </row>
    <row r="60" spans="1:13" x14ac:dyDescent="0.15">
      <c r="A60" s="12"/>
      <c r="B60" s="13" t="s">
        <v>174</v>
      </c>
      <c r="C60" s="14" t="s">
        <v>19</v>
      </c>
      <c r="D60" s="15" t="s">
        <v>89</v>
      </c>
      <c r="E60" s="15" t="s">
        <v>145</v>
      </c>
      <c r="F60" s="16">
        <v>793</v>
      </c>
      <c r="G60" s="17">
        <v>45126.35</v>
      </c>
      <c r="H60" s="17">
        <v>5472.16</v>
      </c>
      <c r="I60" s="17">
        <v>35785195.549999997</v>
      </c>
      <c r="J60" s="15" t="s">
        <v>17</v>
      </c>
      <c r="K60" s="15" t="s">
        <v>18</v>
      </c>
      <c r="L60" s="9">
        <f>YEAR(E60)</f>
        <v>2021</v>
      </c>
      <c r="M60">
        <f t="shared" si="0"/>
        <v>4339422.88</v>
      </c>
    </row>
    <row r="61" spans="1:13" x14ac:dyDescent="0.15">
      <c r="A61" s="12"/>
      <c r="B61" s="13" t="s">
        <v>174</v>
      </c>
      <c r="C61" s="14" t="s">
        <v>19</v>
      </c>
      <c r="D61" s="15" t="s">
        <v>89</v>
      </c>
      <c r="E61" s="15" t="s">
        <v>270</v>
      </c>
      <c r="F61" s="16">
        <v>884</v>
      </c>
      <c r="G61" s="17">
        <v>34327.58</v>
      </c>
      <c r="H61" s="17">
        <v>7035.55</v>
      </c>
      <c r="I61" s="17">
        <v>30345580.719999999</v>
      </c>
      <c r="J61" s="15" t="s">
        <v>17</v>
      </c>
      <c r="K61" s="15" t="s">
        <v>18</v>
      </c>
      <c r="L61" s="9">
        <f>YEAR(E61)</f>
        <v>2021</v>
      </c>
      <c r="M61">
        <f t="shared" si="0"/>
        <v>6219426.2000000002</v>
      </c>
    </row>
    <row r="62" spans="1:13" x14ac:dyDescent="0.15">
      <c r="A62" s="12"/>
      <c r="B62" s="13" t="s">
        <v>174</v>
      </c>
      <c r="C62" s="14" t="s">
        <v>25</v>
      </c>
      <c r="D62" s="15" t="s">
        <v>89</v>
      </c>
      <c r="E62" s="15" t="s">
        <v>275</v>
      </c>
      <c r="F62" s="16">
        <v>394</v>
      </c>
      <c r="G62" s="17">
        <v>10137.629999999999</v>
      </c>
      <c r="H62" s="17">
        <v>9407.81</v>
      </c>
      <c r="I62" s="17">
        <v>3994226.22</v>
      </c>
      <c r="J62" s="15" t="s">
        <v>17</v>
      </c>
      <c r="K62" s="15" t="s">
        <v>18</v>
      </c>
      <c r="L62" s="9">
        <f>YEAR(E62)</f>
        <v>2021</v>
      </c>
      <c r="M62">
        <f t="shared" si="0"/>
        <v>3706677.1399999997</v>
      </c>
    </row>
    <row r="63" spans="1:13" x14ac:dyDescent="0.15">
      <c r="A63" s="12"/>
      <c r="B63" s="13" t="s">
        <v>174</v>
      </c>
      <c r="C63" s="14" t="s">
        <v>19</v>
      </c>
      <c r="D63" s="15" t="s">
        <v>89</v>
      </c>
      <c r="E63" s="15" t="s">
        <v>104</v>
      </c>
      <c r="F63" s="16">
        <v>805</v>
      </c>
      <c r="G63" s="17">
        <v>40476.83</v>
      </c>
      <c r="H63" s="17">
        <v>9454.84</v>
      </c>
      <c r="I63" s="17">
        <v>32583848.149999999</v>
      </c>
      <c r="J63" s="15" t="s">
        <v>22</v>
      </c>
      <c r="K63" s="15" t="s">
        <v>18</v>
      </c>
      <c r="L63" s="9">
        <f>YEAR(E63)</f>
        <v>2021</v>
      </c>
      <c r="M63">
        <f t="shared" si="0"/>
        <v>7611146.2000000002</v>
      </c>
    </row>
    <row r="64" spans="1:13" x14ac:dyDescent="0.15">
      <c r="A64" s="12"/>
      <c r="B64" s="13" t="s">
        <v>174</v>
      </c>
      <c r="C64" s="14" t="s">
        <v>19</v>
      </c>
      <c r="D64" s="15" t="s">
        <v>114</v>
      </c>
      <c r="E64" s="15" t="s">
        <v>177</v>
      </c>
      <c r="F64" s="16">
        <v>276</v>
      </c>
      <c r="G64" s="17">
        <v>11216.66</v>
      </c>
      <c r="H64" s="17">
        <v>4708.95</v>
      </c>
      <c r="I64" s="17">
        <v>3095798.16</v>
      </c>
      <c r="J64" s="15" t="s">
        <v>30</v>
      </c>
      <c r="K64" s="15" t="s">
        <v>18</v>
      </c>
      <c r="L64" s="9">
        <f>YEAR(E64)</f>
        <v>2022</v>
      </c>
      <c r="M64">
        <f t="shared" si="0"/>
        <v>1299670.2</v>
      </c>
    </row>
    <row r="65" spans="1:13" x14ac:dyDescent="0.15">
      <c r="A65" s="12"/>
      <c r="B65" s="13" t="s">
        <v>174</v>
      </c>
      <c r="C65" s="14" t="s">
        <v>35</v>
      </c>
      <c r="D65" s="15" t="s">
        <v>114</v>
      </c>
      <c r="E65" s="15" t="s">
        <v>178</v>
      </c>
      <c r="F65" s="16">
        <v>409</v>
      </c>
      <c r="G65" s="17">
        <v>34153.61</v>
      </c>
      <c r="H65" s="17">
        <v>9814.7199999999993</v>
      </c>
      <c r="I65" s="17">
        <v>13968826.49</v>
      </c>
      <c r="J65" s="15" t="s">
        <v>17</v>
      </c>
      <c r="K65" s="15" t="s">
        <v>18</v>
      </c>
      <c r="L65" s="9">
        <f>YEAR(E65)</f>
        <v>2022</v>
      </c>
      <c r="M65">
        <f t="shared" si="0"/>
        <v>4014220.4799999995</v>
      </c>
    </row>
    <row r="66" spans="1:13" x14ac:dyDescent="0.15">
      <c r="A66" s="12"/>
      <c r="B66" s="13" t="s">
        <v>174</v>
      </c>
      <c r="C66" s="14" t="s">
        <v>25</v>
      </c>
      <c r="D66" s="15" t="s">
        <v>114</v>
      </c>
      <c r="E66" s="15" t="s">
        <v>180</v>
      </c>
      <c r="F66" s="16">
        <v>965</v>
      </c>
      <c r="G66" s="16">
        <v>36870</v>
      </c>
      <c r="H66" s="17">
        <v>4666.84</v>
      </c>
      <c r="I66" s="16">
        <v>35579550</v>
      </c>
      <c r="J66" s="15" t="s">
        <v>28</v>
      </c>
      <c r="K66" s="15" t="s">
        <v>18</v>
      </c>
      <c r="L66" s="9">
        <f>YEAR(E66)</f>
        <v>2022</v>
      </c>
      <c r="M66">
        <f t="shared" si="0"/>
        <v>4503500.6000000006</v>
      </c>
    </row>
    <row r="67" spans="1:13" x14ac:dyDescent="0.15">
      <c r="A67" s="12"/>
      <c r="B67" s="13" t="s">
        <v>174</v>
      </c>
      <c r="C67" s="14" t="s">
        <v>14</v>
      </c>
      <c r="D67" s="15" t="s">
        <v>114</v>
      </c>
      <c r="E67" s="15" t="s">
        <v>182</v>
      </c>
      <c r="F67" s="16">
        <v>967</v>
      </c>
      <c r="G67" s="17">
        <v>17287.05</v>
      </c>
      <c r="H67" s="17">
        <v>9822.65</v>
      </c>
      <c r="I67" s="17">
        <v>16716577.35</v>
      </c>
      <c r="J67" s="15" t="s">
        <v>17</v>
      </c>
      <c r="K67" s="15" t="s">
        <v>18</v>
      </c>
      <c r="L67" s="9">
        <f>YEAR(E67)</f>
        <v>2022</v>
      </c>
      <c r="M67">
        <f t="shared" si="0"/>
        <v>9498502.5499999989</v>
      </c>
    </row>
    <row r="68" spans="1:13" x14ac:dyDescent="0.15">
      <c r="A68" s="12"/>
      <c r="B68" s="13" t="s">
        <v>174</v>
      </c>
      <c r="C68" s="14" t="s">
        <v>31</v>
      </c>
      <c r="D68" s="15" t="s">
        <v>114</v>
      </c>
      <c r="E68" s="15" t="s">
        <v>183</v>
      </c>
      <c r="F68" s="16">
        <v>337</v>
      </c>
      <c r="G68" s="17">
        <v>15499.43</v>
      </c>
      <c r="H68" s="17">
        <v>3381.24</v>
      </c>
      <c r="I68" s="17">
        <v>5223307.91</v>
      </c>
      <c r="J68" s="15" t="s">
        <v>17</v>
      </c>
      <c r="K68" s="15" t="s">
        <v>18</v>
      </c>
      <c r="L68" s="9">
        <f>YEAR(E68)</f>
        <v>2022</v>
      </c>
      <c r="M68">
        <f t="shared" ref="M68:M122" si="1">H68*F68</f>
        <v>1139477.8799999999</v>
      </c>
    </row>
    <row r="69" spans="1:13" x14ac:dyDescent="0.15">
      <c r="A69" s="12"/>
      <c r="B69" s="13" t="s">
        <v>174</v>
      </c>
      <c r="C69" s="14" t="s">
        <v>43</v>
      </c>
      <c r="D69" s="15" t="s">
        <v>114</v>
      </c>
      <c r="E69" s="15" t="s">
        <v>184</v>
      </c>
      <c r="F69" s="16">
        <v>907</v>
      </c>
      <c r="G69" s="17">
        <v>17899.88</v>
      </c>
      <c r="H69" s="17">
        <v>6976.49</v>
      </c>
      <c r="I69" s="17">
        <v>16235191.16</v>
      </c>
      <c r="J69" s="15" t="s">
        <v>17</v>
      </c>
      <c r="K69" s="15" t="s">
        <v>18</v>
      </c>
      <c r="L69" s="9">
        <f>YEAR(E69)</f>
        <v>2022</v>
      </c>
      <c r="M69">
        <f t="shared" si="1"/>
        <v>6327676.4299999997</v>
      </c>
    </row>
    <row r="70" spans="1:13" x14ac:dyDescent="0.15">
      <c r="A70" s="12"/>
      <c r="B70" s="13" t="s">
        <v>174</v>
      </c>
      <c r="C70" s="14" t="s">
        <v>19</v>
      </c>
      <c r="D70" s="15" t="s">
        <v>114</v>
      </c>
      <c r="E70" s="15" t="s">
        <v>186</v>
      </c>
      <c r="F70" s="16">
        <v>928</v>
      </c>
      <c r="G70" s="17">
        <v>22893.46</v>
      </c>
      <c r="H70" s="17">
        <v>4425.03</v>
      </c>
      <c r="I70" s="17">
        <v>21245130.879999999</v>
      </c>
      <c r="J70" s="15" t="s">
        <v>17</v>
      </c>
      <c r="K70" s="15" t="s">
        <v>18</v>
      </c>
      <c r="L70" s="9">
        <f>YEAR(E70)</f>
        <v>2022</v>
      </c>
      <c r="M70">
        <f t="shared" si="1"/>
        <v>4106427.84</v>
      </c>
    </row>
    <row r="71" spans="1:13" x14ac:dyDescent="0.15">
      <c r="A71" s="12"/>
      <c r="B71" s="13" t="s">
        <v>174</v>
      </c>
      <c r="C71" s="14" t="s">
        <v>57</v>
      </c>
      <c r="D71" s="15" t="s">
        <v>114</v>
      </c>
      <c r="E71" s="15" t="s">
        <v>190</v>
      </c>
      <c r="F71" s="16">
        <v>142</v>
      </c>
      <c r="G71" s="17">
        <v>28251.37</v>
      </c>
      <c r="H71" s="17">
        <v>7796.85</v>
      </c>
      <c r="I71" s="17">
        <v>4011694.54</v>
      </c>
      <c r="J71" s="15" t="s">
        <v>17</v>
      </c>
      <c r="K71" s="15" t="s">
        <v>18</v>
      </c>
      <c r="L71" s="9">
        <f>YEAR(E71)</f>
        <v>2022</v>
      </c>
      <c r="M71">
        <f t="shared" si="1"/>
        <v>1107152.7</v>
      </c>
    </row>
    <row r="72" spans="1:13" x14ac:dyDescent="0.15">
      <c r="A72" s="12"/>
      <c r="B72" s="13" t="s">
        <v>174</v>
      </c>
      <c r="C72" s="14" t="s">
        <v>23</v>
      </c>
      <c r="D72" s="15" t="s">
        <v>114</v>
      </c>
      <c r="E72" s="15" t="s">
        <v>192</v>
      </c>
      <c r="F72" s="16">
        <v>204</v>
      </c>
      <c r="G72" s="17">
        <v>17510.169999999998</v>
      </c>
      <c r="H72" s="17">
        <v>9636.0400000000009</v>
      </c>
      <c r="I72" s="17">
        <v>3572074.68</v>
      </c>
      <c r="J72" s="15" t="s">
        <v>22</v>
      </c>
      <c r="K72" s="15" t="s">
        <v>18</v>
      </c>
      <c r="L72" s="9">
        <f>YEAR(E72)</f>
        <v>2022</v>
      </c>
      <c r="M72">
        <f t="shared" si="1"/>
        <v>1965752.1600000001</v>
      </c>
    </row>
    <row r="73" spans="1:13" x14ac:dyDescent="0.15">
      <c r="A73" s="12"/>
      <c r="B73" s="13" t="s">
        <v>174</v>
      </c>
      <c r="C73" s="14" t="s">
        <v>23</v>
      </c>
      <c r="D73" s="15" t="s">
        <v>139</v>
      </c>
      <c r="E73" s="15" t="s">
        <v>199</v>
      </c>
      <c r="F73" s="16">
        <v>261</v>
      </c>
      <c r="G73" s="17">
        <v>18757.63</v>
      </c>
      <c r="H73" s="17">
        <v>2017.08</v>
      </c>
      <c r="I73" s="17">
        <v>4895741.43</v>
      </c>
      <c r="J73" s="15" t="s">
        <v>17</v>
      </c>
      <c r="K73" s="15" t="s">
        <v>18</v>
      </c>
      <c r="L73" s="9">
        <f>YEAR(E73)</f>
        <v>2022</v>
      </c>
      <c r="M73">
        <f t="shared" si="1"/>
        <v>526457.88</v>
      </c>
    </row>
    <row r="74" spans="1:13" x14ac:dyDescent="0.15">
      <c r="A74" s="12"/>
      <c r="B74" s="13" t="s">
        <v>174</v>
      </c>
      <c r="C74" s="14" t="s">
        <v>23</v>
      </c>
      <c r="D74" s="15" t="s">
        <v>26</v>
      </c>
      <c r="E74" s="15" t="s">
        <v>202</v>
      </c>
      <c r="F74" s="16">
        <v>323</v>
      </c>
      <c r="G74" s="17">
        <v>41562.660000000003</v>
      </c>
      <c r="H74" s="19">
        <v>7492.8</v>
      </c>
      <c r="I74" s="17">
        <v>13424739.18</v>
      </c>
      <c r="J74" s="15" t="s">
        <v>17</v>
      </c>
      <c r="K74" s="15" t="s">
        <v>18</v>
      </c>
      <c r="L74" s="9">
        <f>YEAR(E74)</f>
        <v>2022</v>
      </c>
      <c r="M74">
        <f t="shared" si="1"/>
        <v>2420174.4</v>
      </c>
    </row>
    <row r="75" spans="1:13" x14ac:dyDescent="0.15">
      <c r="A75" s="12"/>
      <c r="B75" s="13" t="s">
        <v>174</v>
      </c>
      <c r="C75" s="14" t="s">
        <v>25</v>
      </c>
      <c r="D75" s="15" t="s">
        <v>26</v>
      </c>
      <c r="E75" s="15" t="s">
        <v>204</v>
      </c>
      <c r="F75" s="16">
        <v>516</v>
      </c>
      <c r="G75" s="17">
        <v>35244.870000000003</v>
      </c>
      <c r="H75" s="17">
        <v>6455.99</v>
      </c>
      <c r="I75" s="17">
        <v>18186352.920000002</v>
      </c>
      <c r="J75" s="15" t="s">
        <v>17</v>
      </c>
      <c r="K75" s="15" t="s">
        <v>18</v>
      </c>
      <c r="L75" s="9">
        <f>YEAR(E75)</f>
        <v>2022</v>
      </c>
      <c r="M75">
        <f t="shared" si="1"/>
        <v>3331290.84</v>
      </c>
    </row>
    <row r="76" spans="1:13" x14ac:dyDescent="0.15">
      <c r="A76" s="12"/>
      <c r="B76" s="13" t="s">
        <v>174</v>
      </c>
      <c r="C76" s="14" t="s">
        <v>19</v>
      </c>
      <c r="D76" s="15" t="s">
        <v>26</v>
      </c>
      <c r="E76" s="15" t="s">
        <v>209</v>
      </c>
      <c r="F76" s="16">
        <v>185</v>
      </c>
      <c r="G76" s="17">
        <v>14847.32</v>
      </c>
      <c r="H76" s="17">
        <v>3544.82</v>
      </c>
      <c r="I76" s="19">
        <v>2746754.2</v>
      </c>
      <c r="J76" s="15" t="s">
        <v>22</v>
      </c>
      <c r="K76" s="15" t="s">
        <v>18</v>
      </c>
      <c r="L76" s="9">
        <f>YEAR(E76)</f>
        <v>2022</v>
      </c>
      <c r="M76">
        <f t="shared" si="1"/>
        <v>655791.70000000007</v>
      </c>
    </row>
    <row r="77" spans="1:13" x14ac:dyDescent="0.15">
      <c r="A77" s="12"/>
      <c r="B77" s="13" t="s">
        <v>174</v>
      </c>
      <c r="C77" s="14" t="s">
        <v>35</v>
      </c>
      <c r="D77" s="15" t="s">
        <v>26</v>
      </c>
      <c r="E77" s="15" t="s">
        <v>213</v>
      </c>
      <c r="F77" s="16">
        <v>205</v>
      </c>
      <c r="G77" s="17">
        <v>19635.919999999998</v>
      </c>
      <c r="H77" s="17">
        <v>4458.43</v>
      </c>
      <c r="I77" s="19">
        <v>4025363.6</v>
      </c>
      <c r="J77" s="15" t="s">
        <v>22</v>
      </c>
      <c r="K77" s="15" t="s">
        <v>18</v>
      </c>
      <c r="L77" s="9">
        <f>YEAR(E77)</f>
        <v>2022</v>
      </c>
      <c r="M77">
        <f t="shared" si="1"/>
        <v>913978.15</v>
      </c>
    </row>
    <row r="78" spans="1:13" x14ac:dyDescent="0.15">
      <c r="A78" s="12"/>
      <c r="B78" s="13" t="s">
        <v>174</v>
      </c>
      <c r="C78" s="14" t="s">
        <v>43</v>
      </c>
      <c r="D78" s="15" t="s">
        <v>153</v>
      </c>
      <c r="E78" s="15" t="s">
        <v>213</v>
      </c>
      <c r="F78" s="16">
        <v>370</v>
      </c>
      <c r="G78" s="17">
        <v>11067.38</v>
      </c>
      <c r="H78" s="17">
        <v>3708.85</v>
      </c>
      <c r="I78" s="19">
        <v>4094930.6</v>
      </c>
      <c r="J78" s="15" t="s">
        <v>22</v>
      </c>
      <c r="K78" s="15" t="s">
        <v>18</v>
      </c>
      <c r="L78" s="9">
        <f>YEAR(E78)</f>
        <v>2022</v>
      </c>
      <c r="M78">
        <f t="shared" si="1"/>
        <v>1372274.5</v>
      </c>
    </row>
    <row r="79" spans="1:13" x14ac:dyDescent="0.15">
      <c r="A79" s="12"/>
      <c r="B79" s="13" t="s">
        <v>174</v>
      </c>
      <c r="C79" s="14" t="s">
        <v>79</v>
      </c>
      <c r="D79" s="15" t="s">
        <v>26</v>
      </c>
      <c r="E79" s="15" t="s">
        <v>215</v>
      </c>
      <c r="F79" s="16">
        <v>438</v>
      </c>
      <c r="G79" s="17">
        <v>22625.33</v>
      </c>
      <c r="H79" s="17">
        <v>6130.91</v>
      </c>
      <c r="I79" s="17">
        <v>9909894.5399999991</v>
      </c>
      <c r="J79" s="15" t="s">
        <v>28</v>
      </c>
      <c r="K79" s="15" t="s">
        <v>18</v>
      </c>
      <c r="L79" s="9">
        <f>YEAR(E79)</f>
        <v>2022</v>
      </c>
      <c r="M79">
        <f t="shared" si="1"/>
        <v>2685338.58</v>
      </c>
    </row>
    <row r="80" spans="1:13" x14ac:dyDescent="0.15">
      <c r="A80" s="12"/>
      <c r="B80" s="13" t="s">
        <v>174</v>
      </c>
      <c r="C80" s="14" t="s">
        <v>35</v>
      </c>
      <c r="D80" s="15" t="s">
        <v>15</v>
      </c>
      <c r="E80" s="15" t="s">
        <v>219</v>
      </c>
      <c r="F80" s="16">
        <v>500</v>
      </c>
      <c r="G80" s="17">
        <v>48937.95</v>
      </c>
      <c r="H80" s="17">
        <v>2835.78</v>
      </c>
      <c r="I80" s="16">
        <v>24468975</v>
      </c>
      <c r="J80" s="15" t="s">
        <v>17</v>
      </c>
      <c r="K80" s="15" t="s">
        <v>18</v>
      </c>
      <c r="L80" s="9">
        <f>YEAR(E80)</f>
        <v>2022</v>
      </c>
      <c r="M80">
        <f t="shared" si="1"/>
        <v>1417890</v>
      </c>
    </row>
    <row r="81" spans="1:13" x14ac:dyDescent="0.15">
      <c r="A81" s="12"/>
      <c r="B81" s="13" t="s">
        <v>174</v>
      </c>
      <c r="C81" s="14" t="s">
        <v>79</v>
      </c>
      <c r="D81" s="15" t="s">
        <v>15</v>
      </c>
      <c r="E81" s="15" t="s">
        <v>224</v>
      </c>
      <c r="F81" s="16">
        <v>326</v>
      </c>
      <c r="G81" s="17">
        <v>36801.15</v>
      </c>
      <c r="H81" s="17">
        <v>6544.27</v>
      </c>
      <c r="I81" s="19">
        <v>11997174.9</v>
      </c>
      <c r="J81" s="15" t="s">
        <v>17</v>
      </c>
      <c r="K81" s="15" t="s">
        <v>18</v>
      </c>
      <c r="L81" s="9">
        <f>YEAR(E81)</f>
        <v>2022</v>
      </c>
      <c r="M81">
        <f t="shared" si="1"/>
        <v>2133432.02</v>
      </c>
    </row>
    <row r="82" spans="1:13" x14ac:dyDescent="0.15">
      <c r="A82" s="12"/>
      <c r="B82" s="13" t="s">
        <v>174</v>
      </c>
      <c r="C82" s="14" t="s">
        <v>23</v>
      </c>
      <c r="D82" s="15" t="s">
        <v>70</v>
      </c>
      <c r="E82" s="15" t="s">
        <v>228</v>
      </c>
      <c r="F82" s="16">
        <v>163</v>
      </c>
      <c r="G82" s="17">
        <v>16244.54</v>
      </c>
      <c r="H82" s="17">
        <v>9874.64</v>
      </c>
      <c r="I82" s="17">
        <v>2647860.02</v>
      </c>
      <c r="J82" s="15" t="s">
        <v>17</v>
      </c>
      <c r="K82" s="15" t="s">
        <v>18</v>
      </c>
      <c r="L82" s="9">
        <f>YEAR(E82)</f>
        <v>2022</v>
      </c>
      <c r="M82">
        <f t="shared" si="1"/>
        <v>1609566.3199999998</v>
      </c>
    </row>
    <row r="83" spans="1:13" x14ac:dyDescent="0.15">
      <c r="A83" s="12"/>
      <c r="B83" s="13" t="s">
        <v>174</v>
      </c>
      <c r="C83" s="14" t="s">
        <v>31</v>
      </c>
      <c r="D83" s="15" t="s">
        <v>107</v>
      </c>
      <c r="E83" s="15" t="s">
        <v>237</v>
      </c>
      <c r="F83" s="16">
        <v>778</v>
      </c>
      <c r="G83" s="17">
        <v>49985.86</v>
      </c>
      <c r="H83" s="17">
        <v>8415.43</v>
      </c>
      <c r="I83" s="17">
        <v>38888999.079999998</v>
      </c>
      <c r="J83" s="15" t="s">
        <v>28</v>
      </c>
      <c r="K83" s="15" t="s">
        <v>18</v>
      </c>
      <c r="L83" s="9">
        <f>YEAR(E83)</f>
        <v>2022</v>
      </c>
      <c r="M83">
        <f t="shared" si="1"/>
        <v>6547204.54</v>
      </c>
    </row>
    <row r="84" spans="1:13" x14ac:dyDescent="0.15">
      <c r="A84" s="12"/>
      <c r="B84" s="13" t="s">
        <v>174</v>
      </c>
      <c r="C84" s="14" t="s">
        <v>43</v>
      </c>
      <c r="D84" s="15" t="s">
        <v>153</v>
      </c>
      <c r="E84" s="15" t="s">
        <v>238</v>
      </c>
      <c r="F84" s="16">
        <v>150</v>
      </c>
      <c r="G84" s="17">
        <v>23193.26</v>
      </c>
      <c r="H84" s="17">
        <v>4943.25</v>
      </c>
      <c r="I84" s="16">
        <v>3478989</v>
      </c>
      <c r="J84" s="15" t="s">
        <v>28</v>
      </c>
      <c r="K84" s="15" t="s">
        <v>18</v>
      </c>
      <c r="L84" s="9">
        <f>YEAR(E84)</f>
        <v>2022</v>
      </c>
      <c r="M84">
        <f t="shared" si="1"/>
        <v>741487.5</v>
      </c>
    </row>
    <row r="85" spans="1:13" x14ac:dyDescent="0.15">
      <c r="A85" s="12"/>
      <c r="B85" s="13" t="s">
        <v>174</v>
      </c>
      <c r="C85" s="14" t="s">
        <v>38</v>
      </c>
      <c r="D85" s="15" t="s">
        <v>153</v>
      </c>
      <c r="E85" s="15" t="s">
        <v>240</v>
      </c>
      <c r="F85" s="16">
        <v>795</v>
      </c>
      <c r="G85" s="17">
        <v>11706.54</v>
      </c>
      <c r="H85" s="17">
        <v>3838.45</v>
      </c>
      <c r="I85" s="19">
        <v>9306699.3000000007</v>
      </c>
      <c r="J85" s="15" t="s">
        <v>17</v>
      </c>
      <c r="K85" s="15" t="s">
        <v>18</v>
      </c>
      <c r="L85" s="9">
        <f>YEAR(E85)</f>
        <v>2022</v>
      </c>
      <c r="M85">
        <f t="shared" si="1"/>
        <v>3051567.75</v>
      </c>
    </row>
    <row r="86" spans="1:13" x14ac:dyDescent="0.15">
      <c r="A86" s="12"/>
      <c r="B86" s="13" t="s">
        <v>174</v>
      </c>
      <c r="C86" s="14" t="s">
        <v>79</v>
      </c>
      <c r="D86" s="15" t="s">
        <v>68</v>
      </c>
      <c r="E86" s="15" t="s">
        <v>248</v>
      </c>
      <c r="F86" s="16">
        <v>259</v>
      </c>
      <c r="G86" s="17">
        <v>12895.17</v>
      </c>
      <c r="H86" s="17">
        <v>8669.42</v>
      </c>
      <c r="I86" s="17">
        <v>3339849.03</v>
      </c>
      <c r="J86" s="15" t="s">
        <v>22</v>
      </c>
      <c r="K86" s="15" t="s">
        <v>18</v>
      </c>
      <c r="L86" s="9">
        <f>YEAR(E86)</f>
        <v>2022</v>
      </c>
      <c r="M86">
        <f t="shared" si="1"/>
        <v>2245379.7799999998</v>
      </c>
    </row>
    <row r="87" spans="1:13" x14ac:dyDescent="0.15">
      <c r="A87" s="12"/>
      <c r="B87" s="13" t="s">
        <v>174</v>
      </c>
      <c r="C87" s="14" t="s">
        <v>35</v>
      </c>
      <c r="D87" s="15" t="s">
        <v>68</v>
      </c>
      <c r="E87" s="15" t="s">
        <v>249</v>
      </c>
      <c r="F87" s="16">
        <v>269</v>
      </c>
      <c r="G87" s="17">
        <v>28501.42</v>
      </c>
      <c r="H87" s="17">
        <v>4486.79</v>
      </c>
      <c r="I87" s="17">
        <v>7666881.9800000004</v>
      </c>
      <c r="J87" s="15" t="s">
        <v>17</v>
      </c>
      <c r="K87" s="15" t="s">
        <v>18</v>
      </c>
      <c r="L87" s="9">
        <f>YEAR(E87)</f>
        <v>2022</v>
      </c>
      <c r="M87">
        <f t="shared" si="1"/>
        <v>1206946.51</v>
      </c>
    </row>
    <row r="88" spans="1:13" x14ac:dyDescent="0.15">
      <c r="A88" s="12"/>
      <c r="B88" s="13" t="s">
        <v>174</v>
      </c>
      <c r="C88" s="14" t="s">
        <v>57</v>
      </c>
      <c r="D88" s="15" t="s">
        <v>68</v>
      </c>
      <c r="E88" s="15" t="s">
        <v>251</v>
      </c>
      <c r="F88" s="16">
        <v>738</v>
      </c>
      <c r="G88" s="17">
        <v>39223.54</v>
      </c>
      <c r="H88" s="17">
        <v>9221.4500000000007</v>
      </c>
      <c r="I88" s="17">
        <v>28946972.52</v>
      </c>
      <c r="J88" s="15" t="s">
        <v>28</v>
      </c>
      <c r="K88" s="15" t="s">
        <v>18</v>
      </c>
      <c r="L88" s="9">
        <f>YEAR(E88)</f>
        <v>2022</v>
      </c>
      <c r="M88">
        <f t="shared" si="1"/>
        <v>6805430.1000000006</v>
      </c>
    </row>
    <row r="89" spans="1:13" x14ac:dyDescent="0.15">
      <c r="A89" s="12"/>
      <c r="B89" s="13" t="s">
        <v>174</v>
      </c>
      <c r="C89" s="14" t="s">
        <v>38</v>
      </c>
      <c r="D89" s="15" t="s">
        <v>68</v>
      </c>
      <c r="E89" s="15" t="s">
        <v>253</v>
      </c>
      <c r="F89" s="16">
        <v>786</v>
      </c>
      <c r="G89" s="17">
        <v>16810.37</v>
      </c>
      <c r="H89" s="17">
        <v>2778.06</v>
      </c>
      <c r="I89" s="17">
        <v>13212950.82</v>
      </c>
      <c r="J89" s="15" t="s">
        <v>30</v>
      </c>
      <c r="K89" s="15" t="s">
        <v>18</v>
      </c>
      <c r="L89" s="9">
        <f>YEAR(E89)</f>
        <v>2022</v>
      </c>
      <c r="M89">
        <f t="shared" si="1"/>
        <v>2183555.16</v>
      </c>
    </row>
    <row r="90" spans="1:13" x14ac:dyDescent="0.15">
      <c r="A90" s="12"/>
      <c r="B90" s="13" t="s">
        <v>174</v>
      </c>
      <c r="C90" s="14" t="s">
        <v>19</v>
      </c>
      <c r="D90" s="15" t="s">
        <v>53</v>
      </c>
      <c r="E90" s="15" t="s">
        <v>265</v>
      </c>
      <c r="F90" s="16">
        <v>301</v>
      </c>
      <c r="G90" s="19">
        <v>49306.9</v>
      </c>
      <c r="H90" s="17">
        <v>7022.61</v>
      </c>
      <c r="I90" s="19">
        <v>14841376.9</v>
      </c>
      <c r="J90" s="15" t="s">
        <v>17</v>
      </c>
      <c r="K90" s="15" t="s">
        <v>18</v>
      </c>
      <c r="L90" s="9">
        <f>YEAR(E90)</f>
        <v>2022</v>
      </c>
      <c r="M90">
        <f t="shared" si="1"/>
        <v>2113805.61</v>
      </c>
    </row>
    <row r="91" spans="1:13" x14ac:dyDescent="0.15">
      <c r="A91" s="12"/>
      <c r="B91" s="13" t="s">
        <v>174</v>
      </c>
      <c r="C91" s="14" t="s">
        <v>57</v>
      </c>
      <c r="D91" s="15" t="s">
        <v>53</v>
      </c>
      <c r="E91" s="15" t="s">
        <v>266</v>
      </c>
      <c r="F91" s="16">
        <v>926</v>
      </c>
      <c r="G91" s="17">
        <v>41066.230000000003</v>
      </c>
      <c r="H91" s="17">
        <v>7386.88</v>
      </c>
      <c r="I91" s="17">
        <v>38027328.979999997</v>
      </c>
      <c r="J91" s="15" t="s">
        <v>30</v>
      </c>
      <c r="K91" s="15" t="s">
        <v>18</v>
      </c>
      <c r="L91" s="9">
        <f>YEAR(E91)</f>
        <v>2022</v>
      </c>
      <c r="M91">
        <f t="shared" si="1"/>
        <v>6840250.8799999999</v>
      </c>
    </row>
    <row r="92" spans="1:13" x14ac:dyDescent="0.15">
      <c r="A92" s="12"/>
      <c r="B92" s="13" t="s">
        <v>174</v>
      </c>
      <c r="C92" s="14" t="s">
        <v>23</v>
      </c>
      <c r="D92" s="15" t="s">
        <v>89</v>
      </c>
      <c r="E92" s="15" t="s">
        <v>271</v>
      </c>
      <c r="F92" s="16">
        <v>554</v>
      </c>
      <c r="G92" s="17">
        <v>12910.73</v>
      </c>
      <c r="H92" s="17">
        <v>6115.26</v>
      </c>
      <c r="I92" s="17">
        <v>7152544.4199999999</v>
      </c>
      <c r="J92" s="15" t="s">
        <v>17</v>
      </c>
      <c r="K92" s="15" t="s">
        <v>18</v>
      </c>
      <c r="L92" s="9">
        <f>YEAR(E92)</f>
        <v>2022</v>
      </c>
      <c r="M92">
        <f t="shared" si="1"/>
        <v>3387854.04</v>
      </c>
    </row>
    <row r="93" spans="1:13" x14ac:dyDescent="0.15">
      <c r="A93" s="12"/>
      <c r="B93" s="13" t="s">
        <v>174</v>
      </c>
      <c r="C93" s="14" t="s">
        <v>25</v>
      </c>
      <c r="D93" s="15" t="s">
        <v>89</v>
      </c>
      <c r="E93" s="15" t="s">
        <v>100</v>
      </c>
      <c r="F93" s="16">
        <v>780</v>
      </c>
      <c r="G93" s="17">
        <v>22739.59</v>
      </c>
      <c r="H93" s="17">
        <v>2869.67</v>
      </c>
      <c r="I93" s="19">
        <v>17736880.199999999</v>
      </c>
      <c r="J93" s="15" t="s">
        <v>17</v>
      </c>
      <c r="K93" s="15" t="s">
        <v>18</v>
      </c>
      <c r="L93" s="9">
        <f>YEAR(E93)</f>
        <v>2022</v>
      </c>
      <c r="M93">
        <f t="shared" si="1"/>
        <v>2238342.6</v>
      </c>
    </row>
    <row r="94" spans="1:13" x14ac:dyDescent="0.15">
      <c r="A94" s="12"/>
      <c r="B94" s="13" t="s">
        <v>174</v>
      </c>
      <c r="C94" s="14" t="s">
        <v>23</v>
      </c>
      <c r="D94" s="15" t="s">
        <v>89</v>
      </c>
      <c r="E94" s="15" t="s">
        <v>276</v>
      </c>
      <c r="F94" s="16">
        <v>512</v>
      </c>
      <c r="G94" s="17">
        <v>27999.61</v>
      </c>
      <c r="H94" s="19">
        <v>8423.7999999999993</v>
      </c>
      <c r="I94" s="17">
        <v>14335800.32</v>
      </c>
      <c r="J94" s="15" t="s">
        <v>17</v>
      </c>
      <c r="K94" s="15" t="s">
        <v>18</v>
      </c>
      <c r="L94" s="9">
        <v>2022</v>
      </c>
      <c r="M94">
        <f t="shared" si="1"/>
        <v>4312985.5999999996</v>
      </c>
    </row>
    <row r="95" spans="1:13" x14ac:dyDescent="0.15">
      <c r="A95" s="12"/>
      <c r="B95" s="13" t="s">
        <v>174</v>
      </c>
      <c r="C95" s="14" t="s">
        <v>14</v>
      </c>
      <c r="D95" s="15" t="s">
        <v>114</v>
      </c>
      <c r="E95" s="15" t="s">
        <v>59</v>
      </c>
      <c r="F95" s="16">
        <v>769</v>
      </c>
      <c r="G95" s="17">
        <v>32821.57</v>
      </c>
      <c r="H95" s="17">
        <v>8150.57</v>
      </c>
      <c r="I95" s="17">
        <v>25239787.329999998</v>
      </c>
      <c r="J95" s="15" t="s">
        <v>17</v>
      </c>
      <c r="K95" s="15" t="s">
        <v>18</v>
      </c>
      <c r="L95" s="9">
        <f>YEAR(E95)</f>
        <v>2023</v>
      </c>
      <c r="M95">
        <f t="shared" si="1"/>
        <v>6267788.3300000001</v>
      </c>
    </row>
    <row r="96" spans="1:13" x14ac:dyDescent="0.15">
      <c r="A96" s="12"/>
      <c r="B96" s="13" t="s">
        <v>174</v>
      </c>
      <c r="C96" s="14" t="s">
        <v>31</v>
      </c>
      <c r="D96" s="15" t="s">
        <v>114</v>
      </c>
      <c r="E96" s="15" t="s">
        <v>185</v>
      </c>
      <c r="F96" s="16">
        <v>553</v>
      </c>
      <c r="G96" s="17">
        <v>25956.06</v>
      </c>
      <c r="H96" s="17">
        <v>4281.7700000000004</v>
      </c>
      <c r="I96" s="17">
        <v>14353701.18</v>
      </c>
      <c r="J96" s="15" t="s">
        <v>17</v>
      </c>
      <c r="K96" s="15" t="s">
        <v>18</v>
      </c>
      <c r="L96" s="9">
        <f>YEAR(E96)</f>
        <v>2023</v>
      </c>
      <c r="M96">
        <f t="shared" si="1"/>
        <v>2367818.81</v>
      </c>
    </row>
    <row r="97" spans="1:13" x14ac:dyDescent="0.15">
      <c r="A97" s="12"/>
      <c r="B97" s="13" t="s">
        <v>174</v>
      </c>
      <c r="C97" s="14" t="s">
        <v>43</v>
      </c>
      <c r="D97" s="15" t="s">
        <v>107</v>
      </c>
      <c r="E97" s="15" t="s">
        <v>185</v>
      </c>
      <c r="F97" s="16">
        <v>115</v>
      </c>
      <c r="G97" s="19">
        <v>45869.9</v>
      </c>
      <c r="H97" s="17">
        <v>7995.95</v>
      </c>
      <c r="I97" s="19">
        <v>5275038.5</v>
      </c>
      <c r="J97" s="15" t="s">
        <v>17</v>
      </c>
      <c r="K97" s="15" t="s">
        <v>18</v>
      </c>
      <c r="L97" s="9">
        <f>YEAR(E97)</f>
        <v>2023</v>
      </c>
      <c r="M97">
        <f t="shared" si="1"/>
        <v>919534.25</v>
      </c>
    </row>
    <row r="98" spans="1:13" x14ac:dyDescent="0.15">
      <c r="A98" s="12"/>
      <c r="B98" s="13" t="s">
        <v>174</v>
      </c>
      <c r="C98" s="14" t="s">
        <v>35</v>
      </c>
      <c r="D98" s="15" t="s">
        <v>114</v>
      </c>
      <c r="E98" s="15" t="s">
        <v>191</v>
      </c>
      <c r="F98" s="16">
        <v>672</v>
      </c>
      <c r="G98" s="17">
        <v>10006.540000000001</v>
      </c>
      <c r="H98" s="17">
        <v>8641.69</v>
      </c>
      <c r="I98" s="17">
        <v>6724394.8799999999</v>
      </c>
      <c r="J98" s="15" t="s">
        <v>22</v>
      </c>
      <c r="K98" s="15" t="s">
        <v>18</v>
      </c>
      <c r="L98" s="9">
        <f>YEAR(E98)</f>
        <v>2023</v>
      </c>
      <c r="M98">
        <f t="shared" si="1"/>
        <v>5807215.6800000006</v>
      </c>
    </row>
    <row r="99" spans="1:13" x14ac:dyDescent="0.15">
      <c r="A99" s="12"/>
      <c r="B99" s="13" t="s">
        <v>174</v>
      </c>
      <c r="C99" s="14" t="s">
        <v>38</v>
      </c>
      <c r="D99" s="15" t="s">
        <v>139</v>
      </c>
      <c r="E99" s="15" t="s">
        <v>193</v>
      </c>
      <c r="F99" s="16">
        <v>991</v>
      </c>
      <c r="G99" s="17">
        <v>31527.16</v>
      </c>
      <c r="H99" s="17">
        <v>3766.01</v>
      </c>
      <c r="I99" s="17">
        <v>31243415.559999999</v>
      </c>
      <c r="J99" s="15" t="s">
        <v>30</v>
      </c>
      <c r="K99" s="15" t="s">
        <v>18</v>
      </c>
      <c r="L99" s="9">
        <f>YEAR(E99)</f>
        <v>2023</v>
      </c>
      <c r="M99">
        <f t="shared" si="1"/>
        <v>3732115.91</v>
      </c>
    </row>
    <row r="100" spans="1:13" x14ac:dyDescent="0.15">
      <c r="A100" s="12"/>
      <c r="B100" s="13" t="s">
        <v>174</v>
      </c>
      <c r="C100" s="14" t="s">
        <v>43</v>
      </c>
      <c r="D100" s="15" t="s">
        <v>139</v>
      </c>
      <c r="E100" s="15" t="s">
        <v>193</v>
      </c>
      <c r="F100" s="16">
        <v>949</v>
      </c>
      <c r="G100" s="17">
        <v>20213.71</v>
      </c>
      <c r="H100" s="17">
        <v>6290.74</v>
      </c>
      <c r="I100" s="17">
        <v>19182810.789999999</v>
      </c>
      <c r="J100" s="15" t="s">
        <v>17</v>
      </c>
      <c r="K100" s="15" t="s">
        <v>18</v>
      </c>
      <c r="L100" s="9">
        <f>YEAR(E100)</f>
        <v>2023</v>
      </c>
      <c r="M100">
        <f t="shared" si="1"/>
        <v>5969912.2599999998</v>
      </c>
    </row>
    <row r="101" spans="1:13" x14ac:dyDescent="0.15">
      <c r="A101" s="12"/>
      <c r="B101" s="13" t="s">
        <v>174</v>
      </c>
      <c r="C101" s="14" t="s">
        <v>19</v>
      </c>
      <c r="D101" s="15" t="s">
        <v>139</v>
      </c>
      <c r="E101" s="15" t="s">
        <v>195</v>
      </c>
      <c r="F101" s="16">
        <v>634</v>
      </c>
      <c r="G101" s="17">
        <v>24679.19</v>
      </c>
      <c r="H101" s="17">
        <v>3215.36</v>
      </c>
      <c r="I101" s="17">
        <v>15646606.460000001</v>
      </c>
      <c r="J101" s="15" t="s">
        <v>17</v>
      </c>
      <c r="K101" s="15" t="s">
        <v>18</v>
      </c>
      <c r="L101" s="9">
        <f>YEAR(E101)</f>
        <v>2023</v>
      </c>
      <c r="M101">
        <f t="shared" si="1"/>
        <v>2038538.24</v>
      </c>
    </row>
    <row r="102" spans="1:13" x14ac:dyDescent="0.15">
      <c r="A102" s="12"/>
      <c r="B102" s="13" t="s">
        <v>174</v>
      </c>
      <c r="C102" s="14" t="s">
        <v>79</v>
      </c>
      <c r="D102" s="15" t="s">
        <v>139</v>
      </c>
      <c r="E102" s="15" t="s">
        <v>197</v>
      </c>
      <c r="F102" s="16">
        <v>627</v>
      </c>
      <c r="G102" s="17">
        <v>49380.09</v>
      </c>
      <c r="H102" s="17">
        <v>3564.84</v>
      </c>
      <c r="I102" s="17">
        <v>30961316.43</v>
      </c>
      <c r="J102" s="15" t="s">
        <v>17</v>
      </c>
      <c r="K102" s="15" t="s">
        <v>18</v>
      </c>
      <c r="L102" s="9">
        <f>YEAR(E102)</f>
        <v>2023</v>
      </c>
      <c r="M102">
        <f t="shared" si="1"/>
        <v>2235154.6800000002</v>
      </c>
    </row>
    <row r="103" spans="1:13" x14ac:dyDescent="0.15">
      <c r="A103" s="12"/>
      <c r="B103" s="13" t="s">
        <v>174</v>
      </c>
      <c r="C103" s="14" t="s">
        <v>25</v>
      </c>
      <c r="D103" s="15" t="s">
        <v>26</v>
      </c>
      <c r="E103" s="15" t="s">
        <v>200</v>
      </c>
      <c r="F103" s="16">
        <v>823</v>
      </c>
      <c r="G103" s="17">
        <v>14356.92</v>
      </c>
      <c r="H103" s="19">
        <v>7452.1</v>
      </c>
      <c r="I103" s="17">
        <v>11815745.16</v>
      </c>
      <c r="J103" s="15" t="s">
        <v>17</v>
      </c>
      <c r="K103" s="15" t="s">
        <v>18</v>
      </c>
      <c r="L103" s="9">
        <f>YEAR(E103)</f>
        <v>2023</v>
      </c>
      <c r="M103">
        <f t="shared" si="1"/>
        <v>6133078.3000000007</v>
      </c>
    </row>
    <row r="104" spans="1:13" x14ac:dyDescent="0.15">
      <c r="A104" s="12"/>
      <c r="B104" s="13" t="s">
        <v>174</v>
      </c>
      <c r="C104" s="14" t="s">
        <v>57</v>
      </c>
      <c r="D104" s="15" t="s">
        <v>26</v>
      </c>
      <c r="E104" s="15" t="s">
        <v>201</v>
      </c>
      <c r="F104" s="16">
        <v>920</v>
      </c>
      <c r="G104" s="17">
        <v>44165.77</v>
      </c>
      <c r="H104" s="17">
        <v>4422.3500000000004</v>
      </c>
      <c r="I104" s="19">
        <v>40632508.399999999</v>
      </c>
      <c r="J104" s="15" t="s">
        <v>17</v>
      </c>
      <c r="K104" s="15" t="s">
        <v>18</v>
      </c>
      <c r="L104" s="9">
        <f>YEAR(E104)</f>
        <v>2023</v>
      </c>
      <c r="M104">
        <f t="shared" si="1"/>
        <v>4068562.0000000005</v>
      </c>
    </row>
    <row r="105" spans="1:13" x14ac:dyDescent="0.15">
      <c r="A105" s="12"/>
      <c r="B105" s="13" t="s">
        <v>174</v>
      </c>
      <c r="C105" s="14" t="s">
        <v>25</v>
      </c>
      <c r="D105" s="15" t="s">
        <v>26</v>
      </c>
      <c r="E105" s="15" t="s">
        <v>206</v>
      </c>
      <c r="F105" s="16">
        <v>398</v>
      </c>
      <c r="G105" s="17">
        <v>14862.53</v>
      </c>
      <c r="H105" s="17">
        <v>2323.59</v>
      </c>
      <c r="I105" s="17">
        <v>5915286.9400000004</v>
      </c>
      <c r="J105" s="15" t="s">
        <v>17</v>
      </c>
      <c r="K105" s="15" t="s">
        <v>18</v>
      </c>
      <c r="L105" s="9">
        <f>YEAR(E105)</f>
        <v>2023</v>
      </c>
      <c r="M105">
        <f t="shared" si="1"/>
        <v>924788.82000000007</v>
      </c>
    </row>
    <row r="106" spans="1:13" x14ac:dyDescent="0.15">
      <c r="A106" s="12"/>
      <c r="B106" s="13" t="s">
        <v>174</v>
      </c>
      <c r="C106" s="14" t="s">
        <v>14</v>
      </c>
      <c r="D106" s="15" t="s">
        <v>26</v>
      </c>
      <c r="E106" s="15" t="s">
        <v>211</v>
      </c>
      <c r="F106" s="16">
        <v>841</v>
      </c>
      <c r="G106" s="17">
        <v>43215.55</v>
      </c>
      <c r="H106" s="17">
        <v>9448.5499999999993</v>
      </c>
      <c r="I106" s="17">
        <v>36344277.549999997</v>
      </c>
      <c r="J106" s="15" t="s">
        <v>17</v>
      </c>
      <c r="K106" s="15" t="s">
        <v>18</v>
      </c>
      <c r="L106" s="9">
        <f>YEAR(E106)</f>
        <v>2023</v>
      </c>
      <c r="M106">
        <f t="shared" si="1"/>
        <v>7946230.5499999998</v>
      </c>
    </row>
    <row r="107" spans="1:13" x14ac:dyDescent="0.15">
      <c r="A107" s="12"/>
      <c r="B107" s="13" t="s">
        <v>174</v>
      </c>
      <c r="C107" s="14" t="s">
        <v>79</v>
      </c>
      <c r="D107" s="15" t="s">
        <v>26</v>
      </c>
      <c r="E107" s="15" t="s">
        <v>216</v>
      </c>
      <c r="F107" s="16">
        <v>205</v>
      </c>
      <c r="G107" s="17">
        <v>26036.36</v>
      </c>
      <c r="H107" s="17">
        <v>8100.15</v>
      </c>
      <c r="I107" s="19">
        <v>5337453.8</v>
      </c>
      <c r="J107" s="15" t="s">
        <v>30</v>
      </c>
      <c r="K107" s="15" t="s">
        <v>18</v>
      </c>
      <c r="L107" s="9">
        <f>YEAR(E107)</f>
        <v>2023</v>
      </c>
      <c r="M107">
        <f t="shared" si="1"/>
        <v>1660530.75</v>
      </c>
    </row>
    <row r="108" spans="1:13" x14ac:dyDescent="0.15">
      <c r="A108" s="12"/>
      <c r="B108" s="13" t="s">
        <v>174</v>
      </c>
      <c r="C108" s="14" t="s">
        <v>31</v>
      </c>
      <c r="D108" s="15" t="s">
        <v>15</v>
      </c>
      <c r="E108" s="15" t="s">
        <v>220</v>
      </c>
      <c r="F108" s="16">
        <v>684</v>
      </c>
      <c r="G108" s="17">
        <v>19040.759999999998</v>
      </c>
      <c r="H108" s="17">
        <v>4601.97</v>
      </c>
      <c r="I108" s="17">
        <v>13023879.84</v>
      </c>
      <c r="J108" s="15" t="s">
        <v>28</v>
      </c>
      <c r="K108" s="15" t="s">
        <v>18</v>
      </c>
      <c r="L108" s="9">
        <f>YEAR(E108)</f>
        <v>2023</v>
      </c>
      <c r="M108">
        <f t="shared" si="1"/>
        <v>3147747.48</v>
      </c>
    </row>
    <row r="109" spans="1:13" x14ac:dyDescent="0.15">
      <c r="A109" s="12"/>
      <c r="B109" s="13" t="s">
        <v>174</v>
      </c>
      <c r="C109" s="14" t="s">
        <v>23</v>
      </c>
      <c r="D109" s="15" t="s">
        <v>15</v>
      </c>
      <c r="E109" s="15" t="s">
        <v>221</v>
      </c>
      <c r="F109" s="16">
        <v>314</v>
      </c>
      <c r="G109" s="17">
        <v>33005.79</v>
      </c>
      <c r="H109" s="17">
        <v>7392.48</v>
      </c>
      <c r="I109" s="17">
        <v>10363818.060000001</v>
      </c>
      <c r="J109" s="15" t="s">
        <v>28</v>
      </c>
      <c r="K109" s="15" t="s">
        <v>18</v>
      </c>
      <c r="L109" s="9">
        <f>YEAR(E109)</f>
        <v>2023</v>
      </c>
      <c r="M109">
        <f t="shared" si="1"/>
        <v>2321238.7199999997</v>
      </c>
    </row>
    <row r="110" spans="1:13" x14ac:dyDescent="0.15">
      <c r="A110" s="12"/>
      <c r="B110" s="13" t="s">
        <v>174</v>
      </c>
      <c r="C110" s="14" t="s">
        <v>14</v>
      </c>
      <c r="D110" s="15" t="s">
        <v>15</v>
      </c>
      <c r="E110" s="15" t="s">
        <v>223</v>
      </c>
      <c r="F110" s="16">
        <v>415</v>
      </c>
      <c r="G110" s="17">
        <v>43916.15</v>
      </c>
      <c r="H110" s="17">
        <v>2860.69</v>
      </c>
      <c r="I110" s="17">
        <v>18225202.25</v>
      </c>
      <c r="J110" s="15" t="s">
        <v>17</v>
      </c>
      <c r="K110" s="15" t="s">
        <v>18</v>
      </c>
      <c r="L110" s="9">
        <f>YEAR(E110)</f>
        <v>2023</v>
      </c>
      <c r="M110">
        <f t="shared" si="1"/>
        <v>1187186.3500000001</v>
      </c>
    </row>
    <row r="111" spans="1:13" x14ac:dyDescent="0.15">
      <c r="A111" s="12"/>
      <c r="B111" s="13" t="s">
        <v>174</v>
      </c>
      <c r="C111" s="14" t="s">
        <v>43</v>
      </c>
      <c r="D111" s="15" t="s">
        <v>70</v>
      </c>
      <c r="E111" s="15" t="s">
        <v>226</v>
      </c>
      <c r="F111" s="16">
        <v>540</v>
      </c>
      <c r="G111" s="17">
        <v>40199.839999999997</v>
      </c>
      <c r="H111" s="19">
        <v>9026.4</v>
      </c>
      <c r="I111" s="19">
        <v>21707913.600000001</v>
      </c>
      <c r="J111" s="15" t="s">
        <v>17</v>
      </c>
      <c r="K111" s="15" t="s">
        <v>18</v>
      </c>
      <c r="L111" s="9">
        <f>YEAR(E111)</f>
        <v>2023</v>
      </c>
      <c r="M111">
        <f t="shared" si="1"/>
        <v>4874256</v>
      </c>
    </row>
    <row r="112" spans="1:13" x14ac:dyDescent="0.15">
      <c r="A112" s="12"/>
      <c r="B112" s="13" t="s">
        <v>174</v>
      </c>
      <c r="C112" s="14" t="s">
        <v>35</v>
      </c>
      <c r="D112" s="15" t="s">
        <v>107</v>
      </c>
      <c r="E112" s="15" t="s">
        <v>232</v>
      </c>
      <c r="F112" s="16">
        <v>118</v>
      </c>
      <c r="G112" s="17">
        <v>48123.38</v>
      </c>
      <c r="H112" s="17">
        <v>4260.18</v>
      </c>
      <c r="I112" s="17">
        <v>5678558.8399999999</v>
      </c>
      <c r="J112" s="15" t="s">
        <v>17</v>
      </c>
      <c r="K112" s="15" t="s">
        <v>18</v>
      </c>
      <c r="L112" s="9">
        <f>YEAR(E112)</f>
        <v>2023</v>
      </c>
      <c r="M112">
        <f t="shared" si="1"/>
        <v>502701.24000000005</v>
      </c>
    </row>
    <row r="113" spans="1:13" x14ac:dyDescent="0.15">
      <c r="A113" s="12"/>
      <c r="B113" s="13" t="s">
        <v>174</v>
      </c>
      <c r="C113" s="14" t="s">
        <v>23</v>
      </c>
      <c r="D113" s="15" t="s">
        <v>107</v>
      </c>
      <c r="E113" s="15" t="s">
        <v>233</v>
      </c>
      <c r="F113" s="16">
        <v>635</v>
      </c>
      <c r="G113" s="17">
        <v>46224.92</v>
      </c>
      <c r="H113" s="17">
        <v>4473.09</v>
      </c>
      <c r="I113" s="19">
        <v>29352824.199999999</v>
      </c>
      <c r="J113" s="15" t="s">
        <v>17</v>
      </c>
      <c r="K113" s="15" t="s">
        <v>18</v>
      </c>
      <c r="L113" s="9">
        <f>YEAR(E113)</f>
        <v>2023</v>
      </c>
      <c r="M113">
        <f t="shared" si="1"/>
        <v>2840412.15</v>
      </c>
    </row>
    <row r="114" spans="1:13" x14ac:dyDescent="0.15">
      <c r="A114" s="12"/>
      <c r="B114" s="13" t="s">
        <v>174</v>
      </c>
      <c r="C114" s="14" t="s">
        <v>57</v>
      </c>
      <c r="D114" s="15" t="s">
        <v>107</v>
      </c>
      <c r="E114" s="15" t="s">
        <v>235</v>
      </c>
      <c r="F114" s="16">
        <v>401</v>
      </c>
      <c r="G114" s="17">
        <v>29722.65</v>
      </c>
      <c r="H114" s="17">
        <v>9701.73</v>
      </c>
      <c r="I114" s="17">
        <v>11918782.65</v>
      </c>
      <c r="J114" s="15" t="s">
        <v>17</v>
      </c>
      <c r="K114" s="15" t="s">
        <v>18</v>
      </c>
      <c r="L114" s="9">
        <f>YEAR(E114)</f>
        <v>2023</v>
      </c>
      <c r="M114">
        <f t="shared" si="1"/>
        <v>3890393.73</v>
      </c>
    </row>
    <row r="115" spans="1:13" x14ac:dyDescent="0.15">
      <c r="A115" s="12"/>
      <c r="B115" s="13" t="s">
        <v>174</v>
      </c>
      <c r="C115" s="14" t="s">
        <v>35</v>
      </c>
      <c r="D115" s="15" t="s">
        <v>153</v>
      </c>
      <c r="E115" s="15" t="s">
        <v>239</v>
      </c>
      <c r="F115" s="16">
        <v>939</v>
      </c>
      <c r="G115" s="17">
        <v>47201.02</v>
      </c>
      <c r="H115" s="17">
        <v>6623.62</v>
      </c>
      <c r="I115" s="17">
        <v>44321757.780000001</v>
      </c>
      <c r="J115" s="15" t="s">
        <v>17</v>
      </c>
      <c r="K115" s="15" t="s">
        <v>18</v>
      </c>
      <c r="L115" s="9">
        <f>YEAR(E115)</f>
        <v>2023</v>
      </c>
      <c r="M115">
        <f t="shared" si="1"/>
        <v>6219579.1799999997</v>
      </c>
    </row>
    <row r="116" spans="1:13" x14ac:dyDescent="0.15">
      <c r="A116" s="12"/>
      <c r="B116" s="13" t="s">
        <v>174</v>
      </c>
      <c r="C116" s="14" t="s">
        <v>35</v>
      </c>
      <c r="D116" s="15" t="s">
        <v>153</v>
      </c>
      <c r="E116" s="15" t="s">
        <v>245</v>
      </c>
      <c r="F116" s="16">
        <v>341</v>
      </c>
      <c r="G116" s="17">
        <v>49196.09</v>
      </c>
      <c r="H116" s="17">
        <v>2640.45</v>
      </c>
      <c r="I116" s="17">
        <v>16775866.689999999</v>
      </c>
      <c r="J116" s="15" t="s">
        <v>17</v>
      </c>
      <c r="K116" s="15" t="s">
        <v>18</v>
      </c>
      <c r="L116" s="9">
        <f>YEAR(E116)</f>
        <v>2023</v>
      </c>
      <c r="M116">
        <f t="shared" si="1"/>
        <v>900393.45</v>
      </c>
    </row>
    <row r="117" spans="1:13" x14ac:dyDescent="0.15">
      <c r="A117" s="12"/>
      <c r="B117" s="13" t="s">
        <v>174</v>
      </c>
      <c r="C117" s="14" t="s">
        <v>14</v>
      </c>
      <c r="D117" s="15" t="s">
        <v>153</v>
      </c>
      <c r="E117" s="15" t="s">
        <v>247</v>
      </c>
      <c r="F117" s="16">
        <v>681</v>
      </c>
      <c r="G117" s="17">
        <v>26580.76</v>
      </c>
      <c r="H117" s="17">
        <v>8722.94</v>
      </c>
      <c r="I117" s="17">
        <v>18101497.559999999</v>
      </c>
      <c r="J117" s="15" t="s">
        <v>28</v>
      </c>
      <c r="K117" s="15" t="s">
        <v>18</v>
      </c>
      <c r="L117" s="9">
        <f>YEAR(E117)</f>
        <v>2023</v>
      </c>
      <c r="M117">
        <f t="shared" si="1"/>
        <v>5940322.1400000006</v>
      </c>
    </row>
    <row r="118" spans="1:13" x14ac:dyDescent="0.15">
      <c r="A118" s="12"/>
      <c r="B118" s="13" t="s">
        <v>174</v>
      </c>
      <c r="C118" s="14" t="s">
        <v>25</v>
      </c>
      <c r="D118" s="15" t="s">
        <v>68</v>
      </c>
      <c r="E118" s="15" t="s">
        <v>258</v>
      </c>
      <c r="F118" s="16">
        <v>778</v>
      </c>
      <c r="G118" s="17">
        <v>15017.53</v>
      </c>
      <c r="H118" s="17">
        <v>9283.59</v>
      </c>
      <c r="I118" s="17">
        <v>11683638.34</v>
      </c>
      <c r="J118" s="15" t="s">
        <v>22</v>
      </c>
      <c r="K118" s="15" t="s">
        <v>18</v>
      </c>
      <c r="L118" s="9">
        <f>YEAR(E118)</f>
        <v>2023</v>
      </c>
      <c r="M118">
        <f t="shared" si="1"/>
        <v>7222633.0200000005</v>
      </c>
    </row>
    <row r="119" spans="1:13" x14ac:dyDescent="0.15">
      <c r="A119" s="12"/>
      <c r="B119" s="13" t="s">
        <v>174</v>
      </c>
      <c r="C119" s="14" t="s">
        <v>79</v>
      </c>
      <c r="D119" s="15" t="s">
        <v>68</v>
      </c>
      <c r="E119" s="15" t="s">
        <v>259</v>
      </c>
      <c r="F119" s="16">
        <v>206</v>
      </c>
      <c r="G119" s="17">
        <v>23127.65</v>
      </c>
      <c r="H119" s="17">
        <v>6971.83</v>
      </c>
      <c r="I119" s="19">
        <v>4764295.9000000004</v>
      </c>
      <c r="J119" s="15" t="s">
        <v>30</v>
      </c>
      <c r="K119" s="15" t="s">
        <v>18</v>
      </c>
      <c r="L119" s="9">
        <f>YEAR(E119)</f>
        <v>2023</v>
      </c>
      <c r="M119">
        <f t="shared" si="1"/>
        <v>1436196.98</v>
      </c>
    </row>
    <row r="120" spans="1:13" x14ac:dyDescent="0.15">
      <c r="A120" s="12"/>
      <c r="B120" s="13" t="s">
        <v>174</v>
      </c>
      <c r="C120" s="14" t="s">
        <v>23</v>
      </c>
      <c r="D120" s="15" t="s">
        <v>53</v>
      </c>
      <c r="E120" s="15" t="s">
        <v>261</v>
      </c>
      <c r="F120" s="16">
        <v>787</v>
      </c>
      <c r="G120" s="17">
        <v>28262.15</v>
      </c>
      <c r="H120" s="19">
        <v>4658.3</v>
      </c>
      <c r="I120" s="17">
        <v>22242312.050000001</v>
      </c>
      <c r="J120" s="15" t="s">
        <v>17</v>
      </c>
      <c r="K120" s="15" t="s">
        <v>18</v>
      </c>
      <c r="L120" s="9">
        <f>YEAR(E120)</f>
        <v>2023</v>
      </c>
      <c r="M120">
        <f t="shared" si="1"/>
        <v>3666082.1</v>
      </c>
    </row>
    <row r="121" spans="1:13" x14ac:dyDescent="0.15">
      <c r="A121" s="12"/>
      <c r="B121" s="13" t="s">
        <v>174</v>
      </c>
      <c r="C121" s="14" t="s">
        <v>31</v>
      </c>
      <c r="D121" s="15" t="s">
        <v>53</v>
      </c>
      <c r="E121" s="15" t="s">
        <v>262</v>
      </c>
      <c r="F121" s="16">
        <v>748</v>
      </c>
      <c r="G121" s="17">
        <v>25065.32</v>
      </c>
      <c r="H121" s="17">
        <v>7742.48</v>
      </c>
      <c r="I121" s="17">
        <v>18748859.359999999</v>
      </c>
      <c r="J121" s="15" t="s">
        <v>17</v>
      </c>
      <c r="K121" s="15" t="s">
        <v>18</v>
      </c>
      <c r="L121" s="9">
        <f>YEAR(E121)</f>
        <v>2023</v>
      </c>
      <c r="M121">
        <f t="shared" si="1"/>
        <v>5791375.04</v>
      </c>
    </row>
    <row r="122" spans="1:13" ht="14" thickBot="1" x14ac:dyDescent="0.2">
      <c r="A122" s="20"/>
      <c r="B122" s="21" t="s">
        <v>174</v>
      </c>
      <c r="C122" s="22" t="s">
        <v>79</v>
      </c>
      <c r="D122" s="23" t="s">
        <v>89</v>
      </c>
      <c r="E122" s="23" t="s">
        <v>269</v>
      </c>
      <c r="F122" s="24">
        <v>611</v>
      </c>
      <c r="G122" s="25">
        <v>21839.94</v>
      </c>
      <c r="H122" s="25">
        <v>7020.58</v>
      </c>
      <c r="I122" s="25">
        <v>13344203.34</v>
      </c>
      <c r="J122" s="23" t="s">
        <v>30</v>
      </c>
      <c r="K122" s="23" t="s">
        <v>18</v>
      </c>
      <c r="L122" s="9">
        <f>YEAR(E122)</f>
        <v>2023</v>
      </c>
      <c r="M122">
        <f t="shared" si="1"/>
        <v>4289574.38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662DB1-B5B9-384A-AF55-F6CF04C6D790}">
  <dimension ref="A1:T138"/>
  <sheetViews>
    <sheetView topLeftCell="B2" workbookViewId="0">
      <selection activeCell="T62" sqref="T62"/>
    </sheetView>
  </sheetViews>
  <sheetFormatPr baseColWidth="10" defaultRowHeight="13" x14ac:dyDescent="0.15"/>
  <cols>
    <col min="9" max="9" width="11.6640625" bestFit="1" customWidth="1"/>
    <col min="16" max="16" width="13" bestFit="1" customWidth="1"/>
    <col min="17" max="17" width="14.83203125" bestFit="1" customWidth="1"/>
    <col min="18" max="18" width="16.83203125" bestFit="1" customWidth="1"/>
    <col min="19" max="19" width="16.6640625" bestFit="1" customWidth="1"/>
    <col min="20" max="20" width="15.1640625" bestFit="1" customWidth="1"/>
  </cols>
  <sheetData>
    <row r="1" spans="1:20" ht="14" thickBot="1" x14ac:dyDescent="0.2">
      <c r="A1" s="51"/>
      <c r="B1" s="52"/>
      <c r="C1" s="53"/>
      <c r="D1" s="54"/>
      <c r="E1" s="54"/>
      <c r="F1" s="55"/>
      <c r="G1" s="56"/>
      <c r="H1" s="57"/>
      <c r="I1" s="56"/>
      <c r="J1" s="54"/>
      <c r="K1" s="54"/>
      <c r="L1" s="9"/>
    </row>
    <row r="2" spans="1:20" ht="15" thickBot="1" x14ac:dyDescent="0.2">
      <c r="A2" s="3" t="s">
        <v>277</v>
      </c>
      <c r="B2" s="68" t="s">
        <v>2</v>
      </c>
      <c r="C2" s="69" t="s">
        <v>3</v>
      </c>
      <c r="D2" s="69" t="s">
        <v>4</v>
      </c>
      <c r="E2" s="69" t="s">
        <v>5</v>
      </c>
      <c r="F2" s="69" t="s">
        <v>6</v>
      </c>
      <c r="G2" s="69" t="s">
        <v>7</v>
      </c>
      <c r="H2" s="69" t="s">
        <v>8</v>
      </c>
      <c r="I2" s="69" t="s">
        <v>9</v>
      </c>
      <c r="J2" s="69" t="s">
        <v>10</v>
      </c>
      <c r="K2" s="69" t="s">
        <v>11</v>
      </c>
      <c r="L2" s="58" t="s">
        <v>12</v>
      </c>
      <c r="M2" s="70" t="s">
        <v>794</v>
      </c>
    </row>
    <row r="3" spans="1:20" x14ac:dyDescent="0.15">
      <c r="A3" s="5"/>
      <c r="B3" s="6" t="s">
        <v>277</v>
      </c>
      <c r="C3" s="7" t="s">
        <v>23</v>
      </c>
      <c r="D3" s="8" t="s">
        <v>53</v>
      </c>
      <c r="E3" s="8" t="s">
        <v>159</v>
      </c>
      <c r="F3" s="9">
        <v>464</v>
      </c>
      <c r="G3" s="10">
        <v>17947.18</v>
      </c>
      <c r="H3" s="10">
        <v>4171.95</v>
      </c>
      <c r="I3" s="10">
        <v>8327491.5199999996</v>
      </c>
      <c r="J3" s="8" t="s">
        <v>17</v>
      </c>
      <c r="K3" s="8" t="s">
        <v>18</v>
      </c>
      <c r="L3" s="9">
        <f>YEAR(E3)</f>
        <v>2020</v>
      </c>
      <c r="M3">
        <f>H3*F3</f>
        <v>1935784.7999999998</v>
      </c>
      <c r="P3" s="73" t="s">
        <v>12</v>
      </c>
      <c r="Q3" s="73" t="s">
        <v>792</v>
      </c>
      <c r="R3" s="73" t="s">
        <v>793</v>
      </c>
    </row>
    <row r="4" spans="1:20" x14ac:dyDescent="0.15">
      <c r="A4" s="12"/>
      <c r="B4" s="13" t="s">
        <v>277</v>
      </c>
      <c r="C4" s="14" t="s">
        <v>31</v>
      </c>
      <c r="D4" s="15" t="s">
        <v>53</v>
      </c>
      <c r="E4" s="15" t="s">
        <v>282</v>
      </c>
      <c r="F4" s="16">
        <v>990</v>
      </c>
      <c r="G4" s="17">
        <v>36777.32</v>
      </c>
      <c r="H4" s="17">
        <v>8027.19</v>
      </c>
      <c r="I4" s="19">
        <v>36409546.799999997</v>
      </c>
      <c r="J4" s="15" t="s">
        <v>17</v>
      </c>
      <c r="K4" s="15" t="s">
        <v>18</v>
      </c>
      <c r="L4" s="9">
        <f>YEAR(E4)</f>
        <v>2020</v>
      </c>
      <c r="M4">
        <f t="shared" ref="M4:M67" si="0">H4*F4</f>
        <v>7946918.0999999996</v>
      </c>
      <c r="P4" s="74">
        <v>2020</v>
      </c>
      <c r="Q4" s="74">
        <f>ROUND(SUMIF(L3:L138,P4,F3:F138),0)</f>
        <v>16661</v>
      </c>
      <c r="R4" s="74">
        <f>ROUND(SUMIF(L3:L138,P4, M3:M138),0)</f>
        <v>92531401</v>
      </c>
    </row>
    <row r="5" spans="1:20" x14ac:dyDescent="0.15">
      <c r="A5" s="12"/>
      <c r="B5" s="13" t="s">
        <v>277</v>
      </c>
      <c r="C5" s="14" t="s">
        <v>38</v>
      </c>
      <c r="D5" s="15" t="s">
        <v>53</v>
      </c>
      <c r="E5" s="15" t="s">
        <v>284</v>
      </c>
      <c r="F5" s="16">
        <v>941</v>
      </c>
      <c r="G5" s="17">
        <v>27078.720000000001</v>
      </c>
      <c r="H5" s="17">
        <v>4676.04</v>
      </c>
      <c r="I5" s="17">
        <v>25481075.52</v>
      </c>
      <c r="J5" s="15" t="s">
        <v>17</v>
      </c>
      <c r="K5" s="15" t="s">
        <v>18</v>
      </c>
      <c r="L5" s="9">
        <f>YEAR(E5)</f>
        <v>2020</v>
      </c>
      <c r="M5">
        <f t="shared" si="0"/>
        <v>4400153.6399999997</v>
      </c>
      <c r="P5" s="74">
        <v>2021</v>
      </c>
      <c r="Q5" s="74">
        <f>ROUND(SUMIF(L3:L138,P5,F3:F138),0)</f>
        <v>16398</v>
      </c>
      <c r="R5" s="74">
        <f>ROUND(SUMIF(L3:L138,P5, M3:M138),0)</f>
        <v>94824439</v>
      </c>
    </row>
    <row r="6" spans="1:20" x14ac:dyDescent="0.15">
      <c r="A6" s="12"/>
      <c r="B6" s="13" t="s">
        <v>277</v>
      </c>
      <c r="C6" s="14" t="s">
        <v>57</v>
      </c>
      <c r="D6" s="15" t="s">
        <v>53</v>
      </c>
      <c r="E6" s="15" t="s">
        <v>286</v>
      </c>
      <c r="F6" s="16">
        <v>166</v>
      </c>
      <c r="G6" s="17">
        <v>33789.42</v>
      </c>
      <c r="H6" s="17">
        <v>7069.44</v>
      </c>
      <c r="I6" s="17">
        <v>5609043.7199999997</v>
      </c>
      <c r="J6" s="15" t="s">
        <v>17</v>
      </c>
      <c r="K6" s="15" t="s">
        <v>18</v>
      </c>
      <c r="L6" s="9">
        <f>YEAR(E6)</f>
        <v>2020</v>
      </c>
      <c r="M6">
        <f t="shared" si="0"/>
        <v>1173527.04</v>
      </c>
      <c r="P6" s="74">
        <v>2022</v>
      </c>
      <c r="Q6" s="74">
        <f>ROUND(SUMIF(L3:L138,P6,F3:F138),0)</f>
        <v>20283</v>
      </c>
      <c r="R6" s="74">
        <f>ROUND(SUMIF(L3:L138,P6, M3:M138),0)</f>
        <v>122300820</v>
      </c>
    </row>
    <row r="7" spans="1:20" x14ac:dyDescent="0.15">
      <c r="A7" s="12"/>
      <c r="B7" s="13" t="s">
        <v>277</v>
      </c>
      <c r="C7" s="14" t="s">
        <v>23</v>
      </c>
      <c r="D7" s="15" t="s">
        <v>53</v>
      </c>
      <c r="E7" s="15" t="s">
        <v>293</v>
      </c>
      <c r="F7" s="16">
        <v>442</v>
      </c>
      <c r="G7" s="17">
        <v>39909.449999999997</v>
      </c>
      <c r="H7" s="17">
        <v>6492.45</v>
      </c>
      <c r="I7" s="19">
        <v>17639976.899999999</v>
      </c>
      <c r="J7" s="15" t="s">
        <v>17</v>
      </c>
      <c r="K7" s="15" t="s">
        <v>18</v>
      </c>
      <c r="L7" s="9">
        <f>YEAR(E7)</f>
        <v>2020</v>
      </c>
      <c r="M7">
        <f t="shared" si="0"/>
        <v>2869662.9</v>
      </c>
      <c r="P7" s="74">
        <v>2023</v>
      </c>
      <c r="Q7" s="74">
        <f>ROUND(SUMIF(L3:L138,P7,F3:F138),0)</f>
        <v>22787</v>
      </c>
      <c r="R7" s="74">
        <f>ROUND(SUMIF(L3:L138,P7, M3:M138),0)</f>
        <v>140694752</v>
      </c>
    </row>
    <row r="8" spans="1:20" ht="14" x14ac:dyDescent="0.15">
      <c r="A8" s="12"/>
      <c r="B8" s="13" t="s">
        <v>277</v>
      </c>
      <c r="C8" s="14" t="s">
        <v>38</v>
      </c>
      <c r="D8" s="15" t="s">
        <v>139</v>
      </c>
      <c r="E8" s="15" t="s">
        <v>300</v>
      </c>
      <c r="F8" s="16">
        <v>989</v>
      </c>
      <c r="G8" s="17">
        <v>24274.45</v>
      </c>
      <c r="H8" s="17">
        <v>7019.72</v>
      </c>
      <c r="I8" s="17">
        <v>24007431.050000001</v>
      </c>
      <c r="J8" s="15" t="s">
        <v>17</v>
      </c>
      <c r="K8" s="15" t="s">
        <v>18</v>
      </c>
      <c r="L8" s="9">
        <f>YEAR(E8)</f>
        <v>2020</v>
      </c>
      <c r="M8">
        <f t="shared" si="0"/>
        <v>6942503.0800000001</v>
      </c>
      <c r="P8" s="70" t="s">
        <v>795</v>
      </c>
      <c r="Q8" s="70">
        <f>SUM(Q4:Q7)</f>
        <v>76129</v>
      </c>
      <c r="R8" s="70">
        <f>SUM(R4:R7)</f>
        <v>450351412</v>
      </c>
    </row>
    <row r="9" spans="1:20" x14ac:dyDescent="0.15">
      <c r="A9" s="12"/>
      <c r="B9" s="13" t="s">
        <v>277</v>
      </c>
      <c r="C9" s="14" t="s">
        <v>79</v>
      </c>
      <c r="D9" s="15" t="s">
        <v>139</v>
      </c>
      <c r="E9" s="15" t="s">
        <v>305</v>
      </c>
      <c r="F9" s="16">
        <v>258</v>
      </c>
      <c r="G9" s="17">
        <v>43253.51</v>
      </c>
      <c r="H9" s="17">
        <v>3922.14</v>
      </c>
      <c r="I9" s="17">
        <v>11159405.58</v>
      </c>
      <c r="J9" s="15" t="s">
        <v>28</v>
      </c>
      <c r="K9" s="15" t="s">
        <v>18</v>
      </c>
      <c r="L9" s="9">
        <f>YEAR(E9)</f>
        <v>2020</v>
      </c>
      <c r="M9">
        <f t="shared" si="0"/>
        <v>1011912.12</v>
      </c>
    </row>
    <row r="10" spans="1:20" x14ac:dyDescent="0.15">
      <c r="A10" s="12"/>
      <c r="B10" s="13" t="s">
        <v>277</v>
      </c>
      <c r="C10" s="14" t="s">
        <v>35</v>
      </c>
      <c r="D10" s="15" t="s">
        <v>114</v>
      </c>
      <c r="E10" s="15" t="s">
        <v>250</v>
      </c>
      <c r="F10" s="16">
        <v>449</v>
      </c>
      <c r="G10" s="17">
        <v>22573.52</v>
      </c>
      <c r="H10" s="17">
        <v>5849.58</v>
      </c>
      <c r="I10" s="17">
        <v>10135510.48</v>
      </c>
      <c r="J10" s="15" t="s">
        <v>17</v>
      </c>
      <c r="K10" s="15" t="s">
        <v>18</v>
      </c>
      <c r="L10" s="9">
        <f>YEAR(E10)</f>
        <v>2020</v>
      </c>
      <c r="M10">
        <f t="shared" si="0"/>
        <v>2626461.42</v>
      </c>
    </row>
    <row r="11" spans="1:20" x14ac:dyDescent="0.15">
      <c r="A11" s="12"/>
      <c r="B11" s="13" t="s">
        <v>277</v>
      </c>
      <c r="C11" s="14" t="s">
        <v>25</v>
      </c>
      <c r="D11" s="15" t="s">
        <v>114</v>
      </c>
      <c r="E11" s="15" t="s">
        <v>109</v>
      </c>
      <c r="F11" s="16">
        <v>644</v>
      </c>
      <c r="G11" s="17">
        <v>11922.17</v>
      </c>
      <c r="H11" s="17">
        <v>2972.84</v>
      </c>
      <c r="I11" s="17">
        <v>7677877.4800000004</v>
      </c>
      <c r="J11" s="15" t="s">
        <v>17</v>
      </c>
      <c r="K11" s="15" t="s">
        <v>18</v>
      </c>
      <c r="L11" s="9">
        <f>YEAR(E11)</f>
        <v>2020</v>
      </c>
      <c r="M11">
        <f t="shared" si="0"/>
        <v>1914508.9600000002</v>
      </c>
    </row>
    <row r="12" spans="1:20" ht="18" customHeight="1" x14ac:dyDescent="0.15">
      <c r="A12" s="12"/>
      <c r="B12" s="13" t="s">
        <v>277</v>
      </c>
      <c r="C12" s="14" t="s">
        <v>25</v>
      </c>
      <c r="D12" s="15" t="s">
        <v>15</v>
      </c>
      <c r="E12" s="15" t="s">
        <v>325</v>
      </c>
      <c r="F12" s="16">
        <v>121</v>
      </c>
      <c r="G12" s="17">
        <v>39676.69</v>
      </c>
      <c r="H12" s="17">
        <v>4143.1899999999996</v>
      </c>
      <c r="I12" s="17">
        <v>4800879.49</v>
      </c>
      <c r="J12" s="15" t="s">
        <v>17</v>
      </c>
      <c r="K12" s="15" t="s">
        <v>18</v>
      </c>
      <c r="L12" s="9">
        <f>YEAR(E12)</f>
        <v>2020</v>
      </c>
      <c r="M12">
        <f t="shared" si="0"/>
        <v>501325.98999999993</v>
      </c>
      <c r="P12" s="36" t="s">
        <v>787</v>
      </c>
      <c r="Q12" s="32" t="s">
        <v>785</v>
      </c>
      <c r="R12" s="37" t="s">
        <v>797</v>
      </c>
      <c r="S12" s="37" t="s">
        <v>790</v>
      </c>
      <c r="T12" s="59" t="s">
        <v>798</v>
      </c>
    </row>
    <row r="13" spans="1:20" ht="14" x14ac:dyDescent="0.15">
      <c r="A13" s="12"/>
      <c r="B13" s="13" t="s">
        <v>277</v>
      </c>
      <c r="C13" s="14" t="s">
        <v>57</v>
      </c>
      <c r="D13" s="15" t="s">
        <v>26</v>
      </c>
      <c r="E13" s="15" t="s">
        <v>333</v>
      </c>
      <c r="F13" s="16">
        <v>482</v>
      </c>
      <c r="G13" s="17">
        <v>34497.660000000003</v>
      </c>
      <c r="H13" s="17">
        <v>2071.13</v>
      </c>
      <c r="I13" s="17">
        <v>16627872.119999999</v>
      </c>
      <c r="J13" s="15" t="s">
        <v>22</v>
      </c>
      <c r="K13" s="15" t="s">
        <v>18</v>
      </c>
      <c r="L13" s="9">
        <f>YEAR(E13)</f>
        <v>2020</v>
      </c>
      <c r="M13">
        <f t="shared" si="0"/>
        <v>998284.66</v>
      </c>
      <c r="P13" s="80" t="s">
        <v>89</v>
      </c>
      <c r="Q13" s="81">
        <v>8358</v>
      </c>
      <c r="R13" s="82">
        <v>31324.373846153845</v>
      </c>
      <c r="S13" s="82">
        <v>266200622.93000004</v>
      </c>
      <c r="T13" s="83">
        <v>58035607.240000002</v>
      </c>
    </row>
    <row r="14" spans="1:20" x14ac:dyDescent="0.15">
      <c r="A14" s="12"/>
      <c r="B14" s="13" t="s">
        <v>277</v>
      </c>
      <c r="C14" s="14" t="s">
        <v>31</v>
      </c>
      <c r="D14" s="15" t="s">
        <v>26</v>
      </c>
      <c r="E14" s="15" t="s">
        <v>334</v>
      </c>
      <c r="F14" s="16">
        <v>798</v>
      </c>
      <c r="G14" s="17">
        <v>43030.42</v>
      </c>
      <c r="H14" s="17">
        <v>5718.02</v>
      </c>
      <c r="I14" s="17">
        <v>34338275.159999996</v>
      </c>
      <c r="J14" s="15" t="s">
        <v>22</v>
      </c>
      <c r="K14" s="15" t="s">
        <v>18</v>
      </c>
      <c r="L14" s="9">
        <f>YEAR(E14)</f>
        <v>2020</v>
      </c>
      <c r="M14">
        <f t="shared" si="0"/>
        <v>4562979.96</v>
      </c>
      <c r="P14" s="63">
        <v>2020</v>
      </c>
      <c r="Q14" s="43">
        <v>2871</v>
      </c>
      <c r="R14" s="44">
        <v>31254.205000000002</v>
      </c>
      <c r="S14" s="44">
        <v>86167458.329999998</v>
      </c>
      <c r="T14" s="61">
        <v>20020140.010000002</v>
      </c>
    </row>
    <row r="15" spans="1:20" x14ac:dyDescent="0.15">
      <c r="A15" s="12"/>
      <c r="B15" s="13" t="s">
        <v>277</v>
      </c>
      <c r="C15" s="14" t="s">
        <v>57</v>
      </c>
      <c r="D15" s="15" t="s">
        <v>26</v>
      </c>
      <c r="E15" s="15" t="s">
        <v>335</v>
      </c>
      <c r="F15" s="16">
        <v>216</v>
      </c>
      <c r="G15" s="17">
        <v>25895.71</v>
      </c>
      <c r="H15" s="17">
        <v>5588.44</v>
      </c>
      <c r="I15" s="17">
        <v>5593473.3600000003</v>
      </c>
      <c r="J15" s="15" t="s">
        <v>17</v>
      </c>
      <c r="K15" s="15" t="s">
        <v>18</v>
      </c>
      <c r="L15" s="9">
        <f>YEAR(E15)</f>
        <v>2020</v>
      </c>
      <c r="M15">
        <f t="shared" si="0"/>
        <v>1207103.0399999998</v>
      </c>
      <c r="P15" s="63">
        <v>2021</v>
      </c>
      <c r="Q15" s="43">
        <v>1125</v>
      </c>
      <c r="R15" s="44">
        <v>28701.715</v>
      </c>
      <c r="S15" s="44">
        <v>32593181.550000001</v>
      </c>
      <c r="T15" s="61">
        <v>4645757.4499999993</v>
      </c>
    </row>
    <row r="16" spans="1:20" x14ac:dyDescent="0.15">
      <c r="A16" s="12"/>
      <c r="B16" s="13" t="s">
        <v>277</v>
      </c>
      <c r="C16" s="14" t="s">
        <v>14</v>
      </c>
      <c r="D16" s="15" t="s">
        <v>26</v>
      </c>
      <c r="E16" s="15" t="s">
        <v>336</v>
      </c>
      <c r="F16" s="16">
        <v>689</v>
      </c>
      <c r="G16" s="17">
        <v>29393.13</v>
      </c>
      <c r="H16" s="17">
        <v>3650.64</v>
      </c>
      <c r="I16" s="17">
        <v>20251866.57</v>
      </c>
      <c r="J16" s="15" t="s">
        <v>17</v>
      </c>
      <c r="K16" s="15" t="s">
        <v>18</v>
      </c>
      <c r="L16" s="9">
        <f>YEAR(E16)</f>
        <v>2020</v>
      </c>
      <c r="M16">
        <f t="shared" si="0"/>
        <v>2515290.96</v>
      </c>
      <c r="P16" s="63">
        <v>2022</v>
      </c>
      <c r="Q16" s="43">
        <v>1586</v>
      </c>
      <c r="R16" s="44">
        <v>29861.129999999997</v>
      </c>
      <c r="S16" s="44">
        <v>50381084.659999996</v>
      </c>
      <c r="T16" s="61">
        <v>8833728.5399999991</v>
      </c>
    </row>
    <row r="17" spans="1:20" x14ac:dyDescent="0.15">
      <c r="A17" s="12"/>
      <c r="B17" s="13" t="s">
        <v>277</v>
      </c>
      <c r="C17" s="14" t="s">
        <v>35</v>
      </c>
      <c r="D17" s="15" t="s">
        <v>26</v>
      </c>
      <c r="E17" s="15" t="s">
        <v>337</v>
      </c>
      <c r="F17" s="16">
        <v>723</v>
      </c>
      <c r="G17" s="17">
        <v>24896.53</v>
      </c>
      <c r="H17" s="19">
        <v>4266.1000000000004</v>
      </c>
      <c r="I17" s="17">
        <v>18000191.190000001</v>
      </c>
      <c r="J17" s="15" t="s">
        <v>30</v>
      </c>
      <c r="K17" s="15" t="s">
        <v>18</v>
      </c>
      <c r="L17" s="9">
        <f>YEAR(E17)</f>
        <v>2020</v>
      </c>
      <c r="M17">
        <f t="shared" si="0"/>
        <v>3084390.3000000003</v>
      </c>
      <c r="P17" s="63">
        <v>2023</v>
      </c>
      <c r="Q17" s="43">
        <v>2776</v>
      </c>
      <c r="R17" s="44">
        <v>35117.363333333335</v>
      </c>
      <c r="S17" s="44">
        <v>97058898.390000001</v>
      </c>
      <c r="T17" s="61">
        <v>24535981.240000002</v>
      </c>
    </row>
    <row r="18" spans="1:20" ht="14" x14ac:dyDescent="0.15">
      <c r="A18" s="12"/>
      <c r="B18" s="13" t="s">
        <v>277</v>
      </c>
      <c r="C18" s="14" t="s">
        <v>25</v>
      </c>
      <c r="D18" s="15" t="s">
        <v>153</v>
      </c>
      <c r="E18" s="15" t="s">
        <v>337</v>
      </c>
      <c r="F18" s="16">
        <v>355</v>
      </c>
      <c r="G18" s="17">
        <v>19246.61</v>
      </c>
      <c r="H18" s="17">
        <v>2599.13</v>
      </c>
      <c r="I18" s="17">
        <v>6832546.5499999998</v>
      </c>
      <c r="J18" s="15" t="s">
        <v>17</v>
      </c>
      <c r="K18" s="15" t="s">
        <v>18</v>
      </c>
      <c r="L18" s="9">
        <f>YEAR(E18)</f>
        <v>2020</v>
      </c>
      <c r="M18">
        <f t="shared" si="0"/>
        <v>922691.15</v>
      </c>
      <c r="P18" s="76" t="s">
        <v>70</v>
      </c>
      <c r="Q18" s="77">
        <v>5749</v>
      </c>
      <c r="R18" s="78">
        <v>30861.452499999996</v>
      </c>
      <c r="S18" s="78">
        <v>188191079.56999999</v>
      </c>
      <c r="T18" s="79">
        <v>31614389.870000001</v>
      </c>
    </row>
    <row r="19" spans="1:20" x14ac:dyDescent="0.15">
      <c r="A19" s="12"/>
      <c r="B19" s="13" t="s">
        <v>277</v>
      </c>
      <c r="C19" s="14" t="s">
        <v>19</v>
      </c>
      <c r="D19" s="15" t="s">
        <v>26</v>
      </c>
      <c r="E19" s="15" t="s">
        <v>338</v>
      </c>
      <c r="F19" s="16">
        <v>997</v>
      </c>
      <c r="G19" s="19">
        <v>23337.7</v>
      </c>
      <c r="H19" s="17">
        <v>5441.12</v>
      </c>
      <c r="I19" s="19">
        <v>23267686.899999999</v>
      </c>
      <c r="J19" s="15" t="s">
        <v>17</v>
      </c>
      <c r="K19" s="15" t="s">
        <v>18</v>
      </c>
      <c r="L19" s="9">
        <f>YEAR(E19)</f>
        <v>2020</v>
      </c>
      <c r="M19">
        <f t="shared" si="0"/>
        <v>5424796.6399999997</v>
      </c>
      <c r="P19" s="63">
        <v>2020</v>
      </c>
      <c r="Q19" s="43">
        <v>1559</v>
      </c>
      <c r="R19" s="44">
        <v>20613.724999999999</v>
      </c>
      <c r="S19" s="44">
        <v>30259323.669999994</v>
      </c>
      <c r="T19" s="61">
        <v>7264573.6500000004</v>
      </c>
    </row>
    <row r="20" spans="1:20" x14ac:dyDescent="0.15">
      <c r="A20" s="12"/>
      <c r="B20" s="13" t="s">
        <v>277</v>
      </c>
      <c r="C20" s="14" t="s">
        <v>43</v>
      </c>
      <c r="D20" s="15" t="s">
        <v>68</v>
      </c>
      <c r="E20" s="15" t="s">
        <v>339</v>
      </c>
      <c r="F20" s="16">
        <v>181</v>
      </c>
      <c r="G20" s="17">
        <v>42649.85</v>
      </c>
      <c r="H20" s="17">
        <v>4580.5200000000004</v>
      </c>
      <c r="I20" s="17">
        <v>7719622.8499999996</v>
      </c>
      <c r="J20" s="15" t="s">
        <v>17</v>
      </c>
      <c r="K20" s="15" t="s">
        <v>18</v>
      </c>
      <c r="L20" s="9">
        <f>YEAR(E20)</f>
        <v>2020</v>
      </c>
      <c r="M20">
        <f t="shared" si="0"/>
        <v>829074.12000000011</v>
      </c>
      <c r="P20" s="63">
        <v>2021</v>
      </c>
      <c r="Q20" s="43">
        <v>1219</v>
      </c>
      <c r="R20" s="44">
        <v>29994.074999999997</v>
      </c>
      <c r="S20" s="44">
        <v>36738486.420000002</v>
      </c>
      <c r="T20" s="61">
        <v>5613013.4000000004</v>
      </c>
    </row>
    <row r="21" spans="1:20" x14ac:dyDescent="0.15">
      <c r="A21" s="12"/>
      <c r="B21" s="13" t="s">
        <v>277</v>
      </c>
      <c r="C21" s="14" t="s">
        <v>79</v>
      </c>
      <c r="D21" s="15" t="s">
        <v>89</v>
      </c>
      <c r="E21" s="15" t="s">
        <v>339</v>
      </c>
      <c r="F21" s="16">
        <v>953</v>
      </c>
      <c r="G21" s="17">
        <v>30715.74</v>
      </c>
      <c r="H21" s="17">
        <v>7323.65</v>
      </c>
      <c r="I21" s="17">
        <v>29272100.219999999</v>
      </c>
      <c r="J21" s="15" t="s">
        <v>28</v>
      </c>
      <c r="K21" s="15" t="s">
        <v>18</v>
      </c>
      <c r="L21" s="9">
        <f>YEAR(E21)</f>
        <v>2020</v>
      </c>
      <c r="M21">
        <f t="shared" si="0"/>
        <v>6979438.4499999993</v>
      </c>
      <c r="P21" s="63">
        <v>2022</v>
      </c>
      <c r="Q21" s="43">
        <v>1676</v>
      </c>
      <c r="R21" s="44">
        <v>41026.816666666673</v>
      </c>
      <c r="S21" s="44">
        <v>73510869.75</v>
      </c>
      <c r="T21" s="61">
        <v>10260299.119999999</v>
      </c>
    </row>
    <row r="22" spans="1:20" x14ac:dyDescent="0.15">
      <c r="A22" s="12"/>
      <c r="B22" s="13" t="s">
        <v>277</v>
      </c>
      <c r="C22" s="14" t="s">
        <v>43</v>
      </c>
      <c r="D22" s="15" t="s">
        <v>70</v>
      </c>
      <c r="E22" s="15" t="s">
        <v>356</v>
      </c>
      <c r="F22" s="16">
        <v>839</v>
      </c>
      <c r="G22" s="17">
        <v>20194.91</v>
      </c>
      <c r="H22" s="17">
        <v>4050.93</v>
      </c>
      <c r="I22" s="17">
        <v>16943529.489999998</v>
      </c>
      <c r="J22" s="15" t="s">
        <v>22</v>
      </c>
      <c r="K22" s="15" t="s">
        <v>18</v>
      </c>
      <c r="L22" s="9">
        <f>YEAR(E22)</f>
        <v>2020</v>
      </c>
      <c r="M22">
        <f t="shared" si="0"/>
        <v>3398730.27</v>
      </c>
      <c r="P22" s="63">
        <v>2023</v>
      </c>
      <c r="Q22" s="43">
        <v>1295</v>
      </c>
      <c r="R22" s="44">
        <v>34937.976666666662</v>
      </c>
      <c r="S22" s="44">
        <v>47682399.730000004</v>
      </c>
      <c r="T22" s="61">
        <v>8476503.6999999993</v>
      </c>
    </row>
    <row r="23" spans="1:20" ht="14" x14ac:dyDescent="0.15">
      <c r="A23" s="12"/>
      <c r="B23" s="13" t="s">
        <v>277</v>
      </c>
      <c r="C23" s="14" t="s">
        <v>38</v>
      </c>
      <c r="D23" s="15" t="s">
        <v>70</v>
      </c>
      <c r="E23" s="15" t="s">
        <v>357</v>
      </c>
      <c r="F23" s="16">
        <v>435</v>
      </c>
      <c r="G23" s="17">
        <v>15057.51</v>
      </c>
      <c r="H23" s="19">
        <v>5455.6</v>
      </c>
      <c r="I23" s="17">
        <v>6550016.8499999996</v>
      </c>
      <c r="J23" s="15" t="s">
        <v>30</v>
      </c>
      <c r="K23" s="15" t="s">
        <v>18</v>
      </c>
      <c r="L23" s="9">
        <f>YEAR(E23)</f>
        <v>2020</v>
      </c>
      <c r="M23">
        <f t="shared" si="0"/>
        <v>2373186</v>
      </c>
      <c r="P23" s="76" t="s">
        <v>26</v>
      </c>
      <c r="Q23" s="77">
        <v>8618</v>
      </c>
      <c r="R23" s="78">
        <v>30853.190769230772</v>
      </c>
      <c r="S23" s="78">
        <v>268289708.97999993</v>
      </c>
      <c r="T23" s="79">
        <v>44545057.329999998</v>
      </c>
    </row>
    <row r="24" spans="1:20" x14ac:dyDescent="0.15">
      <c r="A24" s="12"/>
      <c r="B24" s="13" t="s">
        <v>277</v>
      </c>
      <c r="C24" s="14" t="s">
        <v>19</v>
      </c>
      <c r="D24" s="15" t="s">
        <v>70</v>
      </c>
      <c r="E24" s="15" t="s">
        <v>362</v>
      </c>
      <c r="F24" s="16">
        <v>167</v>
      </c>
      <c r="G24" s="17">
        <v>24405.81</v>
      </c>
      <c r="H24" s="17">
        <v>5557.46</v>
      </c>
      <c r="I24" s="17">
        <v>4075770.27</v>
      </c>
      <c r="J24" s="15" t="s">
        <v>17</v>
      </c>
      <c r="K24" s="15" t="s">
        <v>18</v>
      </c>
      <c r="L24" s="9">
        <f>YEAR(E24)</f>
        <v>2020</v>
      </c>
      <c r="M24">
        <f t="shared" si="0"/>
        <v>928095.82</v>
      </c>
      <c r="P24" s="63">
        <v>2020</v>
      </c>
      <c r="Q24" s="43">
        <v>3905</v>
      </c>
      <c r="R24" s="44">
        <v>30175.191666666669</v>
      </c>
      <c r="S24" s="44">
        <v>118079365.29999998</v>
      </c>
      <c r="T24" s="61">
        <v>17792845.560000002</v>
      </c>
    </row>
    <row r="25" spans="1:20" x14ac:dyDescent="0.15">
      <c r="A25" s="12"/>
      <c r="B25" s="13" t="s">
        <v>277</v>
      </c>
      <c r="C25" s="14" t="s">
        <v>79</v>
      </c>
      <c r="D25" s="15" t="s">
        <v>70</v>
      </c>
      <c r="E25" s="15" t="s">
        <v>363</v>
      </c>
      <c r="F25" s="16">
        <v>118</v>
      </c>
      <c r="G25" s="17">
        <v>22796.67</v>
      </c>
      <c r="H25" s="17">
        <v>4784.42</v>
      </c>
      <c r="I25" s="17">
        <v>2690007.06</v>
      </c>
      <c r="J25" s="15" t="s">
        <v>17</v>
      </c>
      <c r="K25" s="15" t="s">
        <v>18</v>
      </c>
      <c r="L25" s="9">
        <f>YEAR(E25)</f>
        <v>2020</v>
      </c>
      <c r="M25">
        <f t="shared" si="0"/>
        <v>564561.56000000006</v>
      </c>
      <c r="P25" s="63">
        <v>2021</v>
      </c>
      <c r="Q25" s="43">
        <v>1388</v>
      </c>
      <c r="R25" s="44">
        <v>30165.1</v>
      </c>
      <c r="S25" s="44">
        <v>37633766.759999998</v>
      </c>
      <c r="T25" s="61">
        <v>10843274.199999999</v>
      </c>
    </row>
    <row r="26" spans="1:20" x14ac:dyDescent="0.15">
      <c r="A26" s="12"/>
      <c r="B26" s="13" t="s">
        <v>277</v>
      </c>
      <c r="C26" s="14" t="s">
        <v>14</v>
      </c>
      <c r="D26" s="15" t="s">
        <v>107</v>
      </c>
      <c r="E26" s="15" t="s">
        <v>365</v>
      </c>
      <c r="F26" s="16">
        <v>207</v>
      </c>
      <c r="G26" s="17">
        <v>14501.74</v>
      </c>
      <c r="H26" s="17">
        <v>4713.01</v>
      </c>
      <c r="I26" s="17">
        <v>3001860.18</v>
      </c>
      <c r="J26" s="15" t="s">
        <v>17</v>
      </c>
      <c r="K26" s="15" t="s">
        <v>18</v>
      </c>
      <c r="L26" s="9">
        <f>YEAR(E26)</f>
        <v>2020</v>
      </c>
      <c r="M26">
        <f t="shared" si="0"/>
        <v>975593.07000000007</v>
      </c>
      <c r="P26" s="63">
        <v>2023</v>
      </c>
      <c r="Q26" s="43">
        <v>3325</v>
      </c>
      <c r="R26" s="44">
        <v>31942.025999999994</v>
      </c>
      <c r="S26" s="44">
        <v>112576576.92000002</v>
      </c>
      <c r="T26" s="61">
        <v>15908937.57</v>
      </c>
    </row>
    <row r="27" spans="1:20" ht="14" x14ac:dyDescent="0.15">
      <c r="A27" s="12"/>
      <c r="B27" s="13" t="s">
        <v>277</v>
      </c>
      <c r="C27" s="14" t="s">
        <v>25</v>
      </c>
      <c r="D27" s="15" t="s">
        <v>107</v>
      </c>
      <c r="E27" s="15" t="s">
        <v>367</v>
      </c>
      <c r="F27" s="16">
        <v>332</v>
      </c>
      <c r="G27" s="19">
        <v>42678.9</v>
      </c>
      <c r="H27" s="17">
        <v>2935.51</v>
      </c>
      <c r="I27" s="19">
        <v>14169394.800000001</v>
      </c>
      <c r="J27" s="15" t="s">
        <v>17</v>
      </c>
      <c r="K27" s="15" t="s">
        <v>18</v>
      </c>
      <c r="L27" s="9">
        <f>YEAR(E27)</f>
        <v>2020</v>
      </c>
      <c r="M27">
        <f t="shared" si="0"/>
        <v>974589.32000000007</v>
      </c>
      <c r="P27" s="76" t="s">
        <v>68</v>
      </c>
      <c r="Q27" s="77">
        <v>11220</v>
      </c>
      <c r="R27" s="78">
        <v>35048.953888888886</v>
      </c>
      <c r="S27" s="78">
        <v>397164699.23000002</v>
      </c>
      <c r="T27" s="79">
        <v>75552737.450000003</v>
      </c>
    </row>
    <row r="28" spans="1:20" x14ac:dyDescent="0.15">
      <c r="A28" s="12"/>
      <c r="B28" s="13" t="s">
        <v>277</v>
      </c>
      <c r="C28" s="14" t="s">
        <v>14</v>
      </c>
      <c r="D28" s="15" t="s">
        <v>107</v>
      </c>
      <c r="E28" s="15" t="s">
        <v>369</v>
      </c>
      <c r="F28" s="16">
        <v>741</v>
      </c>
      <c r="G28" s="17">
        <v>47745.33</v>
      </c>
      <c r="H28" s="17">
        <v>7767.31</v>
      </c>
      <c r="I28" s="17">
        <v>35379289.530000001</v>
      </c>
      <c r="J28" s="15" t="s">
        <v>17</v>
      </c>
      <c r="K28" s="15" t="s">
        <v>18</v>
      </c>
      <c r="L28" s="9">
        <f>YEAR(E28)</f>
        <v>2020</v>
      </c>
      <c r="M28">
        <f t="shared" si="0"/>
        <v>5755576.71</v>
      </c>
      <c r="O28" s="73"/>
      <c r="P28" s="63">
        <v>2020</v>
      </c>
      <c r="Q28" s="43">
        <v>181</v>
      </c>
      <c r="R28" s="44">
        <v>42649.85</v>
      </c>
      <c r="S28" s="44">
        <v>7719622.8499999996</v>
      </c>
      <c r="T28" s="61">
        <v>829074.12000000011</v>
      </c>
    </row>
    <row r="29" spans="1:20" x14ac:dyDescent="0.15">
      <c r="A29" s="12"/>
      <c r="B29" s="13" t="s">
        <v>277</v>
      </c>
      <c r="C29" s="14" t="s">
        <v>31</v>
      </c>
      <c r="D29" s="15" t="s">
        <v>107</v>
      </c>
      <c r="E29" s="15" t="s">
        <v>370</v>
      </c>
      <c r="F29" s="16">
        <v>276</v>
      </c>
      <c r="G29" s="17">
        <v>35183.879999999997</v>
      </c>
      <c r="H29" s="17">
        <v>7272.88</v>
      </c>
      <c r="I29" s="17">
        <v>9710750.8800000008</v>
      </c>
      <c r="J29" s="15" t="s">
        <v>22</v>
      </c>
      <c r="K29" s="15" t="s">
        <v>18</v>
      </c>
      <c r="L29" s="9">
        <f>YEAR(E29)</f>
        <v>2020</v>
      </c>
      <c r="M29">
        <f t="shared" si="0"/>
        <v>2007314.8800000001</v>
      </c>
      <c r="O29" s="74"/>
      <c r="P29" s="63">
        <v>2021</v>
      </c>
      <c r="Q29" s="43">
        <v>3997</v>
      </c>
      <c r="R29" s="44">
        <v>35028.108571428573</v>
      </c>
      <c r="S29" s="44">
        <v>151620954.56999999</v>
      </c>
      <c r="T29" s="61">
        <v>25462931.870000001</v>
      </c>
    </row>
    <row r="30" spans="1:20" x14ac:dyDescent="0.15">
      <c r="A30" s="12"/>
      <c r="B30" s="13" t="s">
        <v>277</v>
      </c>
      <c r="C30" s="14" t="s">
        <v>19</v>
      </c>
      <c r="D30" s="15" t="s">
        <v>107</v>
      </c>
      <c r="E30" s="15" t="s">
        <v>372</v>
      </c>
      <c r="F30" s="16">
        <v>360</v>
      </c>
      <c r="G30" s="17">
        <v>26607.040000000001</v>
      </c>
      <c r="H30" s="17">
        <v>3144.34</v>
      </c>
      <c r="I30" s="19">
        <v>9578534.4000000004</v>
      </c>
      <c r="J30" s="15" t="s">
        <v>28</v>
      </c>
      <c r="K30" s="15" t="s">
        <v>18</v>
      </c>
      <c r="L30" s="9">
        <f>YEAR(E30)</f>
        <v>2020</v>
      </c>
      <c r="M30">
        <f t="shared" si="0"/>
        <v>1131962.4000000001</v>
      </c>
      <c r="O30" s="74"/>
      <c r="P30" s="63">
        <v>2022</v>
      </c>
      <c r="Q30" s="43">
        <v>4258</v>
      </c>
      <c r="R30" s="44">
        <v>33094.934999999998</v>
      </c>
      <c r="S30" s="44">
        <v>134006282.28999999</v>
      </c>
      <c r="T30" s="61">
        <v>26683025.830000002</v>
      </c>
    </row>
    <row r="31" spans="1:20" x14ac:dyDescent="0.15">
      <c r="A31" s="12"/>
      <c r="B31" s="13" t="s">
        <v>277</v>
      </c>
      <c r="C31" s="14" t="s">
        <v>25</v>
      </c>
      <c r="D31" s="15" t="s">
        <v>107</v>
      </c>
      <c r="E31" s="15" t="s">
        <v>373</v>
      </c>
      <c r="F31" s="16">
        <v>410</v>
      </c>
      <c r="G31" s="17">
        <v>42063.46</v>
      </c>
      <c r="H31" s="19">
        <v>8620.2000000000007</v>
      </c>
      <c r="I31" s="19">
        <v>17246018.600000001</v>
      </c>
      <c r="J31" s="15" t="s">
        <v>22</v>
      </c>
      <c r="K31" s="15" t="s">
        <v>18</v>
      </c>
      <c r="L31" s="9">
        <f>YEAR(E31)</f>
        <v>2020</v>
      </c>
      <c r="M31">
        <f t="shared" si="0"/>
        <v>3534282.0000000005</v>
      </c>
      <c r="O31" s="74"/>
      <c r="P31" s="63">
        <v>2023</v>
      </c>
      <c r="Q31" s="43">
        <v>2784</v>
      </c>
      <c r="R31" s="44">
        <v>36116.237500000003</v>
      </c>
      <c r="S31" s="44">
        <v>103817839.52000001</v>
      </c>
      <c r="T31" s="61">
        <v>22577705.629999999</v>
      </c>
    </row>
    <row r="32" spans="1:20" ht="14" x14ac:dyDescent="0.15">
      <c r="A32" s="12"/>
      <c r="B32" s="13" t="s">
        <v>277</v>
      </c>
      <c r="C32" s="14" t="s">
        <v>19</v>
      </c>
      <c r="D32" s="15" t="s">
        <v>89</v>
      </c>
      <c r="E32" s="15" t="s">
        <v>376</v>
      </c>
      <c r="F32" s="16">
        <v>847</v>
      </c>
      <c r="G32" s="19">
        <v>19595.099999999999</v>
      </c>
      <c r="H32" s="17">
        <v>8836.6200000000008</v>
      </c>
      <c r="I32" s="19">
        <v>16597049.699999999</v>
      </c>
      <c r="J32" s="15" t="s">
        <v>30</v>
      </c>
      <c r="K32" s="15" t="s">
        <v>18</v>
      </c>
      <c r="L32" s="9">
        <f>YEAR(E32)</f>
        <v>2020</v>
      </c>
      <c r="M32">
        <f t="shared" si="0"/>
        <v>7484617.1400000006</v>
      </c>
      <c r="O32" s="74"/>
      <c r="P32" s="80" t="s">
        <v>114</v>
      </c>
      <c r="Q32" s="81">
        <v>7423</v>
      </c>
      <c r="R32" s="82">
        <v>24321.105384615385</v>
      </c>
      <c r="S32" s="82">
        <v>158898529.06</v>
      </c>
      <c r="T32" s="83">
        <v>44894917.560000002</v>
      </c>
    </row>
    <row r="33" spans="1:20" ht="14" x14ac:dyDescent="0.15">
      <c r="A33" s="12"/>
      <c r="B33" s="13" t="s">
        <v>277</v>
      </c>
      <c r="C33" s="14" t="s">
        <v>19</v>
      </c>
      <c r="D33" s="15" t="s">
        <v>89</v>
      </c>
      <c r="E33" s="15" t="s">
        <v>377</v>
      </c>
      <c r="F33" s="16">
        <v>492</v>
      </c>
      <c r="G33" s="17">
        <v>33982.230000000003</v>
      </c>
      <c r="H33" s="17">
        <v>3031.16</v>
      </c>
      <c r="I33" s="17">
        <v>16719257.16</v>
      </c>
      <c r="J33" s="15" t="s">
        <v>17</v>
      </c>
      <c r="K33" s="15" t="s">
        <v>18</v>
      </c>
      <c r="L33" s="9">
        <f>YEAR(E33)</f>
        <v>2020</v>
      </c>
      <c r="M33">
        <f t="shared" si="0"/>
        <v>1491330.72</v>
      </c>
      <c r="O33" s="74"/>
      <c r="P33" s="39" t="s">
        <v>107</v>
      </c>
      <c r="Q33" s="40">
        <v>5465</v>
      </c>
      <c r="R33" s="41">
        <v>33673.215454545454</v>
      </c>
      <c r="S33" s="41">
        <v>192738381.17000002</v>
      </c>
      <c r="T33" s="60">
        <v>30241398.670000002</v>
      </c>
    </row>
    <row r="34" spans="1:20" x14ac:dyDescent="0.15">
      <c r="A34" s="12"/>
      <c r="B34" s="13" t="s">
        <v>277</v>
      </c>
      <c r="C34" s="14" t="s">
        <v>14</v>
      </c>
      <c r="D34" s="15" t="s">
        <v>89</v>
      </c>
      <c r="E34" s="15" t="s">
        <v>380</v>
      </c>
      <c r="F34" s="16">
        <v>579</v>
      </c>
      <c r="G34" s="17">
        <v>40723.75</v>
      </c>
      <c r="H34" s="19">
        <v>7020.3</v>
      </c>
      <c r="I34" s="17">
        <v>23579051.25</v>
      </c>
      <c r="J34" s="15" t="s">
        <v>30</v>
      </c>
      <c r="K34" s="15" t="s">
        <v>18</v>
      </c>
      <c r="L34" s="9">
        <f>YEAR(E34)</f>
        <v>2020</v>
      </c>
      <c r="M34">
        <f t="shared" si="0"/>
        <v>4064753.7</v>
      </c>
      <c r="P34" s="63">
        <v>2020</v>
      </c>
      <c r="Q34" s="43">
        <v>2326</v>
      </c>
      <c r="R34" s="44">
        <v>34796.724999999999</v>
      </c>
      <c r="S34" s="44">
        <v>89085848.390000015</v>
      </c>
      <c r="T34" s="61">
        <v>14379318.380000001</v>
      </c>
    </row>
    <row r="35" spans="1:20" x14ac:dyDescent="0.15">
      <c r="A35" s="12"/>
      <c r="B35" s="13" t="s">
        <v>277</v>
      </c>
      <c r="C35" s="14" t="s">
        <v>43</v>
      </c>
      <c r="D35" s="15" t="s">
        <v>53</v>
      </c>
      <c r="E35" s="15" t="s">
        <v>283</v>
      </c>
      <c r="F35" s="16">
        <v>864</v>
      </c>
      <c r="G35" s="17">
        <v>40976.449999999997</v>
      </c>
      <c r="H35" s="17">
        <v>3472.61</v>
      </c>
      <c r="I35" s="19">
        <v>35403652.799999997</v>
      </c>
      <c r="J35" s="15" t="s">
        <v>17</v>
      </c>
      <c r="K35" s="15" t="s">
        <v>18</v>
      </c>
      <c r="L35" s="9">
        <f>YEAR(E35)</f>
        <v>2021</v>
      </c>
      <c r="M35">
        <f t="shared" si="0"/>
        <v>3000335.04</v>
      </c>
      <c r="P35" s="63">
        <v>2021</v>
      </c>
      <c r="Q35" s="43">
        <v>1768</v>
      </c>
      <c r="R35" s="44">
        <v>26638.426666666666</v>
      </c>
      <c r="S35" s="44">
        <v>47302609.560000002</v>
      </c>
      <c r="T35" s="61">
        <v>11537841.920000002</v>
      </c>
    </row>
    <row r="36" spans="1:20" x14ac:dyDescent="0.15">
      <c r="A36" s="12"/>
      <c r="B36" s="13" t="s">
        <v>277</v>
      </c>
      <c r="C36" s="14" t="s">
        <v>14</v>
      </c>
      <c r="D36" s="15" t="s">
        <v>53</v>
      </c>
      <c r="E36" s="15" t="s">
        <v>285</v>
      </c>
      <c r="F36" s="16">
        <v>743</v>
      </c>
      <c r="G36" s="17">
        <v>20825.009999999998</v>
      </c>
      <c r="H36" s="17">
        <v>2879.25</v>
      </c>
      <c r="I36" s="17">
        <v>15472982.43</v>
      </c>
      <c r="J36" s="15" t="s">
        <v>30</v>
      </c>
      <c r="K36" s="15" t="s">
        <v>18</v>
      </c>
      <c r="L36" s="9">
        <f>YEAR(E36)</f>
        <v>2021</v>
      </c>
      <c r="M36">
        <f t="shared" si="0"/>
        <v>2139282.75</v>
      </c>
      <c r="P36" s="63">
        <v>2023</v>
      </c>
      <c r="Q36" s="43">
        <v>1371</v>
      </c>
      <c r="R36" s="44">
        <v>40854.869999999995</v>
      </c>
      <c r="S36" s="44">
        <v>56349923.219999999</v>
      </c>
      <c r="T36" s="61">
        <v>4324238.37</v>
      </c>
    </row>
    <row r="37" spans="1:20" ht="14" customHeight="1" x14ac:dyDescent="0.15">
      <c r="A37" s="12"/>
      <c r="B37" s="13" t="s">
        <v>277</v>
      </c>
      <c r="C37" s="14" t="s">
        <v>79</v>
      </c>
      <c r="D37" s="15" t="s">
        <v>53</v>
      </c>
      <c r="E37" s="15" t="s">
        <v>288</v>
      </c>
      <c r="F37" s="16">
        <v>157</v>
      </c>
      <c r="G37" s="17">
        <v>11352.41</v>
      </c>
      <c r="H37" s="17">
        <v>6556.99</v>
      </c>
      <c r="I37" s="17">
        <v>1782328.37</v>
      </c>
      <c r="J37" s="15" t="s">
        <v>17</v>
      </c>
      <c r="K37" s="15" t="s">
        <v>18</v>
      </c>
      <c r="L37" s="9">
        <f>YEAR(E37)</f>
        <v>2021</v>
      </c>
      <c r="M37">
        <f t="shared" si="0"/>
        <v>1029447.4299999999</v>
      </c>
      <c r="P37" s="80" t="s">
        <v>15</v>
      </c>
      <c r="Q37" s="81">
        <v>5810</v>
      </c>
      <c r="R37" s="82">
        <v>30699.824615384612</v>
      </c>
      <c r="S37" s="82">
        <v>171336561.95000005</v>
      </c>
      <c r="T37" s="83">
        <v>36468417.530000009</v>
      </c>
    </row>
    <row r="38" spans="1:20" ht="14" x14ac:dyDescent="0.15">
      <c r="A38" s="12"/>
      <c r="B38" s="13" t="s">
        <v>277</v>
      </c>
      <c r="C38" s="14" t="s">
        <v>23</v>
      </c>
      <c r="D38" s="15" t="s">
        <v>139</v>
      </c>
      <c r="E38" s="15" t="s">
        <v>73</v>
      </c>
      <c r="F38" s="16">
        <v>978</v>
      </c>
      <c r="G38" s="17">
        <v>42445.04</v>
      </c>
      <c r="H38" s="19">
        <v>4024.2</v>
      </c>
      <c r="I38" s="17">
        <v>41511249.119999997</v>
      </c>
      <c r="J38" s="15" t="s">
        <v>17</v>
      </c>
      <c r="K38" s="15" t="s">
        <v>18</v>
      </c>
      <c r="L38" s="9">
        <f>YEAR(E38)</f>
        <v>2021</v>
      </c>
      <c r="M38">
        <f t="shared" si="0"/>
        <v>3935667.5999999996</v>
      </c>
      <c r="P38" s="80" t="s">
        <v>139</v>
      </c>
      <c r="Q38" s="81">
        <v>9113</v>
      </c>
      <c r="R38" s="82">
        <v>32520.015625</v>
      </c>
      <c r="S38" s="82">
        <v>304863273.57999998</v>
      </c>
      <c r="T38" s="83">
        <v>46245210.299999997</v>
      </c>
    </row>
    <row r="39" spans="1:20" ht="14" x14ac:dyDescent="0.15">
      <c r="A39" s="12"/>
      <c r="B39" s="13" t="s">
        <v>277</v>
      </c>
      <c r="C39" s="14" t="s">
        <v>25</v>
      </c>
      <c r="D39" s="15" t="s">
        <v>139</v>
      </c>
      <c r="E39" s="15" t="s">
        <v>303</v>
      </c>
      <c r="F39" s="16">
        <v>262</v>
      </c>
      <c r="G39" s="17">
        <v>27644.22</v>
      </c>
      <c r="H39" s="17">
        <v>2134.1799999999998</v>
      </c>
      <c r="I39" s="17">
        <v>7242785.6399999997</v>
      </c>
      <c r="J39" s="15" t="s">
        <v>17</v>
      </c>
      <c r="K39" s="15" t="s">
        <v>18</v>
      </c>
      <c r="L39" s="9">
        <f>YEAR(E39)</f>
        <v>2021</v>
      </c>
      <c r="M39">
        <f t="shared" si="0"/>
        <v>559155.15999999992</v>
      </c>
      <c r="P39" s="39" t="s">
        <v>53</v>
      </c>
      <c r="Q39" s="40">
        <v>11514</v>
      </c>
      <c r="R39" s="41">
        <v>31485.093181818185</v>
      </c>
      <c r="S39" s="41">
        <v>363773707.42999983</v>
      </c>
      <c r="T39" s="60">
        <v>65166669</v>
      </c>
    </row>
    <row r="40" spans="1:20" x14ac:dyDescent="0.15">
      <c r="A40" s="12"/>
      <c r="B40" s="13" t="s">
        <v>277</v>
      </c>
      <c r="C40" s="14" t="s">
        <v>14</v>
      </c>
      <c r="D40" s="15" t="s">
        <v>139</v>
      </c>
      <c r="E40" s="15" t="s">
        <v>308</v>
      </c>
      <c r="F40" s="16">
        <v>232</v>
      </c>
      <c r="G40" s="17">
        <v>40443.449999999997</v>
      </c>
      <c r="H40" s="17">
        <v>8390.75</v>
      </c>
      <c r="I40" s="19">
        <v>9382880.4000000004</v>
      </c>
      <c r="J40" s="15" t="s">
        <v>22</v>
      </c>
      <c r="K40" s="15" t="s">
        <v>18</v>
      </c>
      <c r="L40" s="9">
        <f>YEAR(E40)</f>
        <v>2021</v>
      </c>
      <c r="M40">
        <f t="shared" si="0"/>
        <v>1946654</v>
      </c>
      <c r="P40" s="63">
        <v>2020</v>
      </c>
      <c r="Q40" s="43">
        <v>3003</v>
      </c>
      <c r="R40" s="44">
        <v>31100.417999999998</v>
      </c>
      <c r="S40" s="44">
        <v>93467134.459999979</v>
      </c>
      <c r="T40" s="61">
        <v>18326046.479999997</v>
      </c>
    </row>
    <row r="41" spans="1:20" x14ac:dyDescent="0.15">
      <c r="A41" s="12"/>
      <c r="B41" s="13" t="s">
        <v>277</v>
      </c>
      <c r="C41" s="14" t="s">
        <v>57</v>
      </c>
      <c r="D41" s="15" t="s">
        <v>139</v>
      </c>
      <c r="E41" s="15" t="s">
        <v>308</v>
      </c>
      <c r="F41" s="16">
        <v>231</v>
      </c>
      <c r="G41" s="17">
        <v>37383.65</v>
      </c>
      <c r="H41" s="19">
        <v>6025.9</v>
      </c>
      <c r="I41" s="17">
        <v>8635623.1500000004</v>
      </c>
      <c r="J41" s="15" t="s">
        <v>17</v>
      </c>
      <c r="K41" s="15" t="s">
        <v>18</v>
      </c>
      <c r="L41" s="9">
        <f>YEAR(E41)</f>
        <v>2021</v>
      </c>
      <c r="M41">
        <f t="shared" si="0"/>
        <v>1391982.9</v>
      </c>
      <c r="P41" s="63">
        <v>2021</v>
      </c>
      <c r="Q41" s="43">
        <v>1764</v>
      </c>
      <c r="R41" s="44">
        <v>24384.623333333333</v>
      </c>
      <c r="S41" s="44">
        <v>52658963.599999994</v>
      </c>
      <c r="T41" s="61">
        <v>6169065.2199999997</v>
      </c>
    </row>
    <row r="42" spans="1:20" x14ac:dyDescent="0.15">
      <c r="A42" s="12"/>
      <c r="B42" s="13" t="s">
        <v>277</v>
      </c>
      <c r="C42" s="14" t="s">
        <v>57</v>
      </c>
      <c r="D42" s="15" t="s">
        <v>114</v>
      </c>
      <c r="E42" s="15" t="s">
        <v>312</v>
      </c>
      <c r="F42" s="16">
        <v>564</v>
      </c>
      <c r="G42" s="17">
        <v>23783.54</v>
      </c>
      <c r="H42" s="17">
        <v>5997.33</v>
      </c>
      <c r="I42" s="17">
        <v>13413916.560000001</v>
      </c>
      <c r="J42" s="15" t="s">
        <v>28</v>
      </c>
      <c r="K42" s="15" t="s">
        <v>18</v>
      </c>
      <c r="L42" s="9">
        <f>YEAR(E42)</f>
        <v>2021</v>
      </c>
      <c r="M42">
        <f t="shared" si="0"/>
        <v>3382494.12</v>
      </c>
      <c r="P42" s="63">
        <v>2022</v>
      </c>
      <c r="Q42" s="43">
        <v>4123</v>
      </c>
      <c r="R42" s="44">
        <v>32361.034285714286</v>
      </c>
      <c r="S42" s="44">
        <v>127096103.00999999</v>
      </c>
      <c r="T42" s="61">
        <v>26787137.399999999</v>
      </c>
    </row>
    <row r="43" spans="1:20" x14ac:dyDescent="0.15">
      <c r="A43" s="12"/>
      <c r="B43" s="13" t="s">
        <v>277</v>
      </c>
      <c r="C43" s="14" t="s">
        <v>38</v>
      </c>
      <c r="D43" s="15" t="s">
        <v>114</v>
      </c>
      <c r="E43" s="15" t="s">
        <v>84</v>
      </c>
      <c r="F43" s="16">
        <v>741</v>
      </c>
      <c r="G43" s="17">
        <v>29609.45</v>
      </c>
      <c r="H43" s="17">
        <v>7089.59</v>
      </c>
      <c r="I43" s="17">
        <v>21940602.449999999</v>
      </c>
      <c r="J43" s="15" t="s">
        <v>22</v>
      </c>
      <c r="K43" s="15" t="s">
        <v>18</v>
      </c>
      <c r="L43" s="9">
        <f>YEAR(E43)</f>
        <v>2021</v>
      </c>
      <c r="M43">
        <f t="shared" si="0"/>
        <v>5253386.1900000004</v>
      </c>
      <c r="P43" s="63">
        <v>2023</v>
      </c>
      <c r="Q43" s="43">
        <v>2624</v>
      </c>
      <c r="R43" s="44">
        <v>33926.978571428575</v>
      </c>
      <c r="S43" s="44">
        <v>90551506.359999999</v>
      </c>
      <c r="T43" s="61">
        <v>13884419.9</v>
      </c>
    </row>
    <row r="44" spans="1:20" ht="15" customHeight="1" x14ac:dyDescent="0.15">
      <c r="A44" s="12"/>
      <c r="B44" s="13" t="s">
        <v>277</v>
      </c>
      <c r="C44" s="14" t="s">
        <v>43</v>
      </c>
      <c r="D44" s="15" t="s">
        <v>15</v>
      </c>
      <c r="E44" s="15" t="s">
        <v>319</v>
      </c>
      <c r="F44" s="16">
        <v>310</v>
      </c>
      <c r="G44" s="17">
        <v>27530.43</v>
      </c>
      <c r="H44" s="17">
        <v>2895.68</v>
      </c>
      <c r="I44" s="19">
        <v>8534433.3000000007</v>
      </c>
      <c r="J44" s="15" t="s">
        <v>17</v>
      </c>
      <c r="K44" s="15" t="s">
        <v>18</v>
      </c>
      <c r="L44" s="9">
        <f>YEAR(E44)</f>
        <v>2021</v>
      </c>
      <c r="M44">
        <f t="shared" si="0"/>
        <v>897660.79999999993</v>
      </c>
      <c r="P44" s="76" t="s">
        <v>153</v>
      </c>
      <c r="Q44" s="77">
        <v>2859</v>
      </c>
      <c r="R44" s="78">
        <v>27758.723999999998</v>
      </c>
      <c r="S44" s="78">
        <v>73432157.25</v>
      </c>
      <c r="T44" s="79">
        <v>17587007.370000001</v>
      </c>
    </row>
    <row r="45" spans="1:20" x14ac:dyDescent="0.15">
      <c r="A45" s="12"/>
      <c r="B45" s="13" t="s">
        <v>277</v>
      </c>
      <c r="C45" s="14" t="s">
        <v>19</v>
      </c>
      <c r="D45" s="15" t="s">
        <v>15</v>
      </c>
      <c r="E45" s="15" t="s">
        <v>320</v>
      </c>
      <c r="F45" s="16">
        <v>999</v>
      </c>
      <c r="G45" s="17">
        <v>35396.620000000003</v>
      </c>
      <c r="H45" s="17">
        <v>6036.55</v>
      </c>
      <c r="I45" s="17">
        <v>35361223.380000003</v>
      </c>
      <c r="J45" s="15" t="s">
        <v>28</v>
      </c>
      <c r="K45" s="15" t="s">
        <v>18</v>
      </c>
      <c r="L45" s="9">
        <f>YEAR(E45)</f>
        <v>2021</v>
      </c>
      <c r="M45">
        <f t="shared" si="0"/>
        <v>6030513.4500000002</v>
      </c>
      <c r="P45" s="63">
        <v>2020</v>
      </c>
      <c r="Q45" s="43">
        <v>355</v>
      </c>
      <c r="R45" s="44">
        <v>19246.61</v>
      </c>
      <c r="S45" s="44">
        <v>6832546.5499999998</v>
      </c>
      <c r="T45" s="61">
        <v>922691.15</v>
      </c>
    </row>
    <row r="46" spans="1:20" x14ac:dyDescent="0.15">
      <c r="A46" s="12"/>
      <c r="B46" s="13" t="s">
        <v>277</v>
      </c>
      <c r="C46" s="14" t="s">
        <v>57</v>
      </c>
      <c r="D46" s="15" t="s">
        <v>26</v>
      </c>
      <c r="E46" s="15" t="s">
        <v>331</v>
      </c>
      <c r="F46" s="16">
        <v>815</v>
      </c>
      <c r="G46" s="17">
        <v>12663.48</v>
      </c>
      <c r="H46" s="19">
        <v>6749.3</v>
      </c>
      <c r="I46" s="19">
        <v>10320736.199999999</v>
      </c>
      <c r="J46" s="15" t="s">
        <v>22</v>
      </c>
      <c r="K46" s="15" t="s">
        <v>18</v>
      </c>
      <c r="L46" s="9">
        <f>YEAR(E46)</f>
        <v>2021</v>
      </c>
      <c r="M46">
        <f t="shared" si="0"/>
        <v>5500679.5</v>
      </c>
      <c r="P46" s="63">
        <v>2021</v>
      </c>
      <c r="Q46" s="43">
        <v>820</v>
      </c>
      <c r="R46" s="44">
        <v>15596.18</v>
      </c>
      <c r="S46" s="44">
        <v>12788867.6</v>
      </c>
      <c r="T46" s="61">
        <v>7155041.2000000002</v>
      </c>
    </row>
    <row r="47" spans="1:20" x14ac:dyDescent="0.15">
      <c r="A47" s="12"/>
      <c r="B47" s="13" t="s">
        <v>277</v>
      </c>
      <c r="C47" s="14" t="s">
        <v>14</v>
      </c>
      <c r="D47" s="15" t="s">
        <v>26</v>
      </c>
      <c r="E47" s="15" t="s">
        <v>32</v>
      </c>
      <c r="F47" s="16">
        <v>573</v>
      </c>
      <c r="G47" s="17">
        <v>47666.720000000001</v>
      </c>
      <c r="H47" s="19">
        <v>9323.9</v>
      </c>
      <c r="I47" s="17">
        <v>27313030.559999999</v>
      </c>
      <c r="J47" s="15" t="s">
        <v>17</v>
      </c>
      <c r="K47" s="15" t="s">
        <v>18</v>
      </c>
      <c r="L47" s="9">
        <f>YEAR(E47)</f>
        <v>2021</v>
      </c>
      <c r="M47">
        <f t="shared" si="0"/>
        <v>5342594.7</v>
      </c>
      <c r="P47" s="63">
        <v>2023</v>
      </c>
      <c r="Q47" s="43">
        <v>1684</v>
      </c>
      <c r="R47" s="44">
        <v>34650.276666666665</v>
      </c>
      <c r="S47" s="44">
        <v>53810743.100000001</v>
      </c>
      <c r="T47" s="61">
        <v>9509275.0199999996</v>
      </c>
    </row>
    <row r="48" spans="1:20" ht="14" x14ac:dyDescent="0.15">
      <c r="A48" s="12"/>
      <c r="B48" s="13" t="s">
        <v>277</v>
      </c>
      <c r="C48" s="14" t="s">
        <v>79</v>
      </c>
      <c r="D48" s="15" t="s">
        <v>68</v>
      </c>
      <c r="E48" s="15" t="s">
        <v>341</v>
      </c>
      <c r="F48" s="16">
        <v>871</v>
      </c>
      <c r="G48" s="17">
        <v>44322.34</v>
      </c>
      <c r="H48" s="17">
        <v>4441.17</v>
      </c>
      <c r="I48" s="17">
        <v>38604758.140000001</v>
      </c>
      <c r="J48" s="15" t="s">
        <v>17</v>
      </c>
      <c r="K48" s="15" t="s">
        <v>18</v>
      </c>
      <c r="L48" s="9">
        <f>YEAR(E48)</f>
        <v>2021</v>
      </c>
      <c r="M48">
        <f t="shared" si="0"/>
        <v>3868259.07</v>
      </c>
      <c r="P48" s="46" t="s">
        <v>789</v>
      </c>
      <c r="Q48" s="47">
        <v>76129</v>
      </c>
      <c r="R48" s="48">
        <v>31227.87000000001</v>
      </c>
      <c r="S48" s="48">
        <v>2384888721.150001</v>
      </c>
      <c r="T48" s="62">
        <v>450351412.32000011</v>
      </c>
    </row>
    <row r="49" spans="1:13" x14ac:dyDescent="0.15">
      <c r="A49" s="12"/>
      <c r="B49" s="13" t="s">
        <v>277</v>
      </c>
      <c r="C49" s="14" t="s">
        <v>19</v>
      </c>
      <c r="D49" s="15" t="s">
        <v>68</v>
      </c>
      <c r="E49" s="15" t="s">
        <v>342</v>
      </c>
      <c r="F49" s="16">
        <v>385</v>
      </c>
      <c r="G49" s="17">
        <v>42207.48</v>
      </c>
      <c r="H49" s="19">
        <v>2035.1</v>
      </c>
      <c r="I49" s="19">
        <v>16249879.800000001</v>
      </c>
      <c r="J49" s="15" t="s">
        <v>17</v>
      </c>
      <c r="K49" s="15" t="s">
        <v>18</v>
      </c>
      <c r="L49" s="9">
        <f>YEAR(E49)</f>
        <v>2021</v>
      </c>
      <c r="M49">
        <f t="shared" si="0"/>
        <v>783513.5</v>
      </c>
    </row>
    <row r="50" spans="1:13" x14ac:dyDescent="0.15">
      <c r="A50" s="12"/>
      <c r="B50" s="13" t="s">
        <v>277</v>
      </c>
      <c r="C50" s="14" t="s">
        <v>38</v>
      </c>
      <c r="D50" s="15" t="s">
        <v>68</v>
      </c>
      <c r="E50" s="15" t="s">
        <v>345</v>
      </c>
      <c r="F50" s="16">
        <v>619</v>
      </c>
      <c r="G50" s="17">
        <v>35120.03</v>
      </c>
      <c r="H50" s="17">
        <v>4158.59</v>
      </c>
      <c r="I50" s="17">
        <v>21739298.57</v>
      </c>
      <c r="J50" s="15" t="s">
        <v>30</v>
      </c>
      <c r="K50" s="15" t="s">
        <v>18</v>
      </c>
      <c r="L50" s="9">
        <f>YEAR(E50)</f>
        <v>2021</v>
      </c>
      <c r="M50">
        <f t="shared" si="0"/>
        <v>2574167.21</v>
      </c>
    </row>
    <row r="51" spans="1:13" x14ac:dyDescent="0.15">
      <c r="A51" s="12"/>
      <c r="B51" s="13" t="s">
        <v>277</v>
      </c>
      <c r="C51" s="14" t="s">
        <v>14</v>
      </c>
      <c r="D51" s="15" t="s">
        <v>68</v>
      </c>
      <c r="E51" s="15" t="s">
        <v>346</v>
      </c>
      <c r="F51" s="16">
        <v>673</v>
      </c>
      <c r="G51" s="17">
        <v>49924.06</v>
      </c>
      <c r="H51" s="17">
        <v>9726.7900000000009</v>
      </c>
      <c r="I51" s="17">
        <v>33598892.380000003</v>
      </c>
      <c r="J51" s="15" t="s">
        <v>17</v>
      </c>
      <c r="K51" s="15" t="s">
        <v>18</v>
      </c>
      <c r="L51" s="9">
        <f>YEAR(E51)</f>
        <v>2021</v>
      </c>
      <c r="M51">
        <f t="shared" si="0"/>
        <v>6546129.6700000009</v>
      </c>
    </row>
    <row r="52" spans="1:13" x14ac:dyDescent="0.15">
      <c r="A52" s="12"/>
      <c r="B52" s="13" t="s">
        <v>277</v>
      </c>
      <c r="C52" s="14" t="s">
        <v>38</v>
      </c>
      <c r="D52" s="15" t="s">
        <v>68</v>
      </c>
      <c r="E52" s="15" t="s">
        <v>347</v>
      </c>
      <c r="F52" s="16">
        <v>673</v>
      </c>
      <c r="G52" s="16">
        <v>45974</v>
      </c>
      <c r="H52" s="17">
        <v>7313.46</v>
      </c>
      <c r="I52" s="16">
        <v>30940502</v>
      </c>
      <c r="J52" s="15" t="s">
        <v>17</v>
      </c>
      <c r="K52" s="15" t="s">
        <v>18</v>
      </c>
      <c r="L52" s="9">
        <f>YEAR(E52)</f>
        <v>2021</v>
      </c>
      <c r="M52">
        <f t="shared" si="0"/>
        <v>4921958.58</v>
      </c>
    </row>
    <row r="53" spans="1:13" x14ac:dyDescent="0.15">
      <c r="A53" s="12"/>
      <c r="B53" s="13" t="s">
        <v>277</v>
      </c>
      <c r="C53" s="14" t="s">
        <v>19</v>
      </c>
      <c r="D53" s="15" t="s">
        <v>68</v>
      </c>
      <c r="E53" s="15" t="s">
        <v>349</v>
      </c>
      <c r="F53" s="16">
        <v>480</v>
      </c>
      <c r="G53" s="17">
        <v>12519.37</v>
      </c>
      <c r="H53" s="17">
        <v>8790.94</v>
      </c>
      <c r="I53" s="19">
        <v>6009297.5999999996</v>
      </c>
      <c r="J53" s="15" t="s">
        <v>17</v>
      </c>
      <c r="K53" s="15" t="s">
        <v>18</v>
      </c>
      <c r="L53" s="9">
        <f>YEAR(E53)</f>
        <v>2021</v>
      </c>
      <c r="M53">
        <f t="shared" si="0"/>
        <v>4219651.2</v>
      </c>
    </row>
    <row r="54" spans="1:13" x14ac:dyDescent="0.15">
      <c r="A54" s="12"/>
      <c r="B54" s="13" t="s">
        <v>277</v>
      </c>
      <c r="C54" s="14" t="s">
        <v>43</v>
      </c>
      <c r="D54" s="15" t="s">
        <v>68</v>
      </c>
      <c r="E54" s="15" t="s">
        <v>354</v>
      </c>
      <c r="F54" s="16">
        <v>296</v>
      </c>
      <c r="G54" s="17">
        <v>15129.48</v>
      </c>
      <c r="H54" s="17">
        <v>8612.34</v>
      </c>
      <c r="I54" s="17">
        <v>4478326.08</v>
      </c>
      <c r="J54" s="15" t="s">
        <v>17</v>
      </c>
      <c r="K54" s="15" t="s">
        <v>18</v>
      </c>
      <c r="L54" s="9">
        <f>YEAR(E54)</f>
        <v>2021</v>
      </c>
      <c r="M54">
        <f t="shared" si="0"/>
        <v>2549252.64</v>
      </c>
    </row>
    <row r="55" spans="1:13" x14ac:dyDescent="0.15">
      <c r="A55" s="12"/>
      <c r="B55" s="13" t="s">
        <v>277</v>
      </c>
      <c r="C55" s="14" t="s">
        <v>38</v>
      </c>
      <c r="D55" s="15" t="s">
        <v>70</v>
      </c>
      <c r="E55" s="15" t="s">
        <v>359</v>
      </c>
      <c r="F55" s="16">
        <v>648</v>
      </c>
      <c r="G55" s="17">
        <v>32276.01</v>
      </c>
      <c r="H55" s="17">
        <v>3180.07</v>
      </c>
      <c r="I55" s="17">
        <v>20914854.48</v>
      </c>
      <c r="J55" s="72" t="s">
        <v>17</v>
      </c>
      <c r="K55" s="15" t="s">
        <v>18</v>
      </c>
      <c r="L55" s="9">
        <f>YEAR(E55)</f>
        <v>2021</v>
      </c>
      <c r="M55">
        <f t="shared" si="0"/>
        <v>2060685.36</v>
      </c>
    </row>
    <row r="56" spans="1:13" x14ac:dyDescent="0.15">
      <c r="A56" s="12"/>
      <c r="B56" s="13" t="s">
        <v>277</v>
      </c>
      <c r="C56" s="14" t="s">
        <v>23</v>
      </c>
      <c r="D56" s="15" t="s">
        <v>70</v>
      </c>
      <c r="E56" s="15" t="s">
        <v>361</v>
      </c>
      <c r="F56" s="16">
        <v>571</v>
      </c>
      <c r="G56" s="17">
        <v>27712.14</v>
      </c>
      <c r="H56" s="17">
        <v>6221.24</v>
      </c>
      <c r="I56" s="17">
        <v>15823631.939999999</v>
      </c>
      <c r="J56" s="15" t="s">
        <v>17</v>
      </c>
      <c r="K56" s="15" t="s">
        <v>18</v>
      </c>
      <c r="L56" s="9">
        <f>YEAR(E56)</f>
        <v>2021</v>
      </c>
      <c r="M56">
        <f t="shared" si="0"/>
        <v>3552328.04</v>
      </c>
    </row>
    <row r="57" spans="1:13" x14ac:dyDescent="0.15">
      <c r="A57" s="12"/>
      <c r="B57" s="13" t="s">
        <v>277</v>
      </c>
      <c r="C57" s="14" t="s">
        <v>31</v>
      </c>
      <c r="D57" s="15" t="s">
        <v>107</v>
      </c>
      <c r="E57" s="15" t="s">
        <v>41</v>
      </c>
      <c r="F57" s="16">
        <v>660</v>
      </c>
      <c r="G57" s="17">
        <v>29898.29</v>
      </c>
      <c r="H57" s="17">
        <v>3852.77</v>
      </c>
      <c r="I57" s="19">
        <v>19732871.399999999</v>
      </c>
      <c r="J57" s="15" t="s">
        <v>17</v>
      </c>
      <c r="K57" s="15" t="s">
        <v>18</v>
      </c>
      <c r="L57" s="9">
        <f>YEAR(E57)</f>
        <v>2021</v>
      </c>
      <c r="M57">
        <f t="shared" si="0"/>
        <v>2542828.2000000002</v>
      </c>
    </row>
    <row r="58" spans="1:13" x14ac:dyDescent="0.15">
      <c r="A58" s="12"/>
      <c r="B58" s="13" t="s">
        <v>277</v>
      </c>
      <c r="C58" s="14" t="s">
        <v>25</v>
      </c>
      <c r="D58" s="15" t="s">
        <v>107</v>
      </c>
      <c r="E58" s="15" t="s">
        <v>366</v>
      </c>
      <c r="F58" s="16">
        <v>564</v>
      </c>
      <c r="G58" s="17">
        <v>18024.78</v>
      </c>
      <c r="H58" s="17">
        <v>9857.8700000000008</v>
      </c>
      <c r="I58" s="17">
        <v>10165975.92</v>
      </c>
      <c r="J58" s="15" t="s">
        <v>17</v>
      </c>
      <c r="K58" s="15" t="s">
        <v>18</v>
      </c>
      <c r="L58" s="9">
        <f>YEAR(E58)</f>
        <v>2021</v>
      </c>
      <c r="M58">
        <f t="shared" si="0"/>
        <v>5559838.6800000006</v>
      </c>
    </row>
    <row r="59" spans="1:13" x14ac:dyDescent="0.15">
      <c r="A59" s="12"/>
      <c r="B59" s="13" t="s">
        <v>277</v>
      </c>
      <c r="C59" s="14" t="s">
        <v>38</v>
      </c>
      <c r="D59" s="15" t="s">
        <v>107</v>
      </c>
      <c r="E59" s="15" t="s">
        <v>368</v>
      </c>
      <c r="F59" s="16">
        <v>544</v>
      </c>
      <c r="G59" s="17">
        <v>31992.21</v>
      </c>
      <c r="H59" s="17">
        <v>6314.66</v>
      </c>
      <c r="I59" s="17">
        <v>17403762.239999998</v>
      </c>
      <c r="J59" s="15" t="s">
        <v>28</v>
      </c>
      <c r="K59" s="15" t="s">
        <v>18</v>
      </c>
      <c r="L59" s="9">
        <f>YEAR(E59)</f>
        <v>2021</v>
      </c>
      <c r="M59">
        <f t="shared" si="0"/>
        <v>3435175.04</v>
      </c>
    </row>
    <row r="60" spans="1:13" x14ac:dyDescent="0.15">
      <c r="A60" s="12"/>
      <c r="B60" s="13" t="s">
        <v>277</v>
      </c>
      <c r="C60" s="14" t="s">
        <v>38</v>
      </c>
      <c r="D60" s="15" t="s">
        <v>89</v>
      </c>
      <c r="E60" s="15" t="s">
        <v>379</v>
      </c>
      <c r="F60" s="16">
        <v>605</v>
      </c>
      <c r="G60" s="17">
        <v>32275.27</v>
      </c>
      <c r="H60" s="17">
        <v>4331.41</v>
      </c>
      <c r="I60" s="17">
        <v>19526538.350000001</v>
      </c>
      <c r="J60" s="15" t="s">
        <v>17</v>
      </c>
      <c r="K60" s="15" t="s">
        <v>18</v>
      </c>
      <c r="L60" s="9">
        <f>YEAR(E60)</f>
        <v>2021</v>
      </c>
      <c r="M60">
        <f t="shared" si="0"/>
        <v>2620503.0499999998</v>
      </c>
    </row>
    <row r="61" spans="1:13" x14ac:dyDescent="0.15">
      <c r="A61" s="12"/>
      <c r="B61" s="13" t="s">
        <v>277</v>
      </c>
      <c r="C61" s="14" t="s">
        <v>25</v>
      </c>
      <c r="D61" s="15" t="s">
        <v>89</v>
      </c>
      <c r="E61" s="15" t="s">
        <v>382</v>
      </c>
      <c r="F61" s="16">
        <v>520</v>
      </c>
      <c r="G61" s="17">
        <v>25128.16</v>
      </c>
      <c r="H61" s="17">
        <v>3894.72</v>
      </c>
      <c r="I61" s="19">
        <v>13066643.199999999</v>
      </c>
      <c r="J61" s="15" t="s">
        <v>17</v>
      </c>
      <c r="K61" s="15" t="s">
        <v>18</v>
      </c>
      <c r="L61" s="9">
        <f>YEAR(E61)</f>
        <v>2021</v>
      </c>
      <c r="M61">
        <f t="shared" si="0"/>
        <v>2025254.4</v>
      </c>
    </row>
    <row r="62" spans="1:13" x14ac:dyDescent="0.15">
      <c r="A62" s="12"/>
      <c r="B62" s="13" t="s">
        <v>277</v>
      </c>
      <c r="C62" s="14" t="s">
        <v>31</v>
      </c>
      <c r="D62" s="15" t="s">
        <v>153</v>
      </c>
      <c r="E62" s="15" t="s">
        <v>388</v>
      </c>
      <c r="F62" s="16">
        <v>820</v>
      </c>
      <c r="G62" s="17">
        <v>15596.18</v>
      </c>
      <c r="H62" s="17">
        <v>8725.66</v>
      </c>
      <c r="I62" s="19">
        <v>12788867.6</v>
      </c>
      <c r="J62" s="15" t="s">
        <v>17</v>
      </c>
      <c r="K62" s="15" t="s">
        <v>18</v>
      </c>
      <c r="L62" s="9">
        <f>YEAR(E62)</f>
        <v>2021</v>
      </c>
      <c r="M62">
        <f t="shared" si="0"/>
        <v>7155041.2000000002</v>
      </c>
    </row>
    <row r="63" spans="1:13" x14ac:dyDescent="0.15">
      <c r="A63" s="12"/>
      <c r="B63" s="13" t="s">
        <v>277</v>
      </c>
      <c r="C63" s="14" t="s">
        <v>14</v>
      </c>
      <c r="D63" s="15" t="s">
        <v>53</v>
      </c>
      <c r="E63" s="15" t="s">
        <v>248</v>
      </c>
      <c r="F63" s="16">
        <v>199</v>
      </c>
      <c r="G63" s="17">
        <v>46862.07</v>
      </c>
      <c r="H63" s="19">
        <v>7340.8</v>
      </c>
      <c r="I63" s="17">
        <v>9325551.9299999997</v>
      </c>
      <c r="J63" s="15" t="s">
        <v>30</v>
      </c>
      <c r="K63" s="15" t="s">
        <v>18</v>
      </c>
      <c r="L63" s="9">
        <f>YEAR(E63)</f>
        <v>2022</v>
      </c>
      <c r="M63">
        <f t="shared" si="0"/>
        <v>1460819.2</v>
      </c>
    </row>
    <row r="64" spans="1:13" x14ac:dyDescent="0.15">
      <c r="A64" s="12"/>
      <c r="B64" s="13" t="s">
        <v>277</v>
      </c>
      <c r="C64" s="14" t="s">
        <v>14</v>
      </c>
      <c r="D64" s="15" t="s">
        <v>53</v>
      </c>
      <c r="E64" s="15" t="s">
        <v>278</v>
      </c>
      <c r="F64" s="16">
        <v>604</v>
      </c>
      <c r="G64" s="17">
        <v>37692.51</v>
      </c>
      <c r="H64" s="17">
        <v>5514.53</v>
      </c>
      <c r="I64" s="17">
        <v>22766276.039999999</v>
      </c>
      <c r="J64" s="15" t="s">
        <v>22</v>
      </c>
      <c r="K64" s="15" t="s">
        <v>18</v>
      </c>
      <c r="L64" s="9">
        <f>YEAR(E64)</f>
        <v>2022</v>
      </c>
      <c r="M64">
        <f t="shared" si="0"/>
        <v>3330776.1199999996</v>
      </c>
    </row>
    <row r="65" spans="1:13" x14ac:dyDescent="0.15">
      <c r="A65" s="12"/>
      <c r="B65" s="13" t="s">
        <v>277</v>
      </c>
      <c r="C65" s="14" t="s">
        <v>57</v>
      </c>
      <c r="D65" s="15" t="s">
        <v>53</v>
      </c>
      <c r="E65" s="15" t="s">
        <v>279</v>
      </c>
      <c r="F65" s="16">
        <v>270</v>
      </c>
      <c r="G65" s="17">
        <v>14740.11</v>
      </c>
      <c r="H65" s="17">
        <v>4400.0600000000004</v>
      </c>
      <c r="I65" s="19">
        <v>3979829.7</v>
      </c>
      <c r="J65" s="15" t="s">
        <v>17</v>
      </c>
      <c r="K65" s="15" t="s">
        <v>18</v>
      </c>
      <c r="L65" s="9">
        <f>YEAR(E65)</f>
        <v>2022</v>
      </c>
      <c r="M65">
        <f t="shared" si="0"/>
        <v>1188016.2000000002</v>
      </c>
    </row>
    <row r="66" spans="1:13" x14ac:dyDescent="0.15">
      <c r="A66" s="12"/>
      <c r="B66" s="13" t="s">
        <v>277</v>
      </c>
      <c r="C66" s="14" t="s">
        <v>25</v>
      </c>
      <c r="D66" s="15" t="s">
        <v>53</v>
      </c>
      <c r="E66" s="15" t="s">
        <v>287</v>
      </c>
      <c r="F66" s="16">
        <v>438</v>
      </c>
      <c r="G66" s="17">
        <v>43305.68</v>
      </c>
      <c r="H66" s="17">
        <v>9195.7199999999993</v>
      </c>
      <c r="I66" s="17">
        <v>18967887.84</v>
      </c>
      <c r="J66" s="15" t="s">
        <v>17</v>
      </c>
      <c r="K66" s="15" t="s">
        <v>18</v>
      </c>
      <c r="L66" s="9">
        <f>YEAR(E66)</f>
        <v>2022</v>
      </c>
      <c r="M66">
        <f t="shared" si="0"/>
        <v>4027725.36</v>
      </c>
    </row>
    <row r="67" spans="1:13" x14ac:dyDescent="0.15">
      <c r="A67" s="12"/>
      <c r="B67" s="13" t="s">
        <v>277</v>
      </c>
      <c r="C67" s="14" t="s">
        <v>35</v>
      </c>
      <c r="D67" s="15" t="s">
        <v>53</v>
      </c>
      <c r="E67" s="15" t="s">
        <v>290</v>
      </c>
      <c r="F67" s="16">
        <v>930</v>
      </c>
      <c r="G67" s="17">
        <v>40089.03</v>
      </c>
      <c r="H67" s="17">
        <v>8651.1200000000008</v>
      </c>
      <c r="I67" s="19">
        <v>37282797.899999999</v>
      </c>
      <c r="J67" s="15" t="s">
        <v>22</v>
      </c>
      <c r="K67" s="15" t="s">
        <v>18</v>
      </c>
      <c r="L67" s="9">
        <f>YEAR(E67)</f>
        <v>2022</v>
      </c>
      <c r="M67">
        <f t="shared" si="0"/>
        <v>8045541.6000000006</v>
      </c>
    </row>
    <row r="68" spans="1:13" x14ac:dyDescent="0.15">
      <c r="A68" s="12"/>
      <c r="B68" s="13" t="s">
        <v>277</v>
      </c>
      <c r="C68" s="14" t="s">
        <v>19</v>
      </c>
      <c r="D68" s="15" t="s">
        <v>53</v>
      </c>
      <c r="E68" s="15" t="s">
        <v>291</v>
      </c>
      <c r="F68" s="16">
        <v>930</v>
      </c>
      <c r="G68" s="17">
        <v>10155.64</v>
      </c>
      <c r="H68" s="19">
        <v>7680.1</v>
      </c>
      <c r="I68" s="19">
        <v>9444745.1999999993</v>
      </c>
      <c r="J68" s="15" t="s">
        <v>17</v>
      </c>
      <c r="K68" s="15" t="s">
        <v>18</v>
      </c>
      <c r="L68" s="9">
        <f>YEAR(E68)</f>
        <v>2022</v>
      </c>
      <c r="M68">
        <f t="shared" ref="M68:M131" si="1">H68*F68</f>
        <v>7142493</v>
      </c>
    </row>
    <row r="69" spans="1:13" x14ac:dyDescent="0.15">
      <c r="A69" s="12"/>
      <c r="B69" s="13" t="s">
        <v>277</v>
      </c>
      <c r="C69" s="14" t="s">
        <v>35</v>
      </c>
      <c r="D69" s="15" t="s">
        <v>53</v>
      </c>
      <c r="E69" s="15" t="s">
        <v>296</v>
      </c>
      <c r="F69" s="16">
        <v>752</v>
      </c>
      <c r="G69" s="19">
        <v>33682.199999999997</v>
      </c>
      <c r="H69" s="17">
        <v>2116.71</v>
      </c>
      <c r="I69" s="19">
        <v>25329014.399999999</v>
      </c>
      <c r="J69" s="15" t="s">
        <v>17</v>
      </c>
      <c r="K69" s="15" t="s">
        <v>18</v>
      </c>
      <c r="L69" s="9">
        <f>YEAR(E69)</f>
        <v>2022</v>
      </c>
      <c r="M69">
        <f t="shared" si="1"/>
        <v>1591765.92</v>
      </c>
    </row>
    <row r="70" spans="1:13" x14ac:dyDescent="0.15">
      <c r="A70" s="12"/>
      <c r="B70" s="13" t="s">
        <v>277</v>
      </c>
      <c r="C70" s="14" t="s">
        <v>79</v>
      </c>
      <c r="D70" s="15" t="s">
        <v>139</v>
      </c>
      <c r="E70" s="15" t="s">
        <v>298</v>
      </c>
      <c r="F70" s="16">
        <v>285</v>
      </c>
      <c r="G70" s="17">
        <v>31583.71</v>
      </c>
      <c r="H70" s="17">
        <v>7018.27</v>
      </c>
      <c r="I70" s="17">
        <v>9001357.3499999996</v>
      </c>
      <c r="J70" s="15" t="s">
        <v>17</v>
      </c>
      <c r="K70" s="15" t="s">
        <v>18</v>
      </c>
      <c r="L70" s="9">
        <f>YEAR(E70)</f>
        <v>2022</v>
      </c>
      <c r="M70">
        <f t="shared" si="1"/>
        <v>2000206.9500000002</v>
      </c>
    </row>
    <row r="71" spans="1:13" x14ac:dyDescent="0.15">
      <c r="A71" s="12"/>
      <c r="B71" s="13" t="s">
        <v>277</v>
      </c>
      <c r="C71" s="14" t="s">
        <v>57</v>
      </c>
      <c r="D71" s="15" t="s">
        <v>139</v>
      </c>
      <c r="E71" s="15" t="s">
        <v>302</v>
      </c>
      <c r="F71" s="16">
        <v>881</v>
      </c>
      <c r="G71" s="17">
        <v>26436.880000000001</v>
      </c>
      <c r="H71" s="17">
        <v>3810.84</v>
      </c>
      <c r="I71" s="17">
        <v>23290891.280000001</v>
      </c>
      <c r="J71" s="15" t="s">
        <v>22</v>
      </c>
      <c r="K71" s="15" t="s">
        <v>18</v>
      </c>
      <c r="L71" s="9">
        <f>YEAR(E71)</f>
        <v>2022</v>
      </c>
      <c r="M71">
        <f t="shared" si="1"/>
        <v>3357350.04</v>
      </c>
    </row>
    <row r="72" spans="1:13" x14ac:dyDescent="0.15">
      <c r="A72" s="12"/>
      <c r="B72" s="13" t="s">
        <v>277</v>
      </c>
      <c r="C72" s="14" t="s">
        <v>43</v>
      </c>
      <c r="D72" s="15" t="s">
        <v>139</v>
      </c>
      <c r="E72" s="15" t="s">
        <v>271</v>
      </c>
      <c r="F72" s="16">
        <v>340</v>
      </c>
      <c r="G72" s="17">
        <v>26117.99</v>
      </c>
      <c r="H72" s="17">
        <v>2018.73</v>
      </c>
      <c r="I72" s="19">
        <v>8880116.5999999996</v>
      </c>
      <c r="J72" s="15" t="s">
        <v>17</v>
      </c>
      <c r="K72" s="15" t="s">
        <v>18</v>
      </c>
      <c r="L72" s="9">
        <f>YEAR(E72)</f>
        <v>2022</v>
      </c>
      <c r="M72">
        <f t="shared" si="1"/>
        <v>686368.2</v>
      </c>
    </row>
    <row r="73" spans="1:13" x14ac:dyDescent="0.15">
      <c r="A73" s="12"/>
      <c r="B73" s="13" t="s">
        <v>277</v>
      </c>
      <c r="C73" s="14" t="s">
        <v>79</v>
      </c>
      <c r="D73" s="15" t="s">
        <v>139</v>
      </c>
      <c r="E73" s="15" t="s">
        <v>304</v>
      </c>
      <c r="F73" s="16">
        <v>980</v>
      </c>
      <c r="G73" s="17">
        <v>36784.33</v>
      </c>
      <c r="H73" s="17">
        <v>3862.81</v>
      </c>
      <c r="I73" s="19">
        <v>36048643.399999999</v>
      </c>
      <c r="J73" s="15" t="s">
        <v>17</v>
      </c>
      <c r="K73" s="15" t="s">
        <v>18</v>
      </c>
      <c r="L73" s="9">
        <f>YEAR(E73)</f>
        <v>2022</v>
      </c>
      <c r="M73">
        <f t="shared" si="1"/>
        <v>3785553.8</v>
      </c>
    </row>
    <row r="74" spans="1:13" x14ac:dyDescent="0.15">
      <c r="A74" s="12"/>
      <c r="B74" s="13" t="s">
        <v>277</v>
      </c>
      <c r="C74" s="14" t="s">
        <v>25</v>
      </c>
      <c r="D74" s="15" t="s">
        <v>139</v>
      </c>
      <c r="E74" s="15" t="s">
        <v>306</v>
      </c>
      <c r="F74" s="16">
        <v>640</v>
      </c>
      <c r="G74" s="19">
        <v>37592.199999999997</v>
      </c>
      <c r="H74" s="17">
        <v>7882.03</v>
      </c>
      <c r="I74" s="16">
        <v>24059008</v>
      </c>
      <c r="J74" s="15" t="s">
        <v>17</v>
      </c>
      <c r="K74" s="15" t="s">
        <v>18</v>
      </c>
      <c r="L74" s="9">
        <f>YEAR(E74)</f>
        <v>2022</v>
      </c>
      <c r="M74">
        <f t="shared" si="1"/>
        <v>5044499.2</v>
      </c>
    </row>
    <row r="75" spans="1:13" x14ac:dyDescent="0.15">
      <c r="A75" s="12"/>
      <c r="B75" s="13" t="s">
        <v>277</v>
      </c>
      <c r="C75" s="14" t="s">
        <v>57</v>
      </c>
      <c r="D75" s="15" t="s">
        <v>70</v>
      </c>
      <c r="E75" s="15" t="s">
        <v>306</v>
      </c>
      <c r="F75" s="16">
        <v>331</v>
      </c>
      <c r="G75" s="17">
        <v>40975.54</v>
      </c>
      <c r="H75" s="17">
        <v>5778.24</v>
      </c>
      <c r="I75" s="17">
        <v>13562903.74</v>
      </c>
      <c r="J75" s="15" t="s">
        <v>30</v>
      </c>
      <c r="K75" s="15" t="s">
        <v>18</v>
      </c>
      <c r="L75" s="9">
        <f>YEAR(E75)</f>
        <v>2022</v>
      </c>
      <c r="M75">
        <f t="shared" si="1"/>
        <v>1912597.44</v>
      </c>
    </row>
    <row r="76" spans="1:13" x14ac:dyDescent="0.15">
      <c r="A76" s="12"/>
      <c r="B76" s="13" t="s">
        <v>277</v>
      </c>
      <c r="C76" s="14" t="s">
        <v>23</v>
      </c>
      <c r="D76" s="15" t="s">
        <v>139</v>
      </c>
      <c r="E76" s="15" t="s">
        <v>307</v>
      </c>
      <c r="F76" s="16">
        <v>337</v>
      </c>
      <c r="G76" s="17">
        <v>12898.06</v>
      </c>
      <c r="H76" s="19">
        <v>2443.4</v>
      </c>
      <c r="I76" s="17">
        <v>4346646.22</v>
      </c>
      <c r="J76" s="15" t="s">
        <v>17</v>
      </c>
      <c r="K76" s="15" t="s">
        <v>18</v>
      </c>
      <c r="L76" s="9">
        <f>YEAR(E76)</f>
        <v>2022</v>
      </c>
      <c r="M76">
        <f t="shared" si="1"/>
        <v>823425.8</v>
      </c>
    </row>
    <row r="77" spans="1:13" x14ac:dyDescent="0.15">
      <c r="A77" s="12"/>
      <c r="B77" s="13" t="s">
        <v>277</v>
      </c>
      <c r="C77" s="14" t="s">
        <v>57</v>
      </c>
      <c r="D77" s="15" t="s">
        <v>114</v>
      </c>
      <c r="E77" s="15" t="s">
        <v>309</v>
      </c>
      <c r="F77" s="16">
        <v>273</v>
      </c>
      <c r="G77" s="17">
        <v>29358.38</v>
      </c>
      <c r="H77" s="17">
        <v>5452.34</v>
      </c>
      <c r="I77" s="17">
        <v>8014837.7400000002</v>
      </c>
      <c r="J77" s="15" t="s">
        <v>28</v>
      </c>
      <c r="K77" s="15" t="s">
        <v>18</v>
      </c>
      <c r="L77" s="9">
        <f>YEAR(E77)</f>
        <v>2022</v>
      </c>
      <c r="M77">
        <f t="shared" si="1"/>
        <v>1488488.82</v>
      </c>
    </row>
    <row r="78" spans="1:13" x14ac:dyDescent="0.15">
      <c r="A78" s="12"/>
      <c r="B78" s="13" t="s">
        <v>277</v>
      </c>
      <c r="C78" s="14" t="s">
        <v>57</v>
      </c>
      <c r="D78" s="15" t="s">
        <v>114</v>
      </c>
      <c r="E78" s="15" t="s">
        <v>310</v>
      </c>
      <c r="F78" s="16">
        <v>778</v>
      </c>
      <c r="G78" s="19">
        <v>24299.4</v>
      </c>
      <c r="H78" s="17">
        <v>7503.95</v>
      </c>
      <c r="I78" s="19">
        <v>18904933.199999999</v>
      </c>
      <c r="J78" s="15" t="s">
        <v>17</v>
      </c>
      <c r="K78" s="15" t="s">
        <v>18</v>
      </c>
      <c r="L78" s="9">
        <f>YEAR(E78)</f>
        <v>2022</v>
      </c>
      <c r="M78">
        <f t="shared" si="1"/>
        <v>5838073.0999999996</v>
      </c>
    </row>
    <row r="79" spans="1:13" x14ac:dyDescent="0.15">
      <c r="A79" s="12"/>
      <c r="B79" s="13" t="s">
        <v>277</v>
      </c>
      <c r="C79" s="14" t="s">
        <v>43</v>
      </c>
      <c r="D79" s="15" t="s">
        <v>114</v>
      </c>
      <c r="E79" s="15" t="s">
        <v>311</v>
      </c>
      <c r="F79" s="16">
        <v>972</v>
      </c>
      <c r="G79" s="17">
        <v>12391.17</v>
      </c>
      <c r="H79" s="17">
        <v>4739.75</v>
      </c>
      <c r="I79" s="17">
        <v>12044217.24</v>
      </c>
      <c r="J79" s="15" t="s">
        <v>17</v>
      </c>
      <c r="K79" s="15" t="s">
        <v>18</v>
      </c>
      <c r="L79" s="9">
        <f>YEAR(E79)</f>
        <v>2022</v>
      </c>
      <c r="M79">
        <f t="shared" si="1"/>
        <v>4607037</v>
      </c>
    </row>
    <row r="80" spans="1:13" x14ac:dyDescent="0.15">
      <c r="A80" s="12"/>
      <c r="B80" s="13" t="s">
        <v>277</v>
      </c>
      <c r="C80" s="14" t="s">
        <v>19</v>
      </c>
      <c r="D80" s="15" t="s">
        <v>114</v>
      </c>
      <c r="E80" s="15" t="s">
        <v>314</v>
      </c>
      <c r="F80" s="16">
        <v>775</v>
      </c>
      <c r="G80" s="19">
        <v>13645.3</v>
      </c>
      <c r="H80" s="17">
        <v>6202.53</v>
      </c>
      <c r="I80" s="19">
        <v>10575107.5</v>
      </c>
      <c r="J80" s="15" t="s">
        <v>28</v>
      </c>
      <c r="K80" s="15" t="s">
        <v>18</v>
      </c>
      <c r="L80" s="9">
        <f>YEAR(E80)</f>
        <v>2022</v>
      </c>
      <c r="M80">
        <f t="shared" si="1"/>
        <v>4806960.75</v>
      </c>
    </row>
    <row r="81" spans="1:13" x14ac:dyDescent="0.15">
      <c r="A81" s="12"/>
      <c r="B81" s="13" t="s">
        <v>277</v>
      </c>
      <c r="C81" s="14" t="s">
        <v>19</v>
      </c>
      <c r="D81" s="15" t="s">
        <v>15</v>
      </c>
      <c r="E81" s="15" t="s">
        <v>314</v>
      </c>
      <c r="F81" s="16">
        <v>181</v>
      </c>
      <c r="G81" s="17">
        <v>46007.28</v>
      </c>
      <c r="H81" s="17">
        <v>9692.49</v>
      </c>
      <c r="I81" s="17">
        <v>8327317.6799999997</v>
      </c>
      <c r="J81" s="15" t="s">
        <v>17</v>
      </c>
      <c r="K81" s="15" t="s">
        <v>18</v>
      </c>
      <c r="L81" s="9">
        <f>YEAR(E81)</f>
        <v>2022</v>
      </c>
      <c r="M81">
        <f t="shared" si="1"/>
        <v>1754340.69</v>
      </c>
    </row>
    <row r="82" spans="1:13" x14ac:dyDescent="0.15">
      <c r="A82" s="12"/>
      <c r="B82" s="13" t="s">
        <v>277</v>
      </c>
      <c r="C82" s="14" t="s">
        <v>43</v>
      </c>
      <c r="D82" s="15" t="s">
        <v>114</v>
      </c>
      <c r="E82" s="15" t="s">
        <v>316</v>
      </c>
      <c r="F82" s="16">
        <v>583</v>
      </c>
      <c r="G82" s="17">
        <v>31350.91</v>
      </c>
      <c r="H82" s="17">
        <v>7272.46</v>
      </c>
      <c r="I82" s="17">
        <v>18277580.530000001</v>
      </c>
      <c r="J82" s="15" t="s">
        <v>17</v>
      </c>
      <c r="K82" s="15" t="s">
        <v>18</v>
      </c>
      <c r="L82" s="9">
        <f>YEAR(E82)</f>
        <v>2022</v>
      </c>
      <c r="M82">
        <f t="shared" si="1"/>
        <v>4239844.18</v>
      </c>
    </row>
    <row r="83" spans="1:13" x14ac:dyDescent="0.15">
      <c r="A83" s="12"/>
      <c r="B83" s="13" t="s">
        <v>277</v>
      </c>
      <c r="C83" s="14" t="s">
        <v>25</v>
      </c>
      <c r="D83" s="15" t="s">
        <v>15</v>
      </c>
      <c r="E83" s="15" t="s">
        <v>322</v>
      </c>
      <c r="F83" s="16">
        <v>113</v>
      </c>
      <c r="G83" s="17">
        <v>47220.35</v>
      </c>
      <c r="H83" s="19">
        <v>6292.5</v>
      </c>
      <c r="I83" s="17">
        <v>5335899.55</v>
      </c>
      <c r="J83" s="15" t="s">
        <v>17</v>
      </c>
      <c r="K83" s="15" t="s">
        <v>18</v>
      </c>
      <c r="L83" s="9">
        <f>YEAR(E83)</f>
        <v>2022</v>
      </c>
      <c r="M83">
        <f t="shared" si="1"/>
        <v>711052.5</v>
      </c>
    </row>
    <row r="84" spans="1:13" x14ac:dyDescent="0.15">
      <c r="A84" s="12"/>
      <c r="B84" s="13" t="s">
        <v>277</v>
      </c>
      <c r="C84" s="14" t="s">
        <v>43</v>
      </c>
      <c r="D84" s="15" t="s">
        <v>15</v>
      </c>
      <c r="E84" s="15" t="s">
        <v>324</v>
      </c>
      <c r="F84" s="16">
        <v>339</v>
      </c>
      <c r="G84" s="17">
        <v>45625.14</v>
      </c>
      <c r="H84" s="17">
        <v>4973.87</v>
      </c>
      <c r="I84" s="17">
        <v>15466922.460000001</v>
      </c>
      <c r="J84" s="15" t="s">
        <v>17</v>
      </c>
      <c r="K84" s="15" t="s">
        <v>18</v>
      </c>
      <c r="L84" s="9">
        <f>YEAR(E84)</f>
        <v>2022</v>
      </c>
      <c r="M84">
        <f t="shared" si="1"/>
        <v>1686141.93</v>
      </c>
    </row>
    <row r="85" spans="1:13" x14ac:dyDescent="0.15">
      <c r="A85" s="12"/>
      <c r="B85" s="13" t="s">
        <v>277</v>
      </c>
      <c r="C85" s="14" t="s">
        <v>43</v>
      </c>
      <c r="D85" s="15" t="s">
        <v>15</v>
      </c>
      <c r="E85" s="15" t="s">
        <v>326</v>
      </c>
      <c r="F85" s="16">
        <v>651</v>
      </c>
      <c r="G85" s="17">
        <v>23667.26</v>
      </c>
      <c r="H85" s="17">
        <v>6606.14</v>
      </c>
      <c r="I85" s="17">
        <v>15407386.26</v>
      </c>
      <c r="J85" s="15" t="s">
        <v>17</v>
      </c>
      <c r="K85" s="15" t="s">
        <v>18</v>
      </c>
      <c r="L85" s="9">
        <f>YEAR(E85)</f>
        <v>2022</v>
      </c>
      <c r="M85">
        <f t="shared" si="1"/>
        <v>4300597.1400000006</v>
      </c>
    </row>
    <row r="86" spans="1:13" x14ac:dyDescent="0.15">
      <c r="A86" s="12"/>
      <c r="B86" s="13" t="s">
        <v>277</v>
      </c>
      <c r="C86" s="14" t="s">
        <v>25</v>
      </c>
      <c r="D86" s="15" t="s">
        <v>15</v>
      </c>
      <c r="E86" s="15" t="s">
        <v>327</v>
      </c>
      <c r="F86" s="16">
        <v>512</v>
      </c>
      <c r="G86" s="17">
        <v>40616.94</v>
      </c>
      <c r="H86" s="17">
        <v>8997.44</v>
      </c>
      <c r="I86" s="17">
        <v>20795873.280000001</v>
      </c>
      <c r="J86" s="15" t="s">
        <v>17</v>
      </c>
      <c r="K86" s="15" t="s">
        <v>18</v>
      </c>
      <c r="L86" s="9">
        <f>YEAR(E86)</f>
        <v>2022</v>
      </c>
      <c r="M86">
        <f t="shared" si="1"/>
        <v>4606689.2800000003</v>
      </c>
    </row>
    <row r="87" spans="1:13" x14ac:dyDescent="0.15">
      <c r="A87" s="12"/>
      <c r="B87" s="13" t="s">
        <v>277</v>
      </c>
      <c r="C87" s="14" t="s">
        <v>19</v>
      </c>
      <c r="D87" s="15" t="s">
        <v>68</v>
      </c>
      <c r="E87" s="15" t="s">
        <v>54</v>
      </c>
      <c r="F87" s="16">
        <v>994</v>
      </c>
      <c r="G87" s="17">
        <v>38992.61</v>
      </c>
      <c r="H87" s="17">
        <v>8142.85</v>
      </c>
      <c r="I87" s="17">
        <v>38758654.340000004</v>
      </c>
      <c r="J87" s="15" t="s">
        <v>17</v>
      </c>
      <c r="K87" s="15" t="s">
        <v>18</v>
      </c>
      <c r="L87" s="9">
        <f>YEAR(E87)</f>
        <v>2022</v>
      </c>
      <c r="M87">
        <f t="shared" si="1"/>
        <v>8093992.9000000004</v>
      </c>
    </row>
    <row r="88" spans="1:13" x14ac:dyDescent="0.15">
      <c r="A88" s="12"/>
      <c r="B88" s="13" t="s">
        <v>277</v>
      </c>
      <c r="C88" s="14" t="s">
        <v>23</v>
      </c>
      <c r="D88" s="15" t="s">
        <v>68</v>
      </c>
      <c r="E88" s="15" t="s">
        <v>344</v>
      </c>
      <c r="F88" s="16">
        <v>746</v>
      </c>
      <c r="G88" s="17">
        <v>11537.24</v>
      </c>
      <c r="H88" s="17">
        <v>4261.71</v>
      </c>
      <c r="I88" s="17">
        <v>8606781.0399999991</v>
      </c>
      <c r="J88" s="15" t="s">
        <v>30</v>
      </c>
      <c r="K88" s="15" t="s">
        <v>18</v>
      </c>
      <c r="L88" s="9">
        <f>YEAR(E88)</f>
        <v>2022</v>
      </c>
      <c r="M88">
        <f t="shared" si="1"/>
        <v>3179235.66</v>
      </c>
    </row>
    <row r="89" spans="1:13" x14ac:dyDescent="0.15">
      <c r="A89" s="12"/>
      <c r="B89" s="13" t="s">
        <v>277</v>
      </c>
      <c r="C89" s="14" t="s">
        <v>38</v>
      </c>
      <c r="D89" s="15" t="s">
        <v>68</v>
      </c>
      <c r="E89" s="15" t="s">
        <v>348</v>
      </c>
      <c r="F89" s="16">
        <v>371</v>
      </c>
      <c r="G89" s="17">
        <v>36210.54</v>
      </c>
      <c r="H89" s="17">
        <v>3101.99</v>
      </c>
      <c r="I89" s="17">
        <v>13434110.34</v>
      </c>
      <c r="J89" s="15" t="s">
        <v>30</v>
      </c>
      <c r="K89" s="15" t="s">
        <v>18</v>
      </c>
      <c r="L89" s="9">
        <f>YEAR(E89)</f>
        <v>2022</v>
      </c>
      <c r="M89">
        <f t="shared" si="1"/>
        <v>1150838.2899999998</v>
      </c>
    </row>
    <row r="90" spans="1:13" x14ac:dyDescent="0.15">
      <c r="A90" s="12"/>
      <c r="B90" s="13" t="s">
        <v>277</v>
      </c>
      <c r="C90" s="14" t="s">
        <v>14</v>
      </c>
      <c r="D90" s="15" t="s">
        <v>68</v>
      </c>
      <c r="E90" s="15" t="s">
        <v>350</v>
      </c>
      <c r="F90" s="16">
        <v>945</v>
      </c>
      <c r="G90" s="17">
        <v>32510.05</v>
      </c>
      <c r="H90" s="17">
        <v>5669.22</v>
      </c>
      <c r="I90" s="17">
        <v>30721997.25</v>
      </c>
      <c r="J90" s="15" t="s">
        <v>28</v>
      </c>
      <c r="K90" s="15" t="s">
        <v>18</v>
      </c>
      <c r="L90" s="9">
        <f>YEAR(E90)</f>
        <v>2022</v>
      </c>
      <c r="M90">
        <f t="shared" si="1"/>
        <v>5357412.9000000004</v>
      </c>
    </row>
    <row r="91" spans="1:13" x14ac:dyDescent="0.15">
      <c r="A91" s="12"/>
      <c r="B91" s="13" t="s">
        <v>277</v>
      </c>
      <c r="C91" s="14" t="s">
        <v>35</v>
      </c>
      <c r="D91" s="15" t="s">
        <v>89</v>
      </c>
      <c r="E91" s="15" t="s">
        <v>350</v>
      </c>
      <c r="F91" s="16">
        <v>357</v>
      </c>
      <c r="G91" s="17">
        <v>46900.29</v>
      </c>
      <c r="H91" s="17">
        <v>2786.12</v>
      </c>
      <c r="I91" s="17">
        <v>16743403.529999999</v>
      </c>
      <c r="J91" s="15" t="s">
        <v>22</v>
      </c>
      <c r="K91" s="15" t="s">
        <v>18</v>
      </c>
      <c r="L91" s="9">
        <f>YEAR(E91)</f>
        <v>2022</v>
      </c>
      <c r="M91">
        <f t="shared" si="1"/>
        <v>994644.84</v>
      </c>
    </row>
    <row r="92" spans="1:13" x14ac:dyDescent="0.15">
      <c r="A92" s="12"/>
      <c r="B92" s="13" t="s">
        <v>277</v>
      </c>
      <c r="C92" s="14" t="s">
        <v>57</v>
      </c>
      <c r="D92" s="15" t="s">
        <v>68</v>
      </c>
      <c r="E92" s="15" t="s">
        <v>351</v>
      </c>
      <c r="F92" s="16">
        <v>954</v>
      </c>
      <c r="G92" s="17">
        <v>32313.86</v>
      </c>
      <c r="H92" s="17">
        <v>6873.64</v>
      </c>
      <c r="I92" s="17">
        <v>30827422.440000001</v>
      </c>
      <c r="J92" s="15" t="s">
        <v>22</v>
      </c>
      <c r="K92" s="15" t="s">
        <v>18</v>
      </c>
      <c r="L92" s="9">
        <f>YEAR(E92)</f>
        <v>2022</v>
      </c>
      <c r="M92">
        <f t="shared" si="1"/>
        <v>6557452.5600000005</v>
      </c>
    </row>
    <row r="93" spans="1:13" x14ac:dyDescent="0.15">
      <c r="A93" s="12"/>
      <c r="B93" s="13" t="s">
        <v>277</v>
      </c>
      <c r="C93" s="14" t="s">
        <v>35</v>
      </c>
      <c r="D93" s="15" t="s">
        <v>68</v>
      </c>
      <c r="E93" s="15" t="s">
        <v>352</v>
      </c>
      <c r="F93" s="16">
        <v>248</v>
      </c>
      <c r="G93" s="17">
        <v>47005.31</v>
      </c>
      <c r="H93" s="17">
        <v>9451.99</v>
      </c>
      <c r="I93" s="17">
        <v>11657316.880000001</v>
      </c>
      <c r="J93" s="15" t="s">
        <v>17</v>
      </c>
      <c r="K93" s="15" t="s">
        <v>18</v>
      </c>
      <c r="L93" s="9">
        <f>YEAR(E93)</f>
        <v>2022</v>
      </c>
      <c r="M93">
        <f t="shared" si="1"/>
        <v>2344093.52</v>
      </c>
    </row>
    <row r="94" spans="1:13" x14ac:dyDescent="0.15">
      <c r="A94" s="12"/>
      <c r="B94" s="13" t="s">
        <v>277</v>
      </c>
      <c r="C94" s="14" t="s">
        <v>35</v>
      </c>
      <c r="D94" s="15" t="s">
        <v>70</v>
      </c>
      <c r="E94" s="15" t="s">
        <v>355</v>
      </c>
      <c r="F94" s="16">
        <v>394</v>
      </c>
      <c r="G94" s="19">
        <v>32556.2</v>
      </c>
      <c r="H94" s="17">
        <v>8455.9699999999993</v>
      </c>
      <c r="I94" s="19">
        <v>12827142.800000001</v>
      </c>
      <c r="J94" s="15" t="s">
        <v>28</v>
      </c>
      <c r="K94" s="15" t="s">
        <v>18</v>
      </c>
      <c r="L94" s="9">
        <f>YEAR(E94)</f>
        <v>2022</v>
      </c>
      <c r="M94">
        <f t="shared" si="1"/>
        <v>3331652.1799999997</v>
      </c>
    </row>
    <row r="95" spans="1:13" x14ac:dyDescent="0.15">
      <c r="A95" s="12"/>
      <c r="B95" s="13" t="s">
        <v>277</v>
      </c>
      <c r="C95" s="14" t="s">
        <v>38</v>
      </c>
      <c r="D95" s="15" t="s">
        <v>70</v>
      </c>
      <c r="E95" s="15" t="s">
        <v>81</v>
      </c>
      <c r="F95" s="16">
        <v>951</v>
      </c>
      <c r="G95" s="17">
        <v>49548.71</v>
      </c>
      <c r="H95" s="19">
        <v>5274.5</v>
      </c>
      <c r="I95" s="17">
        <v>47120823.210000001</v>
      </c>
      <c r="J95" s="15" t="s">
        <v>17</v>
      </c>
      <c r="K95" s="15" t="s">
        <v>18</v>
      </c>
      <c r="L95" s="9">
        <f>YEAR(E95)</f>
        <v>2022</v>
      </c>
      <c r="M95">
        <f t="shared" si="1"/>
        <v>5016049.5</v>
      </c>
    </row>
    <row r="96" spans="1:13" x14ac:dyDescent="0.15">
      <c r="A96" s="12"/>
      <c r="B96" s="13" t="s">
        <v>277</v>
      </c>
      <c r="C96" s="14" t="s">
        <v>19</v>
      </c>
      <c r="D96" s="15" t="s">
        <v>89</v>
      </c>
      <c r="E96" s="15" t="s">
        <v>381</v>
      </c>
      <c r="F96" s="16">
        <v>285</v>
      </c>
      <c r="G96" s="17">
        <v>15478.05</v>
      </c>
      <c r="H96" s="17">
        <v>4402.63</v>
      </c>
      <c r="I96" s="17">
        <v>4411244.25</v>
      </c>
      <c r="J96" s="15" t="s">
        <v>30</v>
      </c>
      <c r="K96" s="15" t="s">
        <v>18</v>
      </c>
      <c r="L96" s="9">
        <f>YEAR(E96)</f>
        <v>2022</v>
      </c>
      <c r="M96">
        <f t="shared" si="1"/>
        <v>1254749.55</v>
      </c>
    </row>
    <row r="97" spans="1:13" x14ac:dyDescent="0.15">
      <c r="A97" s="12"/>
      <c r="B97" s="13" t="s">
        <v>277</v>
      </c>
      <c r="C97" s="14" t="s">
        <v>23</v>
      </c>
      <c r="D97" s="15" t="s">
        <v>89</v>
      </c>
      <c r="E97" s="15" t="s">
        <v>383</v>
      </c>
      <c r="F97" s="16">
        <v>305</v>
      </c>
      <c r="G97" s="17">
        <v>21673.21</v>
      </c>
      <c r="H97" s="17">
        <v>7611.27</v>
      </c>
      <c r="I97" s="17">
        <v>6610329.0499999998</v>
      </c>
      <c r="J97" s="15" t="s">
        <v>17</v>
      </c>
      <c r="K97" s="15" t="s">
        <v>18</v>
      </c>
      <c r="L97" s="9">
        <f>YEAR(E97)</f>
        <v>2022</v>
      </c>
      <c r="M97">
        <f t="shared" si="1"/>
        <v>2321437.35</v>
      </c>
    </row>
    <row r="98" spans="1:13" x14ac:dyDescent="0.15">
      <c r="A98" s="12"/>
      <c r="B98" s="13" t="s">
        <v>277</v>
      </c>
      <c r="C98" s="14" t="s">
        <v>57</v>
      </c>
      <c r="D98" s="15" t="s">
        <v>89</v>
      </c>
      <c r="E98" s="15" t="s">
        <v>384</v>
      </c>
      <c r="F98" s="16">
        <v>639</v>
      </c>
      <c r="G98" s="17">
        <v>35392.97</v>
      </c>
      <c r="H98" s="19">
        <v>6671.2</v>
      </c>
      <c r="I98" s="17">
        <v>22616107.829999998</v>
      </c>
      <c r="J98" s="15" t="s">
        <v>28</v>
      </c>
      <c r="K98" s="15" t="s">
        <v>18</v>
      </c>
      <c r="L98" s="9">
        <f>YEAR(E98)</f>
        <v>2022</v>
      </c>
      <c r="M98">
        <f t="shared" si="1"/>
        <v>4262896.8</v>
      </c>
    </row>
    <row r="99" spans="1:13" x14ac:dyDescent="0.15">
      <c r="A99" s="12"/>
      <c r="B99" s="13" t="s">
        <v>277</v>
      </c>
      <c r="C99" s="14" t="s">
        <v>57</v>
      </c>
      <c r="D99" s="15" t="s">
        <v>53</v>
      </c>
      <c r="E99" s="15" t="s">
        <v>280</v>
      </c>
      <c r="F99" s="16">
        <v>172</v>
      </c>
      <c r="G99" s="17">
        <v>19594.66</v>
      </c>
      <c r="H99" s="16">
        <v>9712</v>
      </c>
      <c r="I99" s="17">
        <v>3370281.52</v>
      </c>
      <c r="J99" s="15" t="s">
        <v>28</v>
      </c>
      <c r="K99" s="15" t="s">
        <v>18</v>
      </c>
      <c r="L99" s="9">
        <f>YEAR(E99)</f>
        <v>2023</v>
      </c>
      <c r="M99">
        <f t="shared" si="1"/>
        <v>1670464</v>
      </c>
    </row>
    <row r="100" spans="1:13" x14ac:dyDescent="0.15">
      <c r="A100" s="12"/>
      <c r="B100" s="13" t="s">
        <v>277</v>
      </c>
      <c r="C100" s="14" t="s">
        <v>23</v>
      </c>
      <c r="D100" s="15" t="s">
        <v>53</v>
      </c>
      <c r="E100" s="15" t="s">
        <v>281</v>
      </c>
      <c r="F100" s="16">
        <v>938</v>
      </c>
      <c r="G100" s="17">
        <v>29055.81</v>
      </c>
      <c r="H100" s="17">
        <v>3557.94</v>
      </c>
      <c r="I100" s="17">
        <v>27254349.780000001</v>
      </c>
      <c r="J100" s="15" t="s">
        <v>30</v>
      </c>
      <c r="K100" s="15" t="s">
        <v>18</v>
      </c>
      <c r="L100" s="9">
        <f>YEAR(E100)</f>
        <v>2023</v>
      </c>
      <c r="M100">
        <f t="shared" si="1"/>
        <v>3337347.72</v>
      </c>
    </row>
    <row r="101" spans="1:13" x14ac:dyDescent="0.15">
      <c r="A101" s="12"/>
      <c r="B101" s="13" t="s">
        <v>277</v>
      </c>
      <c r="C101" s="14" t="s">
        <v>25</v>
      </c>
      <c r="D101" s="15" t="s">
        <v>53</v>
      </c>
      <c r="E101" s="15" t="s">
        <v>289</v>
      </c>
      <c r="F101" s="16">
        <v>540</v>
      </c>
      <c r="G101" s="17">
        <v>45317.85</v>
      </c>
      <c r="H101" s="17">
        <v>7712.76</v>
      </c>
      <c r="I101" s="16">
        <v>24471639</v>
      </c>
      <c r="J101" s="15" t="s">
        <v>28</v>
      </c>
      <c r="K101" s="15" t="s">
        <v>18</v>
      </c>
      <c r="L101" s="9">
        <f>YEAR(E101)</f>
        <v>2023</v>
      </c>
      <c r="M101">
        <f t="shared" si="1"/>
        <v>4164890.4</v>
      </c>
    </row>
    <row r="102" spans="1:13" x14ac:dyDescent="0.15">
      <c r="A102" s="12"/>
      <c r="B102" s="13" t="s">
        <v>277</v>
      </c>
      <c r="C102" s="14" t="s">
        <v>35</v>
      </c>
      <c r="D102" s="15" t="s">
        <v>53</v>
      </c>
      <c r="E102" s="15" t="s">
        <v>292</v>
      </c>
      <c r="F102" s="16">
        <v>238</v>
      </c>
      <c r="G102" s="17">
        <v>26925.18</v>
      </c>
      <c r="H102" s="17">
        <v>2901.45</v>
      </c>
      <c r="I102" s="17">
        <v>6408192.8399999999</v>
      </c>
      <c r="J102" s="15" t="s">
        <v>17</v>
      </c>
      <c r="K102" s="15" t="s">
        <v>18</v>
      </c>
      <c r="L102" s="9">
        <f>YEAR(E102)</f>
        <v>2023</v>
      </c>
      <c r="M102">
        <f t="shared" si="1"/>
        <v>690545.1</v>
      </c>
    </row>
    <row r="103" spans="1:13" x14ac:dyDescent="0.15">
      <c r="A103" s="12"/>
      <c r="B103" s="13" t="s">
        <v>277</v>
      </c>
      <c r="C103" s="14" t="s">
        <v>19</v>
      </c>
      <c r="D103" s="15" t="s">
        <v>114</v>
      </c>
      <c r="E103" s="15" t="s">
        <v>292</v>
      </c>
      <c r="F103" s="16">
        <v>948</v>
      </c>
      <c r="G103" s="17">
        <v>14062.61</v>
      </c>
      <c r="H103" s="17">
        <v>7842.17</v>
      </c>
      <c r="I103" s="17">
        <v>13331354.279999999</v>
      </c>
      <c r="J103" s="15" t="s">
        <v>28</v>
      </c>
      <c r="K103" s="15" t="s">
        <v>18</v>
      </c>
      <c r="L103" s="9">
        <f>YEAR(E103)</f>
        <v>2023</v>
      </c>
      <c r="M103">
        <f t="shared" si="1"/>
        <v>7434377.1600000001</v>
      </c>
    </row>
    <row r="104" spans="1:13" x14ac:dyDescent="0.15">
      <c r="A104" s="12"/>
      <c r="B104" s="13" t="s">
        <v>277</v>
      </c>
      <c r="C104" s="14" t="s">
        <v>35</v>
      </c>
      <c r="D104" s="15" t="s">
        <v>53</v>
      </c>
      <c r="E104" s="15" t="s">
        <v>294</v>
      </c>
      <c r="F104" s="16">
        <v>222</v>
      </c>
      <c r="G104" s="17">
        <v>28231.62</v>
      </c>
      <c r="H104" s="17">
        <v>7367.68</v>
      </c>
      <c r="I104" s="17">
        <v>6267419.6399999997</v>
      </c>
      <c r="J104" s="15" t="s">
        <v>17</v>
      </c>
      <c r="K104" s="15" t="s">
        <v>18</v>
      </c>
      <c r="L104" s="9">
        <f>YEAR(E104)</f>
        <v>2023</v>
      </c>
      <c r="M104">
        <f t="shared" si="1"/>
        <v>1635624.96</v>
      </c>
    </row>
    <row r="105" spans="1:13" x14ac:dyDescent="0.15">
      <c r="A105" s="12"/>
      <c r="B105" s="13" t="s">
        <v>277</v>
      </c>
      <c r="C105" s="14" t="s">
        <v>23</v>
      </c>
      <c r="D105" s="15" t="s">
        <v>53</v>
      </c>
      <c r="E105" s="15" t="s">
        <v>247</v>
      </c>
      <c r="F105" s="16">
        <v>264</v>
      </c>
      <c r="G105" s="17">
        <v>49192.22</v>
      </c>
      <c r="H105" s="17">
        <v>4003.23</v>
      </c>
      <c r="I105" s="17">
        <v>12986746.08</v>
      </c>
      <c r="J105" s="15" t="s">
        <v>22</v>
      </c>
      <c r="K105" s="15" t="s">
        <v>18</v>
      </c>
      <c r="L105" s="9">
        <f>YEAR(E105)</f>
        <v>2023</v>
      </c>
      <c r="M105">
        <f t="shared" si="1"/>
        <v>1056852.72</v>
      </c>
    </row>
    <row r="106" spans="1:13" x14ac:dyDescent="0.15">
      <c r="A106" s="12"/>
      <c r="B106" s="13" t="s">
        <v>277</v>
      </c>
      <c r="C106" s="14" t="s">
        <v>43</v>
      </c>
      <c r="D106" s="15" t="s">
        <v>53</v>
      </c>
      <c r="E106" s="15" t="s">
        <v>295</v>
      </c>
      <c r="F106" s="16">
        <v>250</v>
      </c>
      <c r="G106" s="17">
        <v>39171.51</v>
      </c>
      <c r="H106" s="17">
        <v>5314.78</v>
      </c>
      <c r="I106" s="19">
        <v>9792877.5</v>
      </c>
      <c r="J106" s="15" t="s">
        <v>22</v>
      </c>
      <c r="K106" s="15" t="s">
        <v>18</v>
      </c>
      <c r="L106" s="9">
        <f>YEAR(E106)</f>
        <v>2023</v>
      </c>
      <c r="M106">
        <f t="shared" si="1"/>
        <v>1328695</v>
      </c>
    </row>
    <row r="107" spans="1:13" x14ac:dyDescent="0.15">
      <c r="A107" s="12"/>
      <c r="B107" s="13" t="s">
        <v>277</v>
      </c>
      <c r="C107" s="14" t="s">
        <v>19</v>
      </c>
      <c r="D107" s="15" t="s">
        <v>139</v>
      </c>
      <c r="E107" s="15" t="s">
        <v>297</v>
      </c>
      <c r="F107" s="16">
        <v>657</v>
      </c>
      <c r="G107" s="17">
        <v>42148.94</v>
      </c>
      <c r="H107" s="17">
        <v>5773.97</v>
      </c>
      <c r="I107" s="17">
        <v>27691853.579999998</v>
      </c>
      <c r="J107" s="15" t="s">
        <v>30</v>
      </c>
      <c r="K107" s="15" t="s">
        <v>18</v>
      </c>
      <c r="L107" s="9">
        <f>YEAR(E107)</f>
        <v>2023</v>
      </c>
      <c r="M107">
        <f t="shared" si="1"/>
        <v>3793498.29</v>
      </c>
    </row>
    <row r="108" spans="1:13" x14ac:dyDescent="0.15">
      <c r="A108" s="12"/>
      <c r="B108" s="13" t="s">
        <v>277</v>
      </c>
      <c r="C108" s="14" t="s">
        <v>38</v>
      </c>
      <c r="D108" s="15" t="s">
        <v>139</v>
      </c>
      <c r="E108" s="15" t="s">
        <v>299</v>
      </c>
      <c r="F108" s="16">
        <v>354</v>
      </c>
      <c r="G108" s="17">
        <v>16810.169999999998</v>
      </c>
      <c r="H108" s="17">
        <v>7303.36</v>
      </c>
      <c r="I108" s="17">
        <v>5950800.1799999997</v>
      </c>
      <c r="J108" s="15" t="s">
        <v>22</v>
      </c>
      <c r="K108" s="15" t="s">
        <v>18</v>
      </c>
      <c r="L108" s="9">
        <f>YEAR(E108)</f>
        <v>2023</v>
      </c>
      <c r="M108">
        <f t="shared" si="1"/>
        <v>2585389.44</v>
      </c>
    </row>
    <row r="109" spans="1:13" x14ac:dyDescent="0.15">
      <c r="A109" s="12"/>
      <c r="B109" s="13" t="s">
        <v>277</v>
      </c>
      <c r="C109" s="14" t="s">
        <v>57</v>
      </c>
      <c r="D109" s="15" t="s">
        <v>139</v>
      </c>
      <c r="E109" s="15" t="s">
        <v>301</v>
      </c>
      <c r="F109" s="16">
        <v>981</v>
      </c>
      <c r="G109" s="17">
        <v>39948.71</v>
      </c>
      <c r="H109" s="17">
        <v>5611.36</v>
      </c>
      <c r="I109" s="17">
        <v>39189684.509999998</v>
      </c>
      <c r="J109" s="15" t="s">
        <v>28</v>
      </c>
      <c r="K109" s="15" t="s">
        <v>18</v>
      </c>
      <c r="L109" s="9">
        <f>YEAR(E109)</f>
        <v>2023</v>
      </c>
      <c r="M109">
        <f t="shared" si="1"/>
        <v>5504744.1599999992</v>
      </c>
    </row>
    <row r="110" spans="1:13" x14ac:dyDescent="0.15">
      <c r="A110" s="12"/>
      <c r="B110" s="13" t="s">
        <v>277</v>
      </c>
      <c r="C110" s="14" t="s">
        <v>35</v>
      </c>
      <c r="D110" s="15" t="s">
        <v>139</v>
      </c>
      <c r="E110" s="15" t="s">
        <v>161</v>
      </c>
      <c r="F110" s="16">
        <v>708</v>
      </c>
      <c r="G110" s="17">
        <v>34554.94</v>
      </c>
      <c r="H110" s="17">
        <v>4062.57</v>
      </c>
      <c r="I110" s="17">
        <v>24464897.52</v>
      </c>
      <c r="J110" s="15" t="s">
        <v>17</v>
      </c>
      <c r="K110" s="15" t="s">
        <v>18</v>
      </c>
      <c r="L110" s="9">
        <f>YEAR(E110)</f>
        <v>2023</v>
      </c>
      <c r="M110">
        <f t="shared" si="1"/>
        <v>2876299.56</v>
      </c>
    </row>
    <row r="111" spans="1:13" x14ac:dyDescent="0.15">
      <c r="A111" s="12"/>
      <c r="B111" s="13" t="s">
        <v>277</v>
      </c>
      <c r="C111" s="14" t="s">
        <v>25</v>
      </c>
      <c r="D111" s="15" t="s">
        <v>114</v>
      </c>
      <c r="E111" s="15" t="s">
        <v>313</v>
      </c>
      <c r="F111" s="16">
        <v>366</v>
      </c>
      <c r="G111" s="17">
        <v>37718.550000000003</v>
      </c>
      <c r="H111" s="17">
        <v>3056.13</v>
      </c>
      <c r="I111" s="19">
        <v>13804989.300000001</v>
      </c>
      <c r="J111" s="15" t="s">
        <v>17</v>
      </c>
      <c r="K111" s="15" t="s">
        <v>18</v>
      </c>
      <c r="L111" s="9">
        <f>YEAR(E111)</f>
        <v>2023</v>
      </c>
      <c r="M111">
        <f t="shared" si="1"/>
        <v>1118543.58</v>
      </c>
    </row>
    <row r="112" spans="1:13" x14ac:dyDescent="0.15">
      <c r="A112" s="12"/>
      <c r="B112" s="13" t="s">
        <v>277</v>
      </c>
      <c r="C112" s="14" t="s">
        <v>38</v>
      </c>
      <c r="D112" s="15" t="s">
        <v>153</v>
      </c>
      <c r="E112" s="15" t="s">
        <v>313</v>
      </c>
      <c r="F112" s="16">
        <v>902</v>
      </c>
      <c r="G112" s="17">
        <v>26139.97</v>
      </c>
      <c r="H112" s="17">
        <v>4595.3900000000003</v>
      </c>
      <c r="I112" s="17">
        <v>23578252.940000001</v>
      </c>
      <c r="J112" s="15" t="s">
        <v>28</v>
      </c>
      <c r="K112" s="15" t="s">
        <v>18</v>
      </c>
      <c r="L112" s="9">
        <f>YEAR(E112)</f>
        <v>2023</v>
      </c>
      <c r="M112">
        <f t="shared" si="1"/>
        <v>4145041.7800000003</v>
      </c>
    </row>
    <row r="113" spans="1:13" x14ac:dyDescent="0.15">
      <c r="A113" s="12"/>
      <c r="B113" s="13" t="s">
        <v>277</v>
      </c>
      <c r="C113" s="14" t="s">
        <v>43</v>
      </c>
      <c r="D113" s="15" t="s">
        <v>114</v>
      </c>
      <c r="E113" s="15" t="s">
        <v>235</v>
      </c>
      <c r="F113" s="16">
        <v>166</v>
      </c>
      <c r="G113" s="17">
        <v>21132.81</v>
      </c>
      <c r="H113" s="17">
        <v>7252.84</v>
      </c>
      <c r="I113" s="17">
        <v>3508046.46</v>
      </c>
      <c r="J113" s="15" t="s">
        <v>17</v>
      </c>
      <c r="K113" s="15" t="s">
        <v>18</v>
      </c>
      <c r="L113" s="9">
        <f>YEAR(E113)</f>
        <v>2023</v>
      </c>
      <c r="M113">
        <f t="shared" si="1"/>
        <v>1203971.44</v>
      </c>
    </row>
    <row r="114" spans="1:13" x14ac:dyDescent="0.15">
      <c r="A114" s="12"/>
      <c r="B114" s="13" t="s">
        <v>277</v>
      </c>
      <c r="C114" s="14" t="s">
        <v>14</v>
      </c>
      <c r="D114" s="15" t="s">
        <v>114</v>
      </c>
      <c r="E114" s="15" t="s">
        <v>315</v>
      </c>
      <c r="F114" s="16">
        <v>164</v>
      </c>
      <c r="G114" s="17">
        <v>44326.559999999998</v>
      </c>
      <c r="H114" s="17">
        <v>5980.31</v>
      </c>
      <c r="I114" s="17">
        <v>7269555.8399999999</v>
      </c>
      <c r="J114" s="15" t="s">
        <v>30</v>
      </c>
      <c r="K114" s="15" t="s">
        <v>18</v>
      </c>
      <c r="L114" s="9">
        <f>YEAR(E114)</f>
        <v>2023</v>
      </c>
      <c r="M114">
        <f t="shared" si="1"/>
        <v>980770.84000000008</v>
      </c>
    </row>
    <row r="115" spans="1:13" x14ac:dyDescent="0.15">
      <c r="A115" s="12"/>
      <c r="B115" s="13" t="s">
        <v>277</v>
      </c>
      <c r="C115" s="14" t="s">
        <v>57</v>
      </c>
      <c r="D115" s="15" t="s">
        <v>15</v>
      </c>
      <c r="E115" s="15" t="s">
        <v>317</v>
      </c>
      <c r="F115" s="16">
        <v>179</v>
      </c>
      <c r="G115" s="17">
        <v>13561.99</v>
      </c>
      <c r="H115" s="17">
        <v>7189.28</v>
      </c>
      <c r="I115" s="17">
        <v>2427596.21</v>
      </c>
      <c r="J115" s="15" t="s">
        <v>17</v>
      </c>
      <c r="K115" s="15" t="s">
        <v>18</v>
      </c>
      <c r="L115" s="9">
        <f>YEAR(E115)</f>
        <v>2023</v>
      </c>
      <c r="M115">
        <f t="shared" si="1"/>
        <v>1286881.1199999999</v>
      </c>
    </row>
    <row r="116" spans="1:13" x14ac:dyDescent="0.15">
      <c r="A116" s="12"/>
      <c r="B116" s="13" t="s">
        <v>277</v>
      </c>
      <c r="C116" s="14" t="s">
        <v>25</v>
      </c>
      <c r="D116" s="15" t="s">
        <v>68</v>
      </c>
      <c r="E116" s="15" t="s">
        <v>317</v>
      </c>
      <c r="F116" s="16">
        <v>507</v>
      </c>
      <c r="G116" s="16">
        <v>25077</v>
      </c>
      <c r="H116" s="17">
        <v>4342.1899999999996</v>
      </c>
      <c r="I116" s="16">
        <v>12714039</v>
      </c>
      <c r="J116" s="15" t="s">
        <v>30</v>
      </c>
      <c r="K116" s="15" t="s">
        <v>18</v>
      </c>
      <c r="L116" s="9">
        <f>YEAR(E116)</f>
        <v>2023</v>
      </c>
      <c r="M116">
        <f t="shared" si="1"/>
        <v>2201490.3299999996</v>
      </c>
    </row>
    <row r="117" spans="1:13" x14ac:dyDescent="0.15">
      <c r="A117" s="12"/>
      <c r="B117" s="13" t="s">
        <v>277</v>
      </c>
      <c r="C117" s="14" t="s">
        <v>14</v>
      </c>
      <c r="D117" s="15" t="s">
        <v>15</v>
      </c>
      <c r="E117" s="15" t="s">
        <v>318</v>
      </c>
      <c r="F117" s="16">
        <v>997</v>
      </c>
      <c r="G117" s="17">
        <v>32753.279999999999</v>
      </c>
      <c r="H117" s="17">
        <v>8951.58</v>
      </c>
      <c r="I117" s="17">
        <v>32655020.16</v>
      </c>
      <c r="J117" s="15" t="s">
        <v>30</v>
      </c>
      <c r="K117" s="15" t="s">
        <v>18</v>
      </c>
      <c r="L117" s="9">
        <f>YEAR(E117)</f>
        <v>2023</v>
      </c>
      <c r="M117">
        <f t="shared" si="1"/>
        <v>8924725.2599999998</v>
      </c>
    </row>
    <row r="118" spans="1:13" x14ac:dyDescent="0.15">
      <c r="A118" s="12"/>
      <c r="B118" s="13" t="s">
        <v>277</v>
      </c>
      <c r="C118" s="14" t="s">
        <v>35</v>
      </c>
      <c r="D118" s="15" t="s">
        <v>15</v>
      </c>
      <c r="E118" s="15" t="s">
        <v>321</v>
      </c>
      <c r="F118" s="16">
        <v>813</v>
      </c>
      <c r="G118" s="17">
        <v>17261.98</v>
      </c>
      <c r="H118" s="17">
        <v>4878.03</v>
      </c>
      <c r="I118" s="17">
        <v>14033989.74</v>
      </c>
      <c r="J118" s="15" t="s">
        <v>17</v>
      </c>
      <c r="K118" s="15" t="s">
        <v>18</v>
      </c>
      <c r="L118" s="9">
        <f>YEAR(E118)</f>
        <v>2023</v>
      </c>
      <c r="M118">
        <f t="shared" si="1"/>
        <v>3965838.3899999997</v>
      </c>
    </row>
    <row r="119" spans="1:13" x14ac:dyDescent="0.15">
      <c r="A119" s="12"/>
      <c r="B119" s="13" t="s">
        <v>277</v>
      </c>
      <c r="C119" s="14" t="s">
        <v>79</v>
      </c>
      <c r="D119" s="15" t="s">
        <v>15</v>
      </c>
      <c r="E119" s="15" t="s">
        <v>323</v>
      </c>
      <c r="F119" s="16">
        <v>383</v>
      </c>
      <c r="G119" s="17">
        <v>10974.92</v>
      </c>
      <c r="H119" s="17">
        <v>2308.7800000000002</v>
      </c>
      <c r="I119" s="17">
        <v>4203394.3600000003</v>
      </c>
      <c r="J119" s="15" t="s">
        <v>28</v>
      </c>
      <c r="K119" s="15" t="s">
        <v>18</v>
      </c>
      <c r="L119" s="9">
        <f>YEAR(E119)</f>
        <v>2023</v>
      </c>
      <c r="M119">
        <f t="shared" si="1"/>
        <v>884262.74000000011</v>
      </c>
    </row>
    <row r="120" spans="1:13" x14ac:dyDescent="0.15">
      <c r="A120" s="12"/>
      <c r="B120" s="13" t="s">
        <v>277</v>
      </c>
      <c r="C120" s="14" t="s">
        <v>79</v>
      </c>
      <c r="D120" s="15" t="s">
        <v>15</v>
      </c>
      <c r="E120" s="15" t="s">
        <v>102</v>
      </c>
      <c r="F120" s="16">
        <v>212</v>
      </c>
      <c r="G120" s="17">
        <v>18804.84</v>
      </c>
      <c r="H120" s="17">
        <v>4332.0200000000004</v>
      </c>
      <c r="I120" s="17">
        <v>3986626.08</v>
      </c>
      <c r="J120" s="15" t="s">
        <v>17</v>
      </c>
      <c r="K120" s="15" t="s">
        <v>18</v>
      </c>
      <c r="L120" s="9">
        <f>YEAR(E120)</f>
        <v>2023</v>
      </c>
      <c r="M120">
        <f t="shared" si="1"/>
        <v>918388.24000000011</v>
      </c>
    </row>
    <row r="121" spans="1:13" x14ac:dyDescent="0.15">
      <c r="A121" s="12"/>
      <c r="B121" s="13" t="s">
        <v>277</v>
      </c>
      <c r="C121" s="14" t="s">
        <v>23</v>
      </c>
      <c r="D121" s="15" t="s">
        <v>26</v>
      </c>
      <c r="E121" s="15" t="s">
        <v>328</v>
      </c>
      <c r="F121" s="16">
        <v>295</v>
      </c>
      <c r="G121" s="17">
        <v>15255.06</v>
      </c>
      <c r="H121" s="17">
        <v>5692.82</v>
      </c>
      <c r="I121" s="19">
        <v>4500242.7</v>
      </c>
      <c r="J121" s="15" t="s">
        <v>28</v>
      </c>
      <c r="K121" s="15" t="s">
        <v>18</v>
      </c>
      <c r="L121" s="9">
        <f>YEAR(E121)</f>
        <v>2023</v>
      </c>
      <c r="M121">
        <f t="shared" si="1"/>
        <v>1679381.9</v>
      </c>
    </row>
    <row r="122" spans="1:13" x14ac:dyDescent="0.15">
      <c r="A122" s="12"/>
      <c r="B122" s="13" t="s">
        <v>277</v>
      </c>
      <c r="C122" s="14" t="s">
        <v>38</v>
      </c>
      <c r="D122" s="15" t="s">
        <v>26</v>
      </c>
      <c r="E122" s="15" t="s">
        <v>329</v>
      </c>
      <c r="F122" s="16">
        <v>839</v>
      </c>
      <c r="G122" s="17">
        <v>42307.64</v>
      </c>
      <c r="H122" s="17">
        <v>2725.48</v>
      </c>
      <c r="I122" s="17">
        <v>35496109.960000001</v>
      </c>
      <c r="J122" s="15" t="s">
        <v>17</v>
      </c>
      <c r="K122" s="15" t="s">
        <v>18</v>
      </c>
      <c r="L122" s="9">
        <f>YEAR(E122)</f>
        <v>2023</v>
      </c>
      <c r="M122">
        <f t="shared" si="1"/>
        <v>2286677.7200000002</v>
      </c>
    </row>
    <row r="123" spans="1:13" x14ac:dyDescent="0.15">
      <c r="A123" s="12"/>
      <c r="B123" s="13" t="s">
        <v>277</v>
      </c>
      <c r="C123" s="14" t="s">
        <v>31</v>
      </c>
      <c r="D123" s="15" t="s">
        <v>26</v>
      </c>
      <c r="E123" s="15" t="s">
        <v>330</v>
      </c>
      <c r="F123" s="16">
        <v>639</v>
      </c>
      <c r="G123" s="17">
        <v>46793.26</v>
      </c>
      <c r="H123" s="17">
        <v>2626.29</v>
      </c>
      <c r="I123" s="17">
        <v>29900893.140000001</v>
      </c>
      <c r="J123" s="15" t="s">
        <v>30</v>
      </c>
      <c r="K123" s="15" t="s">
        <v>18</v>
      </c>
      <c r="L123" s="9">
        <f>YEAR(E123)</f>
        <v>2023</v>
      </c>
      <c r="M123">
        <f t="shared" si="1"/>
        <v>1678199.31</v>
      </c>
    </row>
    <row r="124" spans="1:13" x14ac:dyDescent="0.15">
      <c r="A124" s="12"/>
      <c r="B124" s="13" t="s">
        <v>277</v>
      </c>
      <c r="C124" s="14" t="s">
        <v>19</v>
      </c>
      <c r="D124" s="15" t="s">
        <v>26</v>
      </c>
      <c r="E124" s="15" t="s">
        <v>24</v>
      </c>
      <c r="F124" s="16">
        <v>856</v>
      </c>
      <c r="G124" s="17">
        <v>25955.18</v>
      </c>
      <c r="H124" s="17">
        <v>8075.39</v>
      </c>
      <c r="I124" s="17">
        <v>22217634.079999998</v>
      </c>
      <c r="J124" s="15" t="s">
        <v>28</v>
      </c>
      <c r="K124" s="15" t="s">
        <v>18</v>
      </c>
      <c r="L124" s="9">
        <f>YEAR(E124)</f>
        <v>2023</v>
      </c>
      <c r="M124">
        <f t="shared" si="1"/>
        <v>6912533.8399999999</v>
      </c>
    </row>
    <row r="125" spans="1:13" x14ac:dyDescent="0.15">
      <c r="A125" s="12"/>
      <c r="B125" s="13" t="s">
        <v>277</v>
      </c>
      <c r="C125" s="14" t="s">
        <v>79</v>
      </c>
      <c r="D125" s="15" t="s">
        <v>26</v>
      </c>
      <c r="E125" s="15" t="s">
        <v>332</v>
      </c>
      <c r="F125" s="16">
        <v>696</v>
      </c>
      <c r="G125" s="17">
        <v>29398.99</v>
      </c>
      <c r="H125" s="19">
        <v>4816.3</v>
      </c>
      <c r="I125" s="17">
        <v>20461697.039999999</v>
      </c>
      <c r="J125" s="15" t="s">
        <v>17</v>
      </c>
      <c r="K125" s="15" t="s">
        <v>18</v>
      </c>
      <c r="L125" s="9">
        <f>YEAR(E125)</f>
        <v>2023</v>
      </c>
      <c r="M125">
        <f t="shared" si="1"/>
        <v>3352144.8000000003</v>
      </c>
    </row>
    <row r="126" spans="1:13" x14ac:dyDescent="0.15">
      <c r="A126" s="12"/>
      <c r="B126" s="13" t="s">
        <v>277</v>
      </c>
      <c r="C126" s="14" t="s">
        <v>35</v>
      </c>
      <c r="D126" s="15" t="s">
        <v>68</v>
      </c>
      <c r="E126" s="15" t="s">
        <v>340</v>
      </c>
      <c r="F126" s="16">
        <v>896</v>
      </c>
      <c r="G126" s="17">
        <v>37856.44</v>
      </c>
      <c r="H126" s="17">
        <v>8880.76</v>
      </c>
      <c r="I126" s="17">
        <v>33919370.240000002</v>
      </c>
      <c r="J126" s="15" t="s">
        <v>17</v>
      </c>
      <c r="K126" s="15" t="s">
        <v>18</v>
      </c>
      <c r="L126" s="9">
        <f>YEAR(E126)</f>
        <v>2023</v>
      </c>
      <c r="M126">
        <f t="shared" si="1"/>
        <v>7957160.96</v>
      </c>
    </row>
    <row r="127" spans="1:13" x14ac:dyDescent="0.15">
      <c r="A127" s="12"/>
      <c r="B127" s="13" t="s">
        <v>277</v>
      </c>
      <c r="C127" s="14" t="s">
        <v>79</v>
      </c>
      <c r="D127" s="15" t="s">
        <v>68</v>
      </c>
      <c r="E127" s="15" t="s">
        <v>343</v>
      </c>
      <c r="F127" s="16">
        <v>800</v>
      </c>
      <c r="G127" s="17">
        <v>44815.63</v>
      </c>
      <c r="H127" s="17">
        <v>8719.48</v>
      </c>
      <c r="I127" s="16">
        <v>35852504</v>
      </c>
      <c r="J127" s="15" t="s">
        <v>28</v>
      </c>
      <c r="K127" s="15" t="s">
        <v>18</v>
      </c>
      <c r="L127" s="9">
        <f>YEAR(E127)</f>
        <v>2023</v>
      </c>
      <c r="M127">
        <f t="shared" si="1"/>
        <v>6975584</v>
      </c>
    </row>
    <row r="128" spans="1:13" x14ac:dyDescent="0.15">
      <c r="A128" s="12"/>
      <c r="B128" s="13" t="s">
        <v>277</v>
      </c>
      <c r="C128" s="14" t="s">
        <v>31</v>
      </c>
      <c r="D128" s="15" t="s">
        <v>68</v>
      </c>
      <c r="E128" s="15" t="s">
        <v>353</v>
      </c>
      <c r="F128" s="16">
        <v>581</v>
      </c>
      <c r="G128" s="17">
        <v>36715.879999999997</v>
      </c>
      <c r="H128" s="17">
        <v>9369.14</v>
      </c>
      <c r="I128" s="17">
        <v>21331926.280000001</v>
      </c>
      <c r="J128" s="15" t="s">
        <v>17</v>
      </c>
      <c r="K128" s="15" t="s">
        <v>18</v>
      </c>
      <c r="L128" s="9">
        <f>YEAR(E128)</f>
        <v>2023</v>
      </c>
      <c r="M128">
        <f t="shared" si="1"/>
        <v>5443470.3399999999</v>
      </c>
    </row>
    <row r="129" spans="1:13" x14ac:dyDescent="0.15">
      <c r="A129" s="12"/>
      <c r="B129" s="13" t="s">
        <v>277</v>
      </c>
      <c r="C129" s="14" t="s">
        <v>31</v>
      </c>
      <c r="D129" s="15" t="s">
        <v>70</v>
      </c>
      <c r="E129" s="15" t="s">
        <v>358</v>
      </c>
      <c r="F129" s="16">
        <v>513</v>
      </c>
      <c r="G129" s="17">
        <v>40829.589999999997</v>
      </c>
      <c r="H129" s="17">
        <v>5780.88</v>
      </c>
      <c r="I129" s="17">
        <v>20945579.670000002</v>
      </c>
      <c r="J129" s="15" t="s">
        <v>30</v>
      </c>
      <c r="K129" s="15" t="s">
        <v>18</v>
      </c>
      <c r="L129" s="9">
        <f>YEAR(E129)</f>
        <v>2023</v>
      </c>
      <c r="M129">
        <f t="shared" si="1"/>
        <v>2965591.44</v>
      </c>
    </row>
    <row r="130" spans="1:13" x14ac:dyDescent="0.15">
      <c r="A130" s="12"/>
      <c r="B130" s="13" t="s">
        <v>277</v>
      </c>
      <c r="C130" s="14" t="s">
        <v>31</v>
      </c>
      <c r="D130" s="15" t="s">
        <v>70</v>
      </c>
      <c r="E130" s="15" t="s">
        <v>360</v>
      </c>
      <c r="F130" s="16">
        <v>283</v>
      </c>
      <c r="G130" s="19">
        <v>24034.1</v>
      </c>
      <c r="H130" s="17">
        <v>8798.82</v>
      </c>
      <c r="I130" s="19">
        <v>6801650.2999999998</v>
      </c>
      <c r="J130" s="15" t="s">
        <v>17</v>
      </c>
      <c r="K130" s="15" t="s">
        <v>18</v>
      </c>
      <c r="L130" s="9">
        <f>YEAR(E130)</f>
        <v>2023</v>
      </c>
      <c r="M130">
        <f t="shared" si="1"/>
        <v>2490066.06</v>
      </c>
    </row>
    <row r="131" spans="1:13" x14ac:dyDescent="0.15">
      <c r="A131" s="12"/>
      <c r="B131" s="13" t="s">
        <v>277</v>
      </c>
      <c r="C131" s="14" t="s">
        <v>79</v>
      </c>
      <c r="D131" s="15" t="s">
        <v>70</v>
      </c>
      <c r="E131" s="15" t="s">
        <v>364</v>
      </c>
      <c r="F131" s="16">
        <v>499</v>
      </c>
      <c r="G131" s="17">
        <v>39950.239999999998</v>
      </c>
      <c r="H131" s="19">
        <v>6053.8</v>
      </c>
      <c r="I131" s="17">
        <v>19935169.760000002</v>
      </c>
      <c r="J131" s="15" t="s">
        <v>17</v>
      </c>
      <c r="K131" s="15" t="s">
        <v>18</v>
      </c>
      <c r="L131" s="9">
        <f>YEAR(E131)</f>
        <v>2023</v>
      </c>
      <c r="M131">
        <f t="shared" si="1"/>
        <v>3020846.2</v>
      </c>
    </row>
    <row r="132" spans="1:13" x14ac:dyDescent="0.15">
      <c r="A132" s="12"/>
      <c r="B132" s="13" t="s">
        <v>277</v>
      </c>
      <c r="C132" s="14" t="s">
        <v>43</v>
      </c>
      <c r="D132" s="15" t="s">
        <v>107</v>
      </c>
      <c r="E132" s="15" t="s">
        <v>371</v>
      </c>
      <c r="F132" s="16">
        <v>513</v>
      </c>
      <c r="G132" s="17">
        <v>39875.46</v>
      </c>
      <c r="H132" s="17">
        <v>4915.93</v>
      </c>
      <c r="I132" s="17">
        <v>20456110.98</v>
      </c>
      <c r="J132" s="15" t="s">
        <v>22</v>
      </c>
      <c r="K132" s="15" t="s">
        <v>18</v>
      </c>
      <c r="L132" s="9">
        <f>YEAR(E132)</f>
        <v>2023</v>
      </c>
      <c r="M132">
        <f t="shared" ref="M132:M141" si="2">H132*F132</f>
        <v>2521872.0900000003</v>
      </c>
    </row>
    <row r="133" spans="1:13" x14ac:dyDescent="0.15">
      <c r="A133" s="12"/>
      <c r="B133" s="13" t="s">
        <v>277</v>
      </c>
      <c r="C133" s="14" t="s">
        <v>14</v>
      </c>
      <c r="D133" s="15" t="s">
        <v>107</v>
      </c>
      <c r="E133" s="15" t="s">
        <v>374</v>
      </c>
      <c r="F133" s="16">
        <v>858</v>
      </c>
      <c r="G133" s="17">
        <v>41834.28</v>
      </c>
      <c r="H133" s="17">
        <v>2100.66</v>
      </c>
      <c r="I133" s="17">
        <v>35893812.240000002</v>
      </c>
      <c r="J133" s="15" t="s">
        <v>17</v>
      </c>
      <c r="K133" s="15" t="s">
        <v>18</v>
      </c>
      <c r="L133" s="9">
        <f>YEAR(E133)</f>
        <v>2023</v>
      </c>
      <c r="M133">
        <f t="shared" si="2"/>
        <v>1802366.2799999998</v>
      </c>
    </row>
    <row r="134" spans="1:13" x14ac:dyDescent="0.15">
      <c r="A134" s="12"/>
      <c r="B134" s="13" t="s">
        <v>277</v>
      </c>
      <c r="C134" s="14" t="s">
        <v>79</v>
      </c>
      <c r="D134" s="15" t="s">
        <v>89</v>
      </c>
      <c r="E134" s="15" t="s">
        <v>375</v>
      </c>
      <c r="F134" s="16">
        <v>906</v>
      </c>
      <c r="G134" s="17">
        <v>32575.54</v>
      </c>
      <c r="H134" s="17">
        <v>9617.59</v>
      </c>
      <c r="I134" s="17">
        <v>29513439.239999998</v>
      </c>
      <c r="J134" s="15" t="s">
        <v>17</v>
      </c>
      <c r="K134" s="15" t="s">
        <v>18</v>
      </c>
      <c r="L134" s="9">
        <f>YEAR(E134)</f>
        <v>2023</v>
      </c>
      <c r="M134">
        <f t="shared" si="2"/>
        <v>8713536.540000001</v>
      </c>
    </row>
    <row r="135" spans="1:13" x14ac:dyDescent="0.15">
      <c r="A135" s="12"/>
      <c r="B135" s="13" t="s">
        <v>277</v>
      </c>
      <c r="C135" s="14" t="s">
        <v>19</v>
      </c>
      <c r="D135" s="15" t="s">
        <v>89</v>
      </c>
      <c r="E135" s="15" t="s">
        <v>378</v>
      </c>
      <c r="F135" s="16">
        <v>881</v>
      </c>
      <c r="G135" s="19">
        <v>41023.599999999999</v>
      </c>
      <c r="H135" s="19">
        <v>9427.2999999999993</v>
      </c>
      <c r="I135" s="19">
        <v>36141791.600000001</v>
      </c>
      <c r="J135" s="15" t="s">
        <v>22</v>
      </c>
      <c r="K135" s="15" t="s">
        <v>18</v>
      </c>
      <c r="L135" s="9">
        <f>YEAR(E135)</f>
        <v>2023</v>
      </c>
      <c r="M135">
        <f t="shared" si="2"/>
        <v>8305451.2999999998</v>
      </c>
    </row>
    <row r="136" spans="1:13" x14ac:dyDescent="0.15">
      <c r="A136" s="12"/>
      <c r="B136" s="13" t="s">
        <v>277</v>
      </c>
      <c r="C136" s="14" t="s">
        <v>43</v>
      </c>
      <c r="D136" s="15" t="s">
        <v>89</v>
      </c>
      <c r="E136" s="15" t="s">
        <v>385</v>
      </c>
      <c r="F136" s="16">
        <v>989</v>
      </c>
      <c r="G136" s="17">
        <v>31752.95</v>
      </c>
      <c r="H136" s="19">
        <v>7600.6</v>
      </c>
      <c r="I136" s="17">
        <v>31403667.550000001</v>
      </c>
      <c r="J136" s="15" t="s">
        <v>28</v>
      </c>
      <c r="K136" s="15" t="s">
        <v>18</v>
      </c>
      <c r="L136" s="9">
        <f>YEAR(E136)</f>
        <v>2023</v>
      </c>
      <c r="M136">
        <f t="shared" si="2"/>
        <v>7516993.4000000004</v>
      </c>
    </row>
    <row r="137" spans="1:13" x14ac:dyDescent="0.15">
      <c r="A137" s="12"/>
      <c r="B137" s="13" t="s">
        <v>277</v>
      </c>
      <c r="C137" s="14" t="s">
        <v>57</v>
      </c>
      <c r="D137" s="15" t="s">
        <v>153</v>
      </c>
      <c r="E137" s="15" t="s">
        <v>386</v>
      </c>
      <c r="F137" s="16">
        <v>410</v>
      </c>
      <c r="G137" s="17">
        <v>33864.480000000003</v>
      </c>
      <c r="H137" s="17">
        <v>7060.48</v>
      </c>
      <c r="I137" s="19">
        <v>13884436.800000001</v>
      </c>
      <c r="J137" s="15" t="s">
        <v>17</v>
      </c>
      <c r="K137" s="15" t="s">
        <v>18</v>
      </c>
      <c r="L137" s="9">
        <f>YEAR(E137)</f>
        <v>2023</v>
      </c>
      <c r="M137">
        <f t="shared" si="2"/>
        <v>2894796.7999999998</v>
      </c>
    </row>
    <row r="138" spans="1:13" ht="14" thickBot="1" x14ac:dyDescent="0.2">
      <c r="A138" s="20"/>
      <c r="B138" s="21" t="s">
        <v>277</v>
      </c>
      <c r="C138" s="22" t="s">
        <v>79</v>
      </c>
      <c r="D138" s="23" t="s">
        <v>153</v>
      </c>
      <c r="E138" s="23" t="s">
        <v>387</v>
      </c>
      <c r="F138" s="24">
        <v>372</v>
      </c>
      <c r="G138" s="25">
        <v>43946.38</v>
      </c>
      <c r="H138" s="25">
        <v>6638.27</v>
      </c>
      <c r="I138" s="25">
        <v>16348053.359999999</v>
      </c>
      <c r="J138" s="23" t="s">
        <v>17</v>
      </c>
      <c r="K138" s="23" t="s">
        <v>18</v>
      </c>
      <c r="L138" s="9">
        <f>YEAR(E138)</f>
        <v>2023</v>
      </c>
      <c r="M138">
        <f t="shared" si="2"/>
        <v>2469436.44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5B58C8-5D06-A24B-9B1A-5A060045EAC9}">
  <dimension ref="A2:T103"/>
  <sheetViews>
    <sheetView zoomScale="101" workbookViewId="0">
      <selection activeCell="P34" sqref="P34"/>
    </sheetView>
  </sheetViews>
  <sheetFormatPr baseColWidth="10" defaultRowHeight="13" x14ac:dyDescent="0.15"/>
  <cols>
    <col min="9" max="9" width="11.6640625" bestFit="1" customWidth="1"/>
    <col min="16" max="16" width="12.5" bestFit="1" customWidth="1"/>
    <col min="17" max="17" width="8.83203125" bestFit="1" customWidth="1"/>
    <col min="18" max="18" width="9.6640625" bestFit="1" customWidth="1"/>
    <col min="19" max="19" width="16.6640625" bestFit="1" customWidth="1"/>
    <col min="20" max="20" width="15.1640625" customWidth="1"/>
  </cols>
  <sheetData>
    <row r="2" spans="1:20" ht="14" thickBot="1" x14ac:dyDescent="0.2">
      <c r="A2" s="51" t="s">
        <v>389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58" t="s">
        <v>12</v>
      </c>
      <c r="M2" s="64" t="s">
        <v>794</v>
      </c>
    </row>
    <row r="3" spans="1:20" x14ac:dyDescent="0.15">
      <c r="A3" s="29"/>
      <c r="B3" s="6" t="s">
        <v>389</v>
      </c>
      <c r="C3" s="7" t="s">
        <v>31</v>
      </c>
      <c r="D3" s="8" t="s">
        <v>107</v>
      </c>
      <c r="E3" s="8" t="s">
        <v>391</v>
      </c>
      <c r="F3" s="9">
        <v>866</v>
      </c>
      <c r="G3" s="10">
        <v>37209.43</v>
      </c>
      <c r="H3" s="10">
        <v>8028.81</v>
      </c>
      <c r="I3" s="10">
        <v>32223366.379999999</v>
      </c>
      <c r="J3" s="8" t="s">
        <v>17</v>
      </c>
      <c r="K3" s="8" t="s">
        <v>18</v>
      </c>
      <c r="L3" s="9">
        <f>YEAR(E3)</f>
        <v>2020</v>
      </c>
      <c r="M3">
        <f>H3*F3</f>
        <v>6952949.46</v>
      </c>
      <c r="O3" s="73"/>
      <c r="P3" s="73" t="s">
        <v>12</v>
      </c>
      <c r="Q3" s="73" t="s">
        <v>792</v>
      </c>
      <c r="R3" s="73" t="s">
        <v>793</v>
      </c>
    </row>
    <row r="4" spans="1:20" x14ac:dyDescent="0.15">
      <c r="A4" s="5"/>
      <c r="B4" s="13" t="s">
        <v>389</v>
      </c>
      <c r="C4" s="14" t="s">
        <v>31</v>
      </c>
      <c r="D4" s="15" t="s">
        <v>107</v>
      </c>
      <c r="E4" s="15" t="s">
        <v>392</v>
      </c>
      <c r="F4" s="16">
        <v>686</v>
      </c>
      <c r="G4" s="17">
        <v>20272.96</v>
      </c>
      <c r="H4" s="17">
        <v>8833.6299999999992</v>
      </c>
      <c r="I4" s="17">
        <v>13907250.560000001</v>
      </c>
      <c r="J4" s="15" t="s">
        <v>17</v>
      </c>
      <c r="K4" s="15" t="s">
        <v>18</v>
      </c>
      <c r="L4" s="9">
        <f>YEAR(E4)</f>
        <v>2020</v>
      </c>
      <c r="M4">
        <f t="shared" ref="M4:M67" si="0">H4*F4</f>
        <v>6059870.1799999997</v>
      </c>
      <c r="O4" s="74"/>
      <c r="P4" s="74">
        <v>2020</v>
      </c>
      <c r="Q4" s="74">
        <f>ROUND(SUMIF(L3:L103,P4,F3:F103),0)</f>
        <v>12762</v>
      </c>
      <c r="R4" s="74">
        <f>ROUND(SUMIF(L3:L103,P4, M3:M103),0)</f>
        <v>87540581</v>
      </c>
    </row>
    <row r="5" spans="1:20" x14ac:dyDescent="0.15">
      <c r="A5" s="12"/>
      <c r="B5" s="13" t="s">
        <v>389</v>
      </c>
      <c r="C5" s="14" t="s">
        <v>57</v>
      </c>
      <c r="D5" s="15" t="s">
        <v>107</v>
      </c>
      <c r="E5" s="15" t="s">
        <v>217</v>
      </c>
      <c r="F5" s="16">
        <v>419</v>
      </c>
      <c r="G5" s="17">
        <v>11329.85</v>
      </c>
      <c r="H5" s="17">
        <v>3545.89</v>
      </c>
      <c r="I5" s="17">
        <v>4747207.1500000004</v>
      </c>
      <c r="J5" s="15" t="s">
        <v>17</v>
      </c>
      <c r="K5" s="15" t="s">
        <v>18</v>
      </c>
      <c r="L5" s="9">
        <f>YEAR(E5)</f>
        <v>2020</v>
      </c>
      <c r="M5">
        <f t="shared" si="0"/>
        <v>1485727.91</v>
      </c>
      <c r="O5" s="74"/>
      <c r="P5" s="74">
        <v>2021</v>
      </c>
      <c r="Q5" s="74">
        <f>ROUND(SUMIF(L3:L103,P5,F3:F103),0)</f>
        <v>15893</v>
      </c>
      <c r="R5" s="74">
        <f>ROUND(SUMIF(L3:L103,P5, M3:M103),0)</f>
        <v>96873741</v>
      </c>
    </row>
    <row r="6" spans="1:20" x14ac:dyDescent="0.15">
      <c r="A6" s="12"/>
      <c r="B6" s="13" t="s">
        <v>389</v>
      </c>
      <c r="C6" s="14" t="s">
        <v>31</v>
      </c>
      <c r="D6" s="15" t="s">
        <v>15</v>
      </c>
      <c r="E6" s="15" t="s">
        <v>399</v>
      </c>
      <c r="F6" s="16">
        <v>372</v>
      </c>
      <c r="G6" s="17">
        <v>20678.919999999998</v>
      </c>
      <c r="H6" s="17">
        <v>6836.12</v>
      </c>
      <c r="I6" s="17">
        <v>7692558.2400000002</v>
      </c>
      <c r="J6" s="15" t="s">
        <v>28</v>
      </c>
      <c r="K6" s="15" t="s">
        <v>18</v>
      </c>
      <c r="L6" s="9">
        <f>YEAR(E6)</f>
        <v>2020</v>
      </c>
      <c r="M6">
        <f t="shared" si="0"/>
        <v>2543036.64</v>
      </c>
      <c r="O6" s="74"/>
      <c r="P6" s="74">
        <v>2022</v>
      </c>
      <c r="Q6" s="74">
        <f>ROUND(SUMIF(L3:L103,P6,F3:F103),0)</f>
        <v>11703</v>
      </c>
      <c r="R6" s="74">
        <f>ROUND(SUMIF(L3:L103,P6, M3:M103),0)</f>
        <v>77041971</v>
      </c>
    </row>
    <row r="7" spans="1:20" x14ac:dyDescent="0.15">
      <c r="A7" s="12"/>
      <c r="B7" s="13" t="s">
        <v>389</v>
      </c>
      <c r="C7" s="14" t="s">
        <v>25</v>
      </c>
      <c r="D7" s="15" t="s">
        <v>15</v>
      </c>
      <c r="E7" s="15" t="s">
        <v>401</v>
      </c>
      <c r="F7" s="16">
        <v>525</v>
      </c>
      <c r="G7" s="17">
        <v>33769.46</v>
      </c>
      <c r="H7" s="19">
        <v>4015.3</v>
      </c>
      <c r="I7" s="19">
        <v>17728966.5</v>
      </c>
      <c r="J7" s="15" t="s">
        <v>17</v>
      </c>
      <c r="K7" s="15" t="s">
        <v>18</v>
      </c>
      <c r="L7" s="9">
        <f>YEAR(E7)</f>
        <v>2020</v>
      </c>
      <c r="M7">
        <f t="shared" si="0"/>
        <v>2108032.5</v>
      </c>
      <c r="O7" s="74"/>
      <c r="P7" s="74">
        <v>2023</v>
      </c>
      <c r="Q7" s="74">
        <f>ROUND(SUMIF(L3:L103,P7,F3:F103),0)</f>
        <v>13735</v>
      </c>
      <c r="R7" s="74">
        <f>ROUND(SUMIF(L3:L103,P7, M3:M103),0)</f>
        <v>75166937</v>
      </c>
    </row>
    <row r="8" spans="1:20" ht="14" x14ac:dyDescent="0.15">
      <c r="A8" s="12"/>
      <c r="B8" s="13" t="s">
        <v>389</v>
      </c>
      <c r="C8" s="14" t="s">
        <v>38</v>
      </c>
      <c r="D8" s="15" t="s">
        <v>15</v>
      </c>
      <c r="E8" s="15" t="s">
        <v>402</v>
      </c>
      <c r="F8" s="16">
        <v>115</v>
      </c>
      <c r="G8" s="17">
        <v>25006.63</v>
      </c>
      <c r="H8" s="17">
        <v>5301.73</v>
      </c>
      <c r="I8" s="17">
        <v>2875762.45</v>
      </c>
      <c r="J8" s="15" t="s">
        <v>28</v>
      </c>
      <c r="K8" s="15" t="s">
        <v>18</v>
      </c>
      <c r="L8" s="9">
        <f>YEAR(E8)</f>
        <v>2020</v>
      </c>
      <c r="M8">
        <f t="shared" si="0"/>
        <v>609698.94999999995</v>
      </c>
      <c r="O8" s="70"/>
      <c r="P8" s="70" t="s">
        <v>795</v>
      </c>
      <c r="Q8" s="70">
        <f>SUM(Q4:Q7)</f>
        <v>54093</v>
      </c>
      <c r="R8" s="70">
        <f>SUM(R4:R7)</f>
        <v>336623230</v>
      </c>
    </row>
    <row r="9" spans="1:20" x14ac:dyDescent="0.15">
      <c r="A9" s="12"/>
      <c r="B9" s="13" t="s">
        <v>389</v>
      </c>
      <c r="C9" s="14" t="s">
        <v>43</v>
      </c>
      <c r="D9" s="15" t="s">
        <v>26</v>
      </c>
      <c r="E9" s="15" t="s">
        <v>402</v>
      </c>
      <c r="F9" s="16">
        <v>647</v>
      </c>
      <c r="G9" s="17">
        <v>40768.559999999998</v>
      </c>
      <c r="H9" s="17">
        <v>8852.0499999999993</v>
      </c>
      <c r="I9" s="17">
        <v>26377258.32</v>
      </c>
      <c r="J9" s="15" t="s">
        <v>22</v>
      </c>
      <c r="K9" s="15" t="s">
        <v>18</v>
      </c>
      <c r="L9" s="9">
        <f>YEAR(E9)</f>
        <v>2020</v>
      </c>
      <c r="M9">
        <f t="shared" si="0"/>
        <v>5727276.3499999996</v>
      </c>
    </row>
    <row r="10" spans="1:20" x14ac:dyDescent="0.15">
      <c r="A10" s="12"/>
      <c r="B10" s="13" t="s">
        <v>389</v>
      </c>
      <c r="C10" s="14" t="s">
        <v>23</v>
      </c>
      <c r="D10" s="15" t="s">
        <v>15</v>
      </c>
      <c r="E10" s="15" t="s">
        <v>212</v>
      </c>
      <c r="F10" s="16">
        <v>443</v>
      </c>
      <c r="G10" s="17">
        <v>27640.45</v>
      </c>
      <c r="H10" s="17">
        <v>7433.24</v>
      </c>
      <c r="I10" s="17">
        <v>12244719.35</v>
      </c>
      <c r="J10" s="15" t="s">
        <v>30</v>
      </c>
      <c r="K10" s="15" t="s">
        <v>18</v>
      </c>
      <c r="L10" s="9">
        <f>YEAR(E10)</f>
        <v>2020</v>
      </c>
      <c r="M10">
        <f t="shared" si="0"/>
        <v>3292925.32</v>
      </c>
    </row>
    <row r="11" spans="1:20" x14ac:dyDescent="0.15">
      <c r="A11" s="12"/>
      <c r="B11" s="13" t="s">
        <v>389</v>
      </c>
      <c r="C11" s="14" t="s">
        <v>19</v>
      </c>
      <c r="D11" s="15" t="s">
        <v>139</v>
      </c>
      <c r="E11" s="15" t="s">
        <v>405</v>
      </c>
      <c r="F11" s="16">
        <v>472</v>
      </c>
      <c r="G11" s="17">
        <v>15687.36</v>
      </c>
      <c r="H11" s="19">
        <v>2000.3</v>
      </c>
      <c r="I11" s="17">
        <v>7404433.9199999999</v>
      </c>
      <c r="J11" s="15" t="s">
        <v>30</v>
      </c>
      <c r="K11" s="15" t="s">
        <v>18</v>
      </c>
      <c r="L11" s="9">
        <f>YEAR(E11)</f>
        <v>2020</v>
      </c>
      <c r="M11">
        <f t="shared" si="0"/>
        <v>944141.6</v>
      </c>
    </row>
    <row r="12" spans="1:20" ht="14" customHeight="1" x14ac:dyDescent="0.15">
      <c r="A12" s="12"/>
      <c r="B12" s="13" t="s">
        <v>389</v>
      </c>
      <c r="C12" s="14" t="s">
        <v>19</v>
      </c>
      <c r="D12" s="15" t="s">
        <v>70</v>
      </c>
      <c r="E12" s="15" t="s">
        <v>405</v>
      </c>
      <c r="F12" s="16">
        <v>967</v>
      </c>
      <c r="G12" s="17">
        <v>22317.21</v>
      </c>
      <c r="H12" s="17">
        <v>8745.61</v>
      </c>
      <c r="I12" s="17">
        <v>21580742.07</v>
      </c>
      <c r="J12" s="15" t="s">
        <v>30</v>
      </c>
      <c r="K12" s="15" t="s">
        <v>18</v>
      </c>
      <c r="L12" s="9">
        <f>YEAR(E12)</f>
        <v>2020</v>
      </c>
      <c r="M12">
        <f t="shared" si="0"/>
        <v>8457004.870000001</v>
      </c>
      <c r="P12" s="36" t="s">
        <v>787</v>
      </c>
      <c r="Q12" s="32" t="s">
        <v>785</v>
      </c>
      <c r="R12" s="37" t="s">
        <v>791</v>
      </c>
      <c r="S12" s="37" t="s">
        <v>790</v>
      </c>
      <c r="T12" s="59" t="s">
        <v>798</v>
      </c>
    </row>
    <row r="13" spans="1:20" ht="14" x14ac:dyDescent="0.15">
      <c r="A13" s="12"/>
      <c r="B13" s="13" t="s">
        <v>389</v>
      </c>
      <c r="C13" s="14" t="s">
        <v>25</v>
      </c>
      <c r="D13" s="15" t="s">
        <v>139</v>
      </c>
      <c r="E13" s="15" t="s">
        <v>407</v>
      </c>
      <c r="F13" s="16">
        <v>568</v>
      </c>
      <c r="G13" s="17">
        <v>39056.870000000003</v>
      </c>
      <c r="H13" s="17">
        <v>7655.01</v>
      </c>
      <c r="I13" s="17">
        <v>22184302.16</v>
      </c>
      <c r="J13" s="15" t="s">
        <v>17</v>
      </c>
      <c r="K13" s="15" t="s">
        <v>18</v>
      </c>
      <c r="L13" s="9">
        <f>YEAR(E13)</f>
        <v>2020</v>
      </c>
      <c r="M13">
        <f t="shared" si="0"/>
        <v>4348045.68</v>
      </c>
      <c r="P13" s="80" t="s">
        <v>89</v>
      </c>
      <c r="Q13" s="81">
        <v>5764</v>
      </c>
      <c r="R13" s="82">
        <v>328698.70999999996</v>
      </c>
      <c r="S13" s="82">
        <v>133407654.68000002</v>
      </c>
      <c r="T13" s="83">
        <v>33877262.840000004</v>
      </c>
    </row>
    <row r="14" spans="1:20" x14ac:dyDescent="0.15">
      <c r="A14" s="12"/>
      <c r="B14" s="13" t="s">
        <v>389</v>
      </c>
      <c r="C14" s="14" t="s">
        <v>43</v>
      </c>
      <c r="D14" s="15" t="s">
        <v>139</v>
      </c>
      <c r="E14" s="15" t="s">
        <v>172</v>
      </c>
      <c r="F14" s="16">
        <v>371</v>
      </c>
      <c r="G14" s="17">
        <v>15691.82</v>
      </c>
      <c r="H14" s="17">
        <v>6331.62</v>
      </c>
      <c r="I14" s="17">
        <v>5821665.2199999997</v>
      </c>
      <c r="J14" s="15" t="s">
        <v>17</v>
      </c>
      <c r="K14" s="15" t="s">
        <v>18</v>
      </c>
      <c r="L14" s="9">
        <f>YEAR(E14)</f>
        <v>2020</v>
      </c>
      <c r="M14">
        <f t="shared" si="0"/>
        <v>2349031.02</v>
      </c>
      <c r="P14" s="63">
        <v>2020</v>
      </c>
      <c r="Q14" s="43">
        <v>1805</v>
      </c>
      <c r="R14" s="44">
        <v>120501.37</v>
      </c>
      <c r="S14" s="44">
        <v>42592601.630000003</v>
      </c>
      <c r="T14" s="61">
        <v>11526668.470000001</v>
      </c>
    </row>
    <row r="15" spans="1:20" x14ac:dyDescent="0.15">
      <c r="A15" s="12"/>
      <c r="B15" s="13" t="s">
        <v>389</v>
      </c>
      <c r="C15" s="14" t="s">
        <v>31</v>
      </c>
      <c r="D15" s="15" t="s">
        <v>139</v>
      </c>
      <c r="E15" s="15" t="s">
        <v>222</v>
      </c>
      <c r="F15" s="16">
        <v>467</v>
      </c>
      <c r="G15" s="17">
        <v>17621.38</v>
      </c>
      <c r="H15" s="17">
        <v>4867.75</v>
      </c>
      <c r="I15" s="17">
        <v>8229184.46</v>
      </c>
      <c r="J15" s="15" t="s">
        <v>17</v>
      </c>
      <c r="K15" s="15" t="s">
        <v>18</v>
      </c>
      <c r="L15" s="9">
        <f>YEAR(E15)</f>
        <v>2020</v>
      </c>
      <c r="M15">
        <f t="shared" si="0"/>
        <v>2273239.25</v>
      </c>
      <c r="P15" s="63">
        <v>2021</v>
      </c>
      <c r="Q15" s="43">
        <v>2254</v>
      </c>
      <c r="R15" s="44">
        <v>37963.479999999996</v>
      </c>
      <c r="S15" s="44">
        <v>29800182.170000002</v>
      </c>
      <c r="T15" s="61">
        <v>10759669.309999999</v>
      </c>
    </row>
    <row r="16" spans="1:20" x14ac:dyDescent="0.15">
      <c r="A16" s="12"/>
      <c r="B16" s="13" t="s">
        <v>389</v>
      </c>
      <c r="C16" s="14" t="s">
        <v>38</v>
      </c>
      <c r="D16" s="15" t="s">
        <v>89</v>
      </c>
      <c r="E16" s="15" t="s">
        <v>423</v>
      </c>
      <c r="F16" s="16">
        <v>295</v>
      </c>
      <c r="G16" s="17">
        <v>37960.85</v>
      </c>
      <c r="H16" s="17">
        <v>4804.0200000000004</v>
      </c>
      <c r="I16" s="17">
        <v>11198450.75</v>
      </c>
      <c r="J16" s="15" t="s">
        <v>28</v>
      </c>
      <c r="K16" s="15" t="s">
        <v>18</v>
      </c>
      <c r="L16" s="9">
        <f>YEAR(E16)</f>
        <v>2020</v>
      </c>
      <c r="M16">
        <f t="shared" si="0"/>
        <v>1417185.9000000001</v>
      </c>
      <c r="P16" s="63">
        <v>2022</v>
      </c>
      <c r="Q16" s="43">
        <v>1360</v>
      </c>
      <c r="R16" s="44">
        <v>129701.94</v>
      </c>
      <c r="S16" s="44">
        <v>47031358.480000004</v>
      </c>
      <c r="T16" s="61">
        <v>8664410.8100000005</v>
      </c>
    </row>
    <row r="17" spans="1:20" x14ac:dyDescent="0.15">
      <c r="A17" s="12"/>
      <c r="B17" s="13" t="s">
        <v>389</v>
      </c>
      <c r="C17" s="14" t="s">
        <v>79</v>
      </c>
      <c r="D17" s="15" t="s">
        <v>89</v>
      </c>
      <c r="E17" s="15" t="s">
        <v>424</v>
      </c>
      <c r="F17" s="16">
        <v>925</v>
      </c>
      <c r="G17" s="17">
        <v>13785.14</v>
      </c>
      <c r="H17" s="17">
        <v>8374.84</v>
      </c>
      <c r="I17" s="19">
        <v>12751254.5</v>
      </c>
      <c r="J17" s="15" t="s">
        <v>17</v>
      </c>
      <c r="K17" s="15" t="s">
        <v>18</v>
      </c>
      <c r="L17" s="9">
        <f>YEAR(E17)</f>
        <v>2020</v>
      </c>
      <c r="M17">
        <f t="shared" si="0"/>
        <v>7746727</v>
      </c>
      <c r="P17" s="63">
        <v>2023</v>
      </c>
      <c r="Q17" s="43">
        <v>345</v>
      </c>
      <c r="R17" s="44">
        <v>40531.919999999998</v>
      </c>
      <c r="S17" s="44">
        <v>13983512.4</v>
      </c>
      <c r="T17" s="61">
        <v>2926514.25</v>
      </c>
    </row>
    <row r="18" spans="1:20" ht="14" x14ac:dyDescent="0.15">
      <c r="A18" s="12"/>
      <c r="B18" s="13" t="s">
        <v>389</v>
      </c>
      <c r="C18" s="14" t="s">
        <v>35</v>
      </c>
      <c r="D18" s="15" t="s">
        <v>89</v>
      </c>
      <c r="E18" s="15" t="s">
        <v>426</v>
      </c>
      <c r="F18" s="16">
        <v>224</v>
      </c>
      <c r="G18" s="19">
        <v>45093.4</v>
      </c>
      <c r="H18" s="19">
        <v>7090.2</v>
      </c>
      <c r="I18" s="19">
        <v>10100921.6</v>
      </c>
      <c r="J18" s="15" t="s">
        <v>17</v>
      </c>
      <c r="K18" s="15" t="s">
        <v>18</v>
      </c>
      <c r="L18" s="9">
        <f>YEAR(E18)</f>
        <v>2020</v>
      </c>
      <c r="M18">
        <f t="shared" si="0"/>
        <v>1588204.8</v>
      </c>
      <c r="P18" s="76" t="s">
        <v>70</v>
      </c>
      <c r="Q18" s="77">
        <v>4596</v>
      </c>
      <c r="R18" s="78">
        <v>222045.82</v>
      </c>
      <c r="S18" s="78">
        <v>116624891.31999999</v>
      </c>
      <c r="T18" s="79">
        <v>32737328.879999999</v>
      </c>
    </row>
    <row r="19" spans="1:20" x14ac:dyDescent="0.15">
      <c r="A19" s="12"/>
      <c r="B19" s="13" t="s">
        <v>389</v>
      </c>
      <c r="C19" s="14" t="s">
        <v>31</v>
      </c>
      <c r="D19" s="15" t="s">
        <v>153</v>
      </c>
      <c r="E19" s="15" t="s">
        <v>426</v>
      </c>
      <c r="F19" s="16">
        <v>303</v>
      </c>
      <c r="G19" s="17">
        <v>16552.77</v>
      </c>
      <c r="H19" s="19">
        <v>2426.6999999999998</v>
      </c>
      <c r="I19" s="17">
        <v>5015489.3099999996</v>
      </c>
      <c r="J19" s="15" t="s">
        <v>17</v>
      </c>
      <c r="K19" s="15" t="s">
        <v>18</v>
      </c>
      <c r="L19" s="9">
        <f>YEAR(E19)</f>
        <v>2020</v>
      </c>
      <c r="M19">
        <f t="shared" si="0"/>
        <v>735290.1</v>
      </c>
      <c r="P19" s="63">
        <v>2020</v>
      </c>
      <c r="Q19" s="43">
        <v>1699</v>
      </c>
      <c r="R19" s="44">
        <v>33485.49</v>
      </c>
      <c r="S19" s="44">
        <v>29755923.030000001</v>
      </c>
      <c r="T19" s="61">
        <v>13428514.630000001</v>
      </c>
    </row>
    <row r="20" spans="1:20" x14ac:dyDescent="0.15">
      <c r="A20" s="12"/>
      <c r="B20" s="13" t="s">
        <v>389</v>
      </c>
      <c r="C20" s="14" t="s">
        <v>25</v>
      </c>
      <c r="D20" s="15" t="s">
        <v>89</v>
      </c>
      <c r="E20" s="15" t="s">
        <v>133</v>
      </c>
      <c r="F20" s="16">
        <v>361</v>
      </c>
      <c r="G20" s="17">
        <v>23661.98</v>
      </c>
      <c r="H20" s="17">
        <v>2145.5700000000002</v>
      </c>
      <c r="I20" s="17">
        <v>8541974.7799999993</v>
      </c>
      <c r="J20" s="15" t="s">
        <v>17</v>
      </c>
      <c r="K20" s="15" t="s">
        <v>18</v>
      </c>
      <c r="L20" s="9">
        <f>YEAR(E20)</f>
        <v>2020</v>
      </c>
      <c r="M20">
        <f t="shared" si="0"/>
        <v>774550.77</v>
      </c>
      <c r="P20" s="63">
        <v>2022</v>
      </c>
      <c r="Q20" s="43">
        <v>2198</v>
      </c>
      <c r="R20" s="44">
        <v>162494.6</v>
      </c>
      <c r="S20" s="44">
        <v>68649023.019999996</v>
      </c>
      <c r="T20" s="61">
        <v>13802364.859999998</v>
      </c>
    </row>
    <row r="21" spans="1:20" x14ac:dyDescent="0.15">
      <c r="A21" s="12"/>
      <c r="B21" s="13" t="s">
        <v>389</v>
      </c>
      <c r="C21" s="14" t="s">
        <v>38</v>
      </c>
      <c r="D21" s="15" t="s">
        <v>26</v>
      </c>
      <c r="E21" s="15" t="s">
        <v>432</v>
      </c>
      <c r="F21" s="16">
        <v>525</v>
      </c>
      <c r="G21" s="17">
        <v>45333.56</v>
      </c>
      <c r="H21" s="17">
        <v>8558.6200000000008</v>
      </c>
      <c r="I21" s="16">
        <v>23800119</v>
      </c>
      <c r="J21" s="15" t="s">
        <v>17</v>
      </c>
      <c r="K21" s="15" t="s">
        <v>18</v>
      </c>
      <c r="L21" s="9">
        <f>YEAR(E21)</f>
        <v>2020</v>
      </c>
      <c r="M21">
        <f t="shared" si="0"/>
        <v>4493275.5</v>
      </c>
      <c r="P21" s="63">
        <v>2023</v>
      </c>
      <c r="Q21" s="43">
        <v>699</v>
      </c>
      <c r="R21" s="44">
        <v>26065.73</v>
      </c>
      <c r="S21" s="44">
        <v>18219945.27</v>
      </c>
      <c r="T21" s="61">
        <v>5506449.3899999997</v>
      </c>
    </row>
    <row r="22" spans="1:20" ht="14" x14ac:dyDescent="0.15">
      <c r="A22" s="12"/>
      <c r="B22" s="13" t="s">
        <v>389</v>
      </c>
      <c r="C22" s="14" t="s">
        <v>79</v>
      </c>
      <c r="D22" s="15" t="s">
        <v>153</v>
      </c>
      <c r="E22" s="15" t="s">
        <v>440</v>
      </c>
      <c r="F22" s="16">
        <v>459</v>
      </c>
      <c r="G22" s="17">
        <v>30252.46</v>
      </c>
      <c r="H22" s="17">
        <v>2958.05</v>
      </c>
      <c r="I22" s="17">
        <v>13885879.140000001</v>
      </c>
      <c r="J22" s="15" t="s">
        <v>22</v>
      </c>
      <c r="K22" s="15" t="s">
        <v>18</v>
      </c>
      <c r="L22" s="9">
        <f>YEAR(E22)</f>
        <v>2020</v>
      </c>
      <c r="M22">
        <f t="shared" si="0"/>
        <v>1357744.9500000002</v>
      </c>
      <c r="P22" s="80" t="s">
        <v>26</v>
      </c>
      <c r="Q22" s="81">
        <v>6287</v>
      </c>
      <c r="R22" s="82">
        <v>354175.27999999997</v>
      </c>
      <c r="S22" s="82">
        <v>228210299.72</v>
      </c>
      <c r="T22" s="83">
        <v>33455904.48</v>
      </c>
    </row>
    <row r="23" spans="1:20" ht="14" x14ac:dyDescent="0.15">
      <c r="A23" s="12"/>
      <c r="B23" s="13" t="s">
        <v>389</v>
      </c>
      <c r="C23" s="14" t="s">
        <v>14</v>
      </c>
      <c r="D23" s="15" t="s">
        <v>153</v>
      </c>
      <c r="E23" s="15" t="s">
        <v>441</v>
      </c>
      <c r="F23" s="16">
        <v>175</v>
      </c>
      <c r="G23" s="17">
        <v>15018.73</v>
      </c>
      <c r="H23" s="17">
        <v>9030.94</v>
      </c>
      <c r="I23" s="17">
        <v>2628277.75</v>
      </c>
      <c r="J23" s="15" t="s">
        <v>17</v>
      </c>
      <c r="K23" s="15" t="s">
        <v>18</v>
      </c>
      <c r="L23" s="9">
        <f>YEAR(E23)</f>
        <v>2020</v>
      </c>
      <c r="M23">
        <f t="shared" si="0"/>
        <v>1580414.5</v>
      </c>
      <c r="P23" s="39" t="s">
        <v>68</v>
      </c>
      <c r="Q23" s="40">
        <v>2315</v>
      </c>
      <c r="R23" s="41">
        <v>121508.09</v>
      </c>
      <c r="S23" s="41">
        <v>69751171.24000001</v>
      </c>
      <c r="T23" s="60">
        <v>14674140.91</v>
      </c>
    </row>
    <row r="24" spans="1:20" x14ac:dyDescent="0.15">
      <c r="A24" s="12"/>
      <c r="B24" s="13" t="s">
        <v>389</v>
      </c>
      <c r="C24" s="14" t="s">
        <v>43</v>
      </c>
      <c r="D24" s="15" t="s">
        <v>153</v>
      </c>
      <c r="E24" s="15" t="s">
        <v>444</v>
      </c>
      <c r="F24" s="16">
        <v>499</v>
      </c>
      <c r="G24" s="17">
        <v>20654.53</v>
      </c>
      <c r="H24" s="17">
        <v>9398.3799999999992</v>
      </c>
      <c r="I24" s="17">
        <v>10306610.470000001</v>
      </c>
      <c r="J24" s="15" t="s">
        <v>17</v>
      </c>
      <c r="K24" s="15" t="s">
        <v>18</v>
      </c>
      <c r="L24" s="9">
        <f>YEAR(E24)</f>
        <v>2020</v>
      </c>
      <c r="M24">
        <f t="shared" si="0"/>
        <v>4689791.6199999992</v>
      </c>
      <c r="P24" s="63">
        <v>2021</v>
      </c>
      <c r="Q24" s="43">
        <v>1077</v>
      </c>
      <c r="R24" s="44">
        <v>69154.399999999994</v>
      </c>
      <c r="S24" s="44">
        <v>32496927.850000001</v>
      </c>
      <c r="T24" s="61">
        <v>6979969.1200000001</v>
      </c>
    </row>
    <row r="25" spans="1:20" x14ac:dyDescent="0.15">
      <c r="A25" s="12"/>
      <c r="B25" s="13" t="s">
        <v>389</v>
      </c>
      <c r="C25" s="14" t="s">
        <v>31</v>
      </c>
      <c r="D25" s="15" t="s">
        <v>153</v>
      </c>
      <c r="E25" s="15" t="s">
        <v>445</v>
      </c>
      <c r="F25" s="16">
        <v>522</v>
      </c>
      <c r="G25" s="17">
        <v>38587.910000000003</v>
      </c>
      <c r="H25" s="19">
        <v>7291.1</v>
      </c>
      <c r="I25" s="17">
        <v>20142889.02</v>
      </c>
      <c r="J25" s="15" t="s">
        <v>17</v>
      </c>
      <c r="K25" s="15" t="s">
        <v>18</v>
      </c>
      <c r="L25" s="9">
        <f>YEAR(E25)</f>
        <v>2020</v>
      </c>
      <c r="M25">
        <f t="shared" si="0"/>
        <v>3805954.2</v>
      </c>
      <c r="P25" s="63">
        <v>2023</v>
      </c>
      <c r="Q25" s="43">
        <v>1238</v>
      </c>
      <c r="R25" s="44">
        <v>52353.689999999995</v>
      </c>
      <c r="S25" s="44">
        <v>37254243.390000001</v>
      </c>
      <c r="T25" s="61">
        <v>7694171.79</v>
      </c>
    </row>
    <row r="26" spans="1:20" ht="14" x14ac:dyDescent="0.15">
      <c r="A26" s="12"/>
      <c r="B26" s="13" t="s">
        <v>389</v>
      </c>
      <c r="C26" s="14" t="s">
        <v>38</v>
      </c>
      <c r="D26" s="15" t="s">
        <v>70</v>
      </c>
      <c r="E26" s="15" t="s">
        <v>453</v>
      </c>
      <c r="F26" s="16">
        <v>732</v>
      </c>
      <c r="G26" s="17">
        <v>11168.28</v>
      </c>
      <c r="H26" s="17">
        <v>6791.68</v>
      </c>
      <c r="I26" s="17">
        <v>8175180.96</v>
      </c>
      <c r="J26" s="15" t="s">
        <v>28</v>
      </c>
      <c r="K26" s="15" t="s">
        <v>18</v>
      </c>
      <c r="L26" s="9">
        <f>YEAR(E26)</f>
        <v>2020</v>
      </c>
      <c r="M26">
        <f t="shared" si="0"/>
        <v>4971509.7599999998</v>
      </c>
      <c r="P26" s="76" t="s">
        <v>114</v>
      </c>
      <c r="Q26" s="77">
        <v>4458</v>
      </c>
      <c r="R26" s="78">
        <v>292796.90000000002</v>
      </c>
      <c r="S26" s="78">
        <v>165524752.15000001</v>
      </c>
      <c r="T26" s="79">
        <v>25723446.470000003</v>
      </c>
    </row>
    <row r="27" spans="1:20" x14ac:dyDescent="0.15">
      <c r="A27" s="12"/>
      <c r="B27" s="13" t="s">
        <v>389</v>
      </c>
      <c r="C27" s="14" t="s">
        <v>38</v>
      </c>
      <c r="D27" s="15" t="s">
        <v>53</v>
      </c>
      <c r="E27" s="15" t="s">
        <v>455</v>
      </c>
      <c r="F27" s="16">
        <v>824</v>
      </c>
      <c r="G27" s="17">
        <v>25390.880000000001</v>
      </c>
      <c r="H27" s="16">
        <v>8773</v>
      </c>
      <c r="I27" s="17">
        <v>20922085.120000001</v>
      </c>
      <c r="J27" s="15" t="s">
        <v>17</v>
      </c>
      <c r="K27" s="15" t="s">
        <v>18</v>
      </c>
      <c r="L27" s="9">
        <f>YEAR(E27)</f>
        <v>2020</v>
      </c>
      <c r="M27">
        <f t="shared" si="0"/>
        <v>7228952</v>
      </c>
      <c r="P27" s="63">
        <v>2021</v>
      </c>
      <c r="Q27" s="43">
        <v>2269</v>
      </c>
      <c r="R27" s="44">
        <v>115618.41</v>
      </c>
      <c r="S27" s="44">
        <v>86337271.530000001</v>
      </c>
      <c r="T27" s="61">
        <v>11896716.329999998</v>
      </c>
    </row>
    <row r="28" spans="1:20" x14ac:dyDescent="0.15">
      <c r="A28" s="12"/>
      <c r="B28" s="13" t="s">
        <v>389</v>
      </c>
      <c r="C28" s="14" t="s">
        <v>25</v>
      </c>
      <c r="D28" s="15" t="s">
        <v>107</v>
      </c>
      <c r="E28" s="15" t="s">
        <v>394</v>
      </c>
      <c r="F28" s="16">
        <v>566</v>
      </c>
      <c r="G28" s="17">
        <v>15516.87</v>
      </c>
      <c r="H28" s="17">
        <v>3043.78</v>
      </c>
      <c r="I28" s="17">
        <v>8782548.4199999999</v>
      </c>
      <c r="J28" s="15" t="s">
        <v>28</v>
      </c>
      <c r="K28" s="15" t="s">
        <v>18</v>
      </c>
      <c r="L28" s="9">
        <f>YEAR(E28)</f>
        <v>2021</v>
      </c>
      <c r="M28">
        <f t="shared" si="0"/>
        <v>1722779.4800000002</v>
      </c>
      <c r="P28" s="63">
        <v>2022</v>
      </c>
      <c r="Q28" s="43">
        <v>1483</v>
      </c>
      <c r="R28" s="44">
        <v>87867.51999999999</v>
      </c>
      <c r="S28" s="44">
        <v>47955967.07</v>
      </c>
      <c r="T28" s="61">
        <v>11524195.700000001</v>
      </c>
    </row>
    <row r="29" spans="1:20" x14ac:dyDescent="0.15">
      <c r="A29" s="12"/>
      <c r="B29" s="13" t="s">
        <v>389</v>
      </c>
      <c r="C29" s="14" t="s">
        <v>43</v>
      </c>
      <c r="D29" s="15" t="s">
        <v>15</v>
      </c>
      <c r="E29" s="15" t="s">
        <v>397</v>
      </c>
      <c r="F29" s="16">
        <v>307</v>
      </c>
      <c r="G29" s="17">
        <v>20303.59</v>
      </c>
      <c r="H29" s="17">
        <v>7637.18</v>
      </c>
      <c r="I29" s="17">
        <v>6233202.1299999999</v>
      </c>
      <c r="J29" s="15" t="s">
        <v>17</v>
      </c>
      <c r="K29" s="15" t="s">
        <v>18</v>
      </c>
      <c r="L29" s="9">
        <f>YEAR(E29)</f>
        <v>2021</v>
      </c>
      <c r="M29">
        <f t="shared" si="0"/>
        <v>2344614.2600000002</v>
      </c>
      <c r="P29" s="63">
        <v>2023</v>
      </c>
      <c r="Q29" s="43">
        <v>706</v>
      </c>
      <c r="R29" s="44">
        <v>89310.97</v>
      </c>
      <c r="S29" s="44">
        <v>31231513.550000001</v>
      </c>
      <c r="T29" s="61">
        <v>2302534.4400000004</v>
      </c>
    </row>
    <row r="30" spans="1:20" ht="14" x14ac:dyDescent="0.15">
      <c r="A30" s="12"/>
      <c r="B30" s="13" t="s">
        <v>389</v>
      </c>
      <c r="C30" s="14" t="s">
        <v>43</v>
      </c>
      <c r="D30" s="15" t="s">
        <v>15</v>
      </c>
      <c r="E30" s="15" t="s">
        <v>400</v>
      </c>
      <c r="F30" s="16">
        <v>568</v>
      </c>
      <c r="G30" s="17">
        <v>37507.870000000003</v>
      </c>
      <c r="H30" s="17">
        <v>4346.03</v>
      </c>
      <c r="I30" s="17">
        <v>21304470.16</v>
      </c>
      <c r="J30" s="15" t="s">
        <v>17</v>
      </c>
      <c r="K30" s="15" t="s">
        <v>18</v>
      </c>
      <c r="L30" s="9">
        <f>YEAR(E30)</f>
        <v>2021</v>
      </c>
      <c r="M30">
        <f t="shared" si="0"/>
        <v>2468545.04</v>
      </c>
      <c r="P30" s="42" t="s">
        <v>107</v>
      </c>
      <c r="Q30" s="43">
        <v>3854</v>
      </c>
      <c r="R30" s="44">
        <v>189648.33000000002</v>
      </c>
      <c r="S30" s="44">
        <v>106213947.86</v>
      </c>
      <c r="T30" s="61">
        <v>23115006.600000001</v>
      </c>
    </row>
    <row r="31" spans="1:20" x14ac:dyDescent="0.15">
      <c r="A31" s="12"/>
      <c r="B31" s="13" t="s">
        <v>389</v>
      </c>
      <c r="C31" s="14" t="s">
        <v>43</v>
      </c>
      <c r="D31" s="15" t="s">
        <v>15</v>
      </c>
      <c r="E31" s="15" t="s">
        <v>187</v>
      </c>
      <c r="F31" s="16">
        <v>414</v>
      </c>
      <c r="G31" s="17">
        <v>26446.32</v>
      </c>
      <c r="H31" s="17">
        <v>9849.4500000000007</v>
      </c>
      <c r="I31" s="17">
        <v>10948776.48</v>
      </c>
      <c r="J31" s="15" t="s">
        <v>28</v>
      </c>
      <c r="K31" s="15" t="s">
        <v>18</v>
      </c>
      <c r="L31" s="9">
        <f>YEAR(E31)</f>
        <v>2021</v>
      </c>
      <c r="M31">
        <f t="shared" si="0"/>
        <v>4077672.3000000003</v>
      </c>
      <c r="P31" s="88">
        <v>2020</v>
      </c>
      <c r="Q31" s="77">
        <v>1971</v>
      </c>
      <c r="R31" s="78">
        <v>68812.240000000005</v>
      </c>
      <c r="S31" s="78">
        <v>50877824.089999996</v>
      </c>
      <c r="T31" s="79">
        <v>14498547.550000001</v>
      </c>
    </row>
    <row r="32" spans="1:20" x14ac:dyDescent="0.15">
      <c r="A32" s="12"/>
      <c r="B32" s="13" t="s">
        <v>389</v>
      </c>
      <c r="C32" s="14" t="s">
        <v>31</v>
      </c>
      <c r="D32" s="15" t="s">
        <v>139</v>
      </c>
      <c r="E32" s="15" t="s">
        <v>406</v>
      </c>
      <c r="F32" s="16">
        <v>385</v>
      </c>
      <c r="G32" s="17">
        <v>21988.74</v>
      </c>
      <c r="H32" s="19">
        <v>2986.5</v>
      </c>
      <c r="I32" s="19">
        <v>8465664.9000000004</v>
      </c>
      <c r="J32" s="15" t="s">
        <v>17</v>
      </c>
      <c r="K32" s="15" t="s">
        <v>18</v>
      </c>
      <c r="L32" s="9">
        <f>YEAR(E32)</f>
        <v>2021</v>
      </c>
      <c r="M32">
        <f t="shared" si="0"/>
        <v>1149802.5</v>
      </c>
      <c r="P32" s="88">
        <v>2021</v>
      </c>
      <c r="Q32" s="77">
        <v>566</v>
      </c>
      <c r="R32" s="78">
        <v>15516.87</v>
      </c>
      <c r="S32" s="78">
        <v>8782548.4199999999</v>
      </c>
      <c r="T32" s="79">
        <v>1722779.4800000002</v>
      </c>
    </row>
    <row r="33" spans="1:20" x14ac:dyDescent="0.15">
      <c r="A33" s="12"/>
      <c r="B33" s="13" t="s">
        <v>389</v>
      </c>
      <c r="C33" s="14" t="s">
        <v>14</v>
      </c>
      <c r="D33" s="15" t="s">
        <v>139</v>
      </c>
      <c r="E33" s="15" t="s">
        <v>126</v>
      </c>
      <c r="F33" s="16">
        <v>525</v>
      </c>
      <c r="G33" s="19">
        <v>21719.7</v>
      </c>
      <c r="H33" s="17">
        <v>9485.0499999999993</v>
      </c>
      <c r="I33" s="19">
        <v>11402842.5</v>
      </c>
      <c r="J33" s="15" t="s">
        <v>17</v>
      </c>
      <c r="K33" s="15" t="s">
        <v>18</v>
      </c>
      <c r="L33" s="9">
        <f>YEAR(E33)</f>
        <v>2021</v>
      </c>
      <c r="M33">
        <f t="shared" si="0"/>
        <v>4979651.25</v>
      </c>
      <c r="P33" s="88">
        <v>2023</v>
      </c>
      <c r="Q33" s="77">
        <v>1317</v>
      </c>
      <c r="R33" s="78">
        <v>105319.22</v>
      </c>
      <c r="S33" s="78">
        <v>46553575.350000001</v>
      </c>
      <c r="T33" s="79">
        <v>6893679.5700000003</v>
      </c>
    </row>
    <row r="34" spans="1:20" ht="17" customHeight="1" x14ac:dyDescent="0.15">
      <c r="A34" s="12"/>
      <c r="B34" s="13" t="s">
        <v>389</v>
      </c>
      <c r="C34" s="14" t="s">
        <v>57</v>
      </c>
      <c r="D34" s="15" t="s">
        <v>139</v>
      </c>
      <c r="E34" s="15" t="s">
        <v>408</v>
      </c>
      <c r="F34" s="16">
        <v>985</v>
      </c>
      <c r="G34" s="17">
        <v>22041.82</v>
      </c>
      <c r="H34" s="17">
        <v>9336.1200000000008</v>
      </c>
      <c r="I34" s="19">
        <v>21711192.699999999</v>
      </c>
      <c r="J34" s="15" t="s">
        <v>22</v>
      </c>
      <c r="K34" s="15" t="s">
        <v>18</v>
      </c>
      <c r="L34" s="9">
        <f>YEAR(E34)</f>
        <v>2021</v>
      </c>
      <c r="M34">
        <f t="shared" si="0"/>
        <v>9196078.2000000011</v>
      </c>
      <c r="P34" s="80" t="s">
        <v>15</v>
      </c>
      <c r="Q34" s="81">
        <v>6885</v>
      </c>
      <c r="R34" s="82">
        <v>428073.29000000004</v>
      </c>
      <c r="S34" s="82">
        <v>211313429.31999999</v>
      </c>
      <c r="T34" s="83">
        <v>43512025.079999998</v>
      </c>
    </row>
    <row r="35" spans="1:20" ht="14" x14ac:dyDescent="0.15">
      <c r="A35" s="12"/>
      <c r="B35" s="13" t="s">
        <v>389</v>
      </c>
      <c r="C35" s="14" t="s">
        <v>35</v>
      </c>
      <c r="D35" s="15" t="s">
        <v>139</v>
      </c>
      <c r="E35" s="15" t="s">
        <v>411</v>
      </c>
      <c r="F35" s="16">
        <v>539</v>
      </c>
      <c r="G35" s="17">
        <v>44640.26</v>
      </c>
      <c r="H35" s="19">
        <v>6879.9</v>
      </c>
      <c r="I35" s="17">
        <v>24061100.140000001</v>
      </c>
      <c r="J35" s="15" t="s">
        <v>17</v>
      </c>
      <c r="K35" s="15" t="s">
        <v>18</v>
      </c>
      <c r="L35" s="9">
        <f>YEAR(E35)</f>
        <v>2021</v>
      </c>
      <c r="M35">
        <f t="shared" si="0"/>
        <v>3708266.0999999996</v>
      </c>
      <c r="P35" s="39" t="s">
        <v>139</v>
      </c>
      <c r="Q35" s="40">
        <v>6539</v>
      </c>
      <c r="R35" s="41">
        <v>356796.83</v>
      </c>
      <c r="S35" s="41">
        <v>177888523.41</v>
      </c>
      <c r="T35" s="60">
        <v>42701906.309999995</v>
      </c>
    </row>
    <row r="36" spans="1:20" x14ac:dyDescent="0.15">
      <c r="A36" s="12"/>
      <c r="B36" s="13" t="s">
        <v>389</v>
      </c>
      <c r="C36" s="14" t="s">
        <v>25</v>
      </c>
      <c r="D36" s="15" t="s">
        <v>139</v>
      </c>
      <c r="E36" s="15" t="s">
        <v>413</v>
      </c>
      <c r="F36" s="16">
        <v>631</v>
      </c>
      <c r="G36" s="17">
        <v>13405.98</v>
      </c>
      <c r="H36" s="17">
        <v>9333.15</v>
      </c>
      <c r="I36" s="17">
        <v>8459173.3800000008</v>
      </c>
      <c r="J36" s="15" t="s">
        <v>17</v>
      </c>
      <c r="K36" s="15" t="s">
        <v>18</v>
      </c>
      <c r="L36" s="9">
        <f>YEAR(E36)</f>
        <v>2021</v>
      </c>
      <c r="M36">
        <f t="shared" si="0"/>
        <v>5889217.6499999994</v>
      </c>
      <c r="P36" s="63">
        <v>2020</v>
      </c>
      <c r="Q36" s="43">
        <v>1878</v>
      </c>
      <c r="R36" s="44">
        <v>88057.430000000008</v>
      </c>
      <c r="S36" s="44">
        <v>43639585.759999998</v>
      </c>
      <c r="T36" s="61">
        <v>9914457.5499999989</v>
      </c>
    </row>
    <row r="37" spans="1:20" x14ac:dyDescent="0.15">
      <c r="A37" s="12"/>
      <c r="B37" s="13" t="s">
        <v>389</v>
      </c>
      <c r="C37" s="14" t="s">
        <v>23</v>
      </c>
      <c r="D37" s="15" t="s">
        <v>114</v>
      </c>
      <c r="E37" s="15" t="s">
        <v>415</v>
      </c>
      <c r="F37" s="16">
        <v>823</v>
      </c>
      <c r="G37" s="17">
        <v>44241.93</v>
      </c>
      <c r="H37" s="17">
        <v>3183.41</v>
      </c>
      <c r="I37" s="17">
        <v>36411108.390000001</v>
      </c>
      <c r="J37" s="15" t="s">
        <v>17</v>
      </c>
      <c r="K37" s="15" t="s">
        <v>18</v>
      </c>
      <c r="L37" s="9">
        <f>YEAR(E37)</f>
        <v>2021</v>
      </c>
      <c r="M37">
        <f t="shared" si="0"/>
        <v>2619946.4299999997</v>
      </c>
      <c r="P37" s="63">
        <v>2021</v>
      </c>
      <c r="Q37" s="43">
        <v>3065</v>
      </c>
      <c r="R37" s="44">
        <v>123796.50000000001</v>
      </c>
      <c r="S37" s="44">
        <v>74099973.61999999</v>
      </c>
      <c r="T37" s="61">
        <v>24923015.699999999</v>
      </c>
    </row>
    <row r="38" spans="1:20" x14ac:dyDescent="0.15">
      <c r="A38" s="12"/>
      <c r="B38" s="13" t="s">
        <v>389</v>
      </c>
      <c r="C38" s="14" t="s">
        <v>31</v>
      </c>
      <c r="D38" s="15" t="s">
        <v>114</v>
      </c>
      <c r="E38" s="15" t="s">
        <v>417</v>
      </c>
      <c r="F38" s="16">
        <v>554</v>
      </c>
      <c r="G38" s="17">
        <v>40655.79</v>
      </c>
      <c r="H38" s="17">
        <v>3828.59</v>
      </c>
      <c r="I38" s="17">
        <v>22523307.66</v>
      </c>
      <c r="J38" s="15" t="s">
        <v>22</v>
      </c>
      <c r="K38" s="15" t="s">
        <v>18</v>
      </c>
      <c r="L38" s="9">
        <f>YEAR(E38)</f>
        <v>2021</v>
      </c>
      <c r="M38">
        <f t="shared" si="0"/>
        <v>2121038.86</v>
      </c>
      <c r="P38" s="63">
        <v>2022</v>
      </c>
      <c r="Q38" s="43">
        <v>1007</v>
      </c>
      <c r="R38" s="44">
        <v>106334.36</v>
      </c>
      <c r="S38" s="44">
        <v>37408533.969999999</v>
      </c>
      <c r="T38" s="61">
        <v>6601340.2299999995</v>
      </c>
    </row>
    <row r="39" spans="1:20" x14ac:dyDescent="0.15">
      <c r="A39" s="12"/>
      <c r="B39" s="13" t="s">
        <v>389</v>
      </c>
      <c r="C39" s="14" t="s">
        <v>43</v>
      </c>
      <c r="D39" s="15" t="s">
        <v>114</v>
      </c>
      <c r="E39" s="15" t="s">
        <v>171</v>
      </c>
      <c r="F39" s="16">
        <v>892</v>
      </c>
      <c r="G39" s="17">
        <v>30720.69</v>
      </c>
      <c r="H39" s="17">
        <v>8022.12</v>
      </c>
      <c r="I39" s="17">
        <v>27402855.48</v>
      </c>
      <c r="J39" s="15" t="s">
        <v>28</v>
      </c>
      <c r="K39" s="15" t="s">
        <v>18</v>
      </c>
      <c r="L39" s="9">
        <f>YEAR(E39)</f>
        <v>2021</v>
      </c>
      <c r="M39">
        <f t="shared" si="0"/>
        <v>7155731.04</v>
      </c>
      <c r="P39" s="63">
        <v>2023</v>
      </c>
      <c r="Q39" s="43">
        <v>589</v>
      </c>
      <c r="R39" s="44">
        <v>38608.54</v>
      </c>
      <c r="S39" s="44">
        <v>22740430.059999999</v>
      </c>
      <c r="T39" s="61">
        <v>1263092.8299999998</v>
      </c>
    </row>
    <row r="40" spans="1:20" ht="14" x14ac:dyDescent="0.15">
      <c r="A40" s="12"/>
      <c r="B40" s="13" t="s">
        <v>389</v>
      </c>
      <c r="C40" s="14" t="s">
        <v>25</v>
      </c>
      <c r="D40" s="15" t="s">
        <v>89</v>
      </c>
      <c r="E40" s="15" t="s">
        <v>421</v>
      </c>
      <c r="F40" s="16">
        <v>604</v>
      </c>
      <c r="G40" s="17">
        <v>10944.17</v>
      </c>
      <c r="H40" s="17">
        <v>5479.31</v>
      </c>
      <c r="I40" s="17">
        <v>6610278.6799999997</v>
      </c>
      <c r="J40" s="15" t="s">
        <v>17</v>
      </c>
      <c r="K40" s="15" t="s">
        <v>18</v>
      </c>
      <c r="L40" s="9">
        <f>YEAR(E40)</f>
        <v>2021</v>
      </c>
      <c r="M40">
        <f t="shared" si="0"/>
        <v>3309503.24</v>
      </c>
      <c r="P40" s="80" t="s">
        <v>53</v>
      </c>
      <c r="Q40" s="81">
        <v>4372</v>
      </c>
      <c r="R40" s="82">
        <v>223985.1</v>
      </c>
      <c r="S40" s="82">
        <v>112205664.98999999</v>
      </c>
      <c r="T40" s="83">
        <v>27149537.740000002</v>
      </c>
    </row>
    <row r="41" spans="1:20" ht="15" customHeight="1" x14ac:dyDescent="0.15">
      <c r="A41" s="12"/>
      <c r="B41" s="13" t="s">
        <v>389</v>
      </c>
      <c r="C41" s="14" t="s">
        <v>31</v>
      </c>
      <c r="D41" s="15" t="s">
        <v>89</v>
      </c>
      <c r="E41" s="15" t="s">
        <v>188</v>
      </c>
      <c r="F41" s="16">
        <v>651</v>
      </c>
      <c r="G41" s="19">
        <v>10926.4</v>
      </c>
      <c r="H41" s="17">
        <v>2904.18</v>
      </c>
      <c r="I41" s="19">
        <v>7113086.4000000004</v>
      </c>
      <c r="J41" s="15" t="s">
        <v>28</v>
      </c>
      <c r="K41" s="15" t="s">
        <v>18</v>
      </c>
      <c r="L41" s="9">
        <f>YEAR(E41)</f>
        <v>2021</v>
      </c>
      <c r="M41">
        <f t="shared" si="0"/>
        <v>1890621.18</v>
      </c>
      <c r="P41" s="80" t="s">
        <v>153</v>
      </c>
      <c r="Q41" s="81">
        <v>9023</v>
      </c>
      <c r="R41" s="82">
        <v>417510.15</v>
      </c>
      <c r="S41" s="82">
        <v>279275528.97000003</v>
      </c>
      <c r="T41" s="83">
        <v>59676669.659999996</v>
      </c>
    </row>
    <row r="42" spans="1:20" x14ac:dyDescent="0.15">
      <c r="A42" s="12"/>
      <c r="B42" s="13" t="s">
        <v>389</v>
      </c>
      <c r="C42" s="14" t="s">
        <v>19</v>
      </c>
      <c r="D42" s="15" t="s">
        <v>89</v>
      </c>
      <c r="E42" s="15" t="s">
        <v>428</v>
      </c>
      <c r="F42" s="16">
        <v>999</v>
      </c>
      <c r="G42" s="17">
        <v>16092.91</v>
      </c>
      <c r="H42" s="17">
        <v>5565.11</v>
      </c>
      <c r="I42" s="17">
        <v>16076817.09</v>
      </c>
      <c r="J42" s="15" t="s">
        <v>28</v>
      </c>
      <c r="K42" s="15" t="s">
        <v>18</v>
      </c>
      <c r="L42" s="9">
        <f>YEAR(E42)</f>
        <v>2021</v>
      </c>
      <c r="M42">
        <f t="shared" si="0"/>
        <v>5559544.8899999997</v>
      </c>
      <c r="P42" s="63">
        <v>2020</v>
      </c>
      <c r="Q42" s="43">
        <v>1958</v>
      </c>
      <c r="R42" s="44">
        <v>121066.4</v>
      </c>
      <c r="S42" s="44">
        <v>51979145.689999998</v>
      </c>
      <c r="T42" s="61">
        <v>12169195.370000001</v>
      </c>
    </row>
    <row r="43" spans="1:20" x14ac:dyDescent="0.15">
      <c r="A43" s="12"/>
      <c r="B43" s="13" t="s">
        <v>389</v>
      </c>
      <c r="C43" s="14" t="s">
        <v>14</v>
      </c>
      <c r="D43" s="15" t="s">
        <v>26</v>
      </c>
      <c r="E43" s="15" t="s">
        <v>430</v>
      </c>
      <c r="F43" s="16">
        <v>775</v>
      </c>
      <c r="G43" s="17">
        <v>33127.43</v>
      </c>
      <c r="H43" s="17">
        <v>2179.1799999999998</v>
      </c>
      <c r="I43" s="17">
        <v>25673758.25</v>
      </c>
      <c r="J43" s="15" t="s">
        <v>22</v>
      </c>
      <c r="K43" s="15" t="s">
        <v>18</v>
      </c>
      <c r="L43" s="9">
        <f>YEAR(E43)</f>
        <v>2021</v>
      </c>
      <c r="M43">
        <f t="shared" si="0"/>
        <v>1688864.4999999998</v>
      </c>
      <c r="P43" s="63">
        <v>2021</v>
      </c>
      <c r="Q43" s="43">
        <v>3415</v>
      </c>
      <c r="R43" s="44">
        <v>158856.12</v>
      </c>
      <c r="S43" s="44">
        <v>111353130.65000002</v>
      </c>
      <c r="T43" s="61">
        <v>25698610.150000002</v>
      </c>
    </row>
    <row r="44" spans="1:20" x14ac:dyDescent="0.15">
      <c r="A44" s="12"/>
      <c r="B44" s="13" t="s">
        <v>389</v>
      </c>
      <c r="C44" s="14" t="s">
        <v>38</v>
      </c>
      <c r="D44" s="15" t="s">
        <v>26</v>
      </c>
      <c r="E44" s="15" t="s">
        <v>128</v>
      </c>
      <c r="F44" s="16">
        <v>965</v>
      </c>
      <c r="G44" s="17">
        <v>27453.95</v>
      </c>
      <c r="H44" s="17">
        <v>3730.14</v>
      </c>
      <c r="I44" s="17">
        <v>26493061.75</v>
      </c>
      <c r="J44" s="15" t="s">
        <v>28</v>
      </c>
      <c r="K44" s="15" t="s">
        <v>18</v>
      </c>
      <c r="L44" s="9">
        <f>YEAR(E44)</f>
        <v>2021</v>
      </c>
      <c r="M44">
        <f t="shared" si="0"/>
        <v>3599585.1</v>
      </c>
      <c r="P44" s="63">
        <v>2022</v>
      </c>
      <c r="Q44" s="43">
        <v>899</v>
      </c>
      <c r="R44" s="44">
        <v>27430.43</v>
      </c>
      <c r="S44" s="44">
        <v>24659956.57</v>
      </c>
      <c r="T44" s="61">
        <v>8454249.9399999995</v>
      </c>
    </row>
    <row r="45" spans="1:20" x14ac:dyDescent="0.15">
      <c r="A45" s="12"/>
      <c r="B45" s="13" t="s">
        <v>389</v>
      </c>
      <c r="C45" s="14" t="s">
        <v>31</v>
      </c>
      <c r="D45" s="15" t="s">
        <v>153</v>
      </c>
      <c r="E45" s="15" t="s">
        <v>438</v>
      </c>
      <c r="F45" s="16">
        <v>618</v>
      </c>
      <c r="G45" s="17">
        <v>12028.51</v>
      </c>
      <c r="H45" s="17">
        <v>9967.48</v>
      </c>
      <c r="I45" s="17">
        <v>7433619.1799999997</v>
      </c>
      <c r="J45" s="15" t="s">
        <v>30</v>
      </c>
      <c r="K45" s="15" t="s">
        <v>18</v>
      </c>
      <c r="L45" s="9">
        <f>YEAR(E45)</f>
        <v>2021</v>
      </c>
      <c r="M45">
        <f t="shared" si="0"/>
        <v>6159902.6399999997</v>
      </c>
      <c r="P45" s="63">
        <v>2023</v>
      </c>
      <c r="Q45" s="43">
        <v>2751</v>
      </c>
      <c r="R45" s="44">
        <v>110157.20000000001</v>
      </c>
      <c r="S45" s="44">
        <v>91283296.059999987</v>
      </c>
      <c r="T45" s="61">
        <v>13354614.199999999</v>
      </c>
    </row>
    <row r="46" spans="1:20" ht="14" x14ac:dyDescent="0.15">
      <c r="A46" s="12"/>
      <c r="B46" s="13" t="s">
        <v>389</v>
      </c>
      <c r="C46" s="14" t="s">
        <v>23</v>
      </c>
      <c r="D46" s="15" t="s">
        <v>153</v>
      </c>
      <c r="E46" s="15" t="s">
        <v>111</v>
      </c>
      <c r="F46" s="16">
        <v>808</v>
      </c>
      <c r="G46" s="17">
        <v>36102.120000000003</v>
      </c>
      <c r="H46" s="19">
        <v>4257.5</v>
      </c>
      <c r="I46" s="17">
        <v>29170512.960000001</v>
      </c>
      <c r="J46" s="15" t="s">
        <v>30</v>
      </c>
      <c r="K46" s="15" t="s">
        <v>18</v>
      </c>
      <c r="L46" s="9">
        <f>YEAR(E46)</f>
        <v>2021</v>
      </c>
      <c r="M46">
        <f t="shared" si="0"/>
        <v>3440060</v>
      </c>
      <c r="P46" s="46" t="s">
        <v>789</v>
      </c>
      <c r="Q46" s="47">
        <v>54093</v>
      </c>
      <c r="R46" s="48">
        <v>2935238.5000000005</v>
      </c>
      <c r="S46" s="48">
        <v>1600415863.6599998</v>
      </c>
      <c r="T46" s="62">
        <v>336623228.96999997</v>
      </c>
    </row>
    <row r="47" spans="1:20" x14ac:dyDescent="0.15">
      <c r="A47" s="12"/>
      <c r="B47" s="13" t="s">
        <v>389</v>
      </c>
      <c r="C47" s="14" t="s">
        <v>79</v>
      </c>
      <c r="D47" s="15" t="s">
        <v>153</v>
      </c>
      <c r="E47" s="15" t="s">
        <v>207</v>
      </c>
      <c r="F47" s="16">
        <v>763</v>
      </c>
      <c r="G47" s="19">
        <v>42458.7</v>
      </c>
      <c r="H47" s="17">
        <v>6325.82</v>
      </c>
      <c r="I47" s="19">
        <v>32395988.100000001</v>
      </c>
      <c r="J47" s="15" t="s">
        <v>30</v>
      </c>
      <c r="K47" s="15" t="s">
        <v>18</v>
      </c>
      <c r="L47" s="9">
        <f>YEAR(E47)</f>
        <v>2021</v>
      </c>
      <c r="M47">
        <f t="shared" si="0"/>
        <v>4826600.66</v>
      </c>
    </row>
    <row r="48" spans="1:20" x14ac:dyDescent="0.15">
      <c r="A48" s="12"/>
      <c r="B48" s="13" t="s">
        <v>389</v>
      </c>
      <c r="C48" s="14" t="s">
        <v>35</v>
      </c>
      <c r="D48" s="15" t="s">
        <v>153</v>
      </c>
      <c r="E48" s="15" t="s">
        <v>442</v>
      </c>
      <c r="F48" s="16">
        <v>511</v>
      </c>
      <c r="G48" s="17">
        <v>31655.61</v>
      </c>
      <c r="H48" s="19">
        <v>8956.6</v>
      </c>
      <c r="I48" s="17">
        <v>16176016.710000001</v>
      </c>
      <c r="J48" s="15" t="s">
        <v>17</v>
      </c>
      <c r="K48" s="15" t="s">
        <v>18</v>
      </c>
      <c r="L48" s="9">
        <f>YEAR(E48)</f>
        <v>2021</v>
      </c>
      <c r="M48">
        <f t="shared" si="0"/>
        <v>4576822.6000000006</v>
      </c>
    </row>
    <row r="49" spans="1:13" x14ac:dyDescent="0.15">
      <c r="A49" s="12"/>
      <c r="B49" s="13" t="s">
        <v>389</v>
      </c>
      <c r="C49" s="14" t="s">
        <v>57</v>
      </c>
      <c r="D49" s="15" t="s">
        <v>153</v>
      </c>
      <c r="E49" s="15" t="s">
        <v>115</v>
      </c>
      <c r="F49" s="16">
        <v>715</v>
      </c>
      <c r="G49" s="17">
        <v>36611.18</v>
      </c>
      <c r="H49" s="17">
        <v>9363.9500000000007</v>
      </c>
      <c r="I49" s="19">
        <v>26176993.699999999</v>
      </c>
      <c r="J49" s="15" t="s">
        <v>28</v>
      </c>
      <c r="K49" s="15" t="s">
        <v>18</v>
      </c>
      <c r="L49" s="9">
        <f>YEAR(E49)</f>
        <v>2021</v>
      </c>
      <c r="M49">
        <f t="shared" si="0"/>
        <v>6695224.2500000009</v>
      </c>
    </row>
    <row r="50" spans="1:13" x14ac:dyDescent="0.15">
      <c r="A50" s="12"/>
      <c r="B50" s="13" t="s">
        <v>389</v>
      </c>
      <c r="C50" s="14" t="s">
        <v>31</v>
      </c>
      <c r="D50" s="15" t="s">
        <v>68</v>
      </c>
      <c r="E50" s="15" t="s">
        <v>447</v>
      </c>
      <c r="F50" s="16">
        <v>727</v>
      </c>
      <c r="G50" s="17">
        <v>21997.05</v>
      </c>
      <c r="H50" s="17">
        <v>7782.56</v>
      </c>
      <c r="I50" s="17">
        <v>15991855.35</v>
      </c>
      <c r="J50" s="15" t="s">
        <v>17</v>
      </c>
      <c r="K50" s="15" t="s">
        <v>18</v>
      </c>
      <c r="L50" s="9">
        <f>YEAR(E50)</f>
        <v>2021</v>
      </c>
      <c r="M50">
        <f t="shared" si="0"/>
        <v>5657921.1200000001</v>
      </c>
    </row>
    <row r="51" spans="1:13" x14ac:dyDescent="0.15">
      <c r="A51" s="12"/>
      <c r="B51" s="13" t="s">
        <v>389</v>
      </c>
      <c r="C51" s="14" t="s">
        <v>14</v>
      </c>
      <c r="D51" s="15" t="s">
        <v>68</v>
      </c>
      <c r="E51" s="15" t="s">
        <v>449</v>
      </c>
      <c r="F51" s="16">
        <v>350</v>
      </c>
      <c r="G51" s="17">
        <v>47157.35</v>
      </c>
      <c r="H51" s="17">
        <v>3777.28</v>
      </c>
      <c r="I51" s="19">
        <v>16505072.5</v>
      </c>
      <c r="J51" s="15" t="s">
        <v>17</v>
      </c>
      <c r="K51" s="15" t="s">
        <v>18</v>
      </c>
      <c r="L51" s="9">
        <f>YEAR(E51)</f>
        <v>2021</v>
      </c>
      <c r="M51">
        <f t="shared" si="0"/>
        <v>1322048</v>
      </c>
    </row>
    <row r="52" spans="1:13" x14ac:dyDescent="0.15">
      <c r="A52" s="12"/>
      <c r="B52" s="13" t="s">
        <v>389</v>
      </c>
      <c r="C52" s="14" t="s">
        <v>19</v>
      </c>
      <c r="D52" s="15" t="s">
        <v>53</v>
      </c>
      <c r="E52" s="15" t="s">
        <v>454</v>
      </c>
      <c r="F52" s="16">
        <v>218</v>
      </c>
      <c r="G52" s="17">
        <v>18450.310000000001</v>
      </c>
      <c r="H52" s="17">
        <v>3273.85</v>
      </c>
      <c r="I52" s="17">
        <v>4022167.58</v>
      </c>
      <c r="J52" s="15" t="s">
        <v>17</v>
      </c>
      <c r="K52" s="15" t="s">
        <v>18</v>
      </c>
      <c r="L52" s="9">
        <f>YEAR(E52)</f>
        <v>2021</v>
      </c>
      <c r="M52">
        <f t="shared" si="0"/>
        <v>713699.29999999993</v>
      </c>
    </row>
    <row r="53" spans="1:13" x14ac:dyDescent="0.15">
      <c r="A53" s="12"/>
      <c r="B53" s="13" t="s">
        <v>389</v>
      </c>
      <c r="C53" s="14" t="s">
        <v>79</v>
      </c>
      <c r="D53" s="15" t="s">
        <v>15</v>
      </c>
      <c r="E53" s="15" t="s">
        <v>54</v>
      </c>
      <c r="F53" s="16">
        <v>740</v>
      </c>
      <c r="G53" s="17">
        <v>49218.64</v>
      </c>
      <c r="H53" s="17">
        <v>3231.87</v>
      </c>
      <c r="I53" s="19">
        <v>36421793.600000001</v>
      </c>
      <c r="J53" s="15" t="s">
        <v>17</v>
      </c>
      <c r="K53" s="15" t="s">
        <v>18</v>
      </c>
      <c r="L53" s="9">
        <f>YEAR(E53)</f>
        <v>2022</v>
      </c>
      <c r="M53">
        <f t="shared" si="0"/>
        <v>2391583.7999999998</v>
      </c>
    </row>
    <row r="54" spans="1:13" x14ac:dyDescent="0.15">
      <c r="A54" s="12"/>
      <c r="B54" s="13" t="s">
        <v>389</v>
      </c>
      <c r="C54" s="14" t="s">
        <v>25</v>
      </c>
      <c r="D54" s="15" t="s">
        <v>15</v>
      </c>
      <c r="E54" s="15" t="s">
        <v>395</v>
      </c>
      <c r="F54" s="16">
        <v>536</v>
      </c>
      <c r="G54" s="17">
        <v>10387.59</v>
      </c>
      <c r="H54" s="17">
        <v>9458.2199999999993</v>
      </c>
      <c r="I54" s="17">
        <v>5567748.2400000002</v>
      </c>
      <c r="J54" s="15" t="s">
        <v>17</v>
      </c>
      <c r="K54" s="15" t="s">
        <v>18</v>
      </c>
      <c r="L54" s="9">
        <f>YEAR(E54)</f>
        <v>2022</v>
      </c>
      <c r="M54">
        <f t="shared" si="0"/>
        <v>5069605.92</v>
      </c>
    </row>
    <row r="55" spans="1:13" x14ac:dyDescent="0.15">
      <c r="A55" s="12"/>
      <c r="B55" s="13" t="s">
        <v>389</v>
      </c>
      <c r="C55" s="14" t="s">
        <v>25</v>
      </c>
      <c r="D55" s="15" t="s">
        <v>15</v>
      </c>
      <c r="E55" s="15" t="s">
        <v>396</v>
      </c>
      <c r="F55" s="16">
        <v>563</v>
      </c>
      <c r="G55" s="17">
        <v>41130.94</v>
      </c>
      <c r="H55" s="17">
        <v>6706.05</v>
      </c>
      <c r="I55" s="17">
        <v>23156719.219999999</v>
      </c>
      <c r="J55" s="15" t="s">
        <v>17</v>
      </c>
      <c r="K55" s="15" t="s">
        <v>18</v>
      </c>
      <c r="L55" s="9">
        <f>YEAR(E55)</f>
        <v>2022</v>
      </c>
      <c r="M55">
        <f t="shared" si="0"/>
        <v>3775506.15</v>
      </c>
    </row>
    <row r="56" spans="1:13" x14ac:dyDescent="0.15">
      <c r="A56" s="12"/>
      <c r="B56" s="13" t="s">
        <v>389</v>
      </c>
      <c r="C56" s="14" t="s">
        <v>43</v>
      </c>
      <c r="D56" s="15" t="s">
        <v>15</v>
      </c>
      <c r="E56" s="15" t="s">
        <v>398</v>
      </c>
      <c r="F56" s="16">
        <v>519</v>
      </c>
      <c r="G56" s="17">
        <v>46462.39</v>
      </c>
      <c r="H56" s="17">
        <v>7563.66</v>
      </c>
      <c r="I56" s="17">
        <v>24113980.41</v>
      </c>
      <c r="J56" s="15" t="s">
        <v>30</v>
      </c>
      <c r="K56" s="15" t="s">
        <v>18</v>
      </c>
      <c r="L56" s="9">
        <f>YEAR(E56)</f>
        <v>2022</v>
      </c>
      <c r="M56">
        <f t="shared" si="0"/>
        <v>3925539.54</v>
      </c>
    </row>
    <row r="57" spans="1:13" x14ac:dyDescent="0.15">
      <c r="A57" s="12"/>
      <c r="B57" s="13" t="s">
        <v>389</v>
      </c>
      <c r="C57" s="14" t="s">
        <v>31</v>
      </c>
      <c r="D57" s="15" t="s">
        <v>15</v>
      </c>
      <c r="E57" s="15" t="s">
        <v>81</v>
      </c>
      <c r="F57" s="16">
        <v>276</v>
      </c>
      <c r="G57" s="17">
        <v>47090.73</v>
      </c>
      <c r="H57" s="19">
        <v>7019.4</v>
      </c>
      <c r="I57" s="17">
        <v>12997041.48</v>
      </c>
      <c r="J57" s="15" t="s">
        <v>17</v>
      </c>
      <c r="K57" s="15" t="s">
        <v>18</v>
      </c>
      <c r="L57" s="9">
        <f>YEAR(E57)</f>
        <v>2022</v>
      </c>
      <c r="M57">
        <f t="shared" si="0"/>
        <v>1937354.4</v>
      </c>
    </row>
    <row r="58" spans="1:13" x14ac:dyDescent="0.15">
      <c r="A58" s="12"/>
      <c r="B58" s="13" t="s">
        <v>389</v>
      </c>
      <c r="C58" s="14" t="s">
        <v>14</v>
      </c>
      <c r="D58" s="15" t="s">
        <v>114</v>
      </c>
      <c r="E58" s="15" t="s">
        <v>81</v>
      </c>
      <c r="F58" s="16">
        <v>706</v>
      </c>
      <c r="G58" s="19">
        <v>47962.400000000001</v>
      </c>
      <c r="H58" s="17">
        <v>8161.97</v>
      </c>
      <c r="I58" s="19">
        <v>33861454.399999999</v>
      </c>
      <c r="J58" s="15" t="s">
        <v>22</v>
      </c>
      <c r="K58" s="15" t="s">
        <v>18</v>
      </c>
      <c r="L58" s="9">
        <f>YEAR(E58)</f>
        <v>2022</v>
      </c>
      <c r="M58">
        <f t="shared" si="0"/>
        <v>5762350.8200000003</v>
      </c>
    </row>
    <row r="59" spans="1:13" x14ac:dyDescent="0.15">
      <c r="A59" s="12"/>
      <c r="B59" s="13" t="s">
        <v>389</v>
      </c>
      <c r="C59" s="14" t="s">
        <v>19</v>
      </c>
      <c r="D59" s="15" t="s">
        <v>139</v>
      </c>
      <c r="E59" s="15" t="s">
        <v>409</v>
      </c>
      <c r="F59" s="16">
        <v>296</v>
      </c>
      <c r="G59" s="17">
        <v>10142.15</v>
      </c>
      <c r="H59" s="17">
        <v>6846.41</v>
      </c>
      <c r="I59" s="19">
        <v>3002076.4</v>
      </c>
      <c r="J59" s="15" t="s">
        <v>17</v>
      </c>
      <c r="K59" s="15" t="s">
        <v>18</v>
      </c>
      <c r="L59" s="9">
        <f>YEAR(E59)</f>
        <v>2022</v>
      </c>
      <c r="M59">
        <f t="shared" si="0"/>
        <v>2026537.3599999999</v>
      </c>
    </row>
    <row r="60" spans="1:13" x14ac:dyDescent="0.15">
      <c r="A60" s="12"/>
      <c r="B60" s="13" t="s">
        <v>389</v>
      </c>
      <c r="C60" s="14" t="s">
        <v>31</v>
      </c>
      <c r="D60" s="15" t="s">
        <v>139</v>
      </c>
      <c r="E60" s="15" t="s">
        <v>410</v>
      </c>
      <c r="F60" s="16">
        <v>606</v>
      </c>
      <c r="G60" s="17">
        <v>48515.519999999997</v>
      </c>
      <c r="H60" s="17">
        <v>6441.57</v>
      </c>
      <c r="I60" s="17">
        <v>29400405.120000001</v>
      </c>
      <c r="J60" s="15" t="s">
        <v>17</v>
      </c>
      <c r="K60" s="15" t="s">
        <v>18</v>
      </c>
      <c r="L60" s="9">
        <f>YEAR(E60)</f>
        <v>2022</v>
      </c>
      <c r="M60">
        <f t="shared" si="0"/>
        <v>3903591.42</v>
      </c>
    </row>
    <row r="61" spans="1:13" x14ac:dyDescent="0.15">
      <c r="A61" s="12"/>
      <c r="B61" s="13" t="s">
        <v>389</v>
      </c>
      <c r="C61" s="14" t="s">
        <v>38</v>
      </c>
      <c r="D61" s="15" t="s">
        <v>139</v>
      </c>
      <c r="E61" s="15" t="s">
        <v>412</v>
      </c>
      <c r="F61" s="16">
        <v>105</v>
      </c>
      <c r="G61" s="17">
        <v>47676.69</v>
      </c>
      <c r="H61" s="17">
        <v>6392.49</v>
      </c>
      <c r="I61" s="17">
        <v>5006052.45</v>
      </c>
      <c r="J61" s="15" t="s">
        <v>17</v>
      </c>
      <c r="K61" s="15" t="s">
        <v>18</v>
      </c>
      <c r="L61" s="9">
        <f>YEAR(E61)</f>
        <v>2022</v>
      </c>
      <c r="M61">
        <f t="shared" si="0"/>
        <v>671211.45</v>
      </c>
    </row>
    <row r="62" spans="1:13" x14ac:dyDescent="0.15">
      <c r="A62" s="12"/>
      <c r="B62" s="13" t="s">
        <v>389</v>
      </c>
      <c r="C62" s="14" t="s">
        <v>43</v>
      </c>
      <c r="D62" s="15" t="s">
        <v>114</v>
      </c>
      <c r="E62" s="15" t="s">
        <v>416</v>
      </c>
      <c r="F62" s="16">
        <v>306</v>
      </c>
      <c r="G62" s="17">
        <v>28489.69</v>
      </c>
      <c r="H62" s="17">
        <v>5983.88</v>
      </c>
      <c r="I62" s="17">
        <v>8717845.1400000006</v>
      </c>
      <c r="J62" s="15" t="s">
        <v>17</v>
      </c>
      <c r="K62" s="15" t="s">
        <v>18</v>
      </c>
      <c r="L62" s="9">
        <f>YEAR(E62)</f>
        <v>2022</v>
      </c>
      <c r="M62">
        <f t="shared" si="0"/>
        <v>1831067.28</v>
      </c>
    </row>
    <row r="63" spans="1:13" x14ac:dyDescent="0.15">
      <c r="A63" s="12"/>
      <c r="B63" s="13" t="s">
        <v>389</v>
      </c>
      <c r="C63" s="14" t="s">
        <v>38</v>
      </c>
      <c r="D63" s="15" t="s">
        <v>114</v>
      </c>
      <c r="E63" s="15" t="s">
        <v>276</v>
      </c>
      <c r="F63" s="16">
        <v>471</v>
      </c>
      <c r="G63" s="17">
        <v>11415.43</v>
      </c>
      <c r="H63" s="19">
        <v>8345.6</v>
      </c>
      <c r="I63" s="17">
        <v>5376667.5300000003</v>
      </c>
      <c r="J63" s="15" t="s">
        <v>17</v>
      </c>
      <c r="K63" s="15" t="s">
        <v>18</v>
      </c>
      <c r="L63" s="9">
        <f>YEAR(E63)</f>
        <v>2022</v>
      </c>
      <c r="M63">
        <f t="shared" si="0"/>
        <v>3930777.6000000001</v>
      </c>
    </row>
    <row r="64" spans="1:13" x14ac:dyDescent="0.15">
      <c r="A64" s="12"/>
      <c r="B64" s="13" t="s">
        <v>389</v>
      </c>
      <c r="C64" s="14" t="s">
        <v>14</v>
      </c>
      <c r="D64" s="15" t="s">
        <v>89</v>
      </c>
      <c r="E64" s="15" t="s">
        <v>420</v>
      </c>
      <c r="F64" s="16">
        <v>129</v>
      </c>
      <c r="G64" s="17">
        <v>18817.41</v>
      </c>
      <c r="H64" s="17">
        <v>4803.29</v>
      </c>
      <c r="I64" s="17">
        <v>2427445.89</v>
      </c>
      <c r="J64" s="15" t="s">
        <v>17</v>
      </c>
      <c r="K64" s="15" t="s">
        <v>18</v>
      </c>
      <c r="L64" s="9">
        <f>YEAR(E64)</f>
        <v>2022</v>
      </c>
      <c r="M64">
        <f t="shared" si="0"/>
        <v>619624.41</v>
      </c>
    </row>
    <row r="65" spans="1:13" x14ac:dyDescent="0.15">
      <c r="A65" s="12"/>
      <c r="B65" s="13" t="s">
        <v>389</v>
      </c>
      <c r="C65" s="14" t="s">
        <v>31</v>
      </c>
      <c r="D65" s="15" t="s">
        <v>89</v>
      </c>
      <c r="E65" s="15" t="s">
        <v>422</v>
      </c>
      <c r="F65" s="16">
        <v>787</v>
      </c>
      <c r="G65" s="17">
        <v>35424.54</v>
      </c>
      <c r="H65" s="19">
        <v>7667.6</v>
      </c>
      <c r="I65" s="17">
        <v>27879112.98</v>
      </c>
      <c r="J65" s="15" t="s">
        <v>17</v>
      </c>
      <c r="K65" s="15" t="s">
        <v>18</v>
      </c>
      <c r="L65" s="9">
        <f>YEAR(E65)</f>
        <v>2022</v>
      </c>
      <c r="M65">
        <f t="shared" si="0"/>
        <v>6034401.2000000002</v>
      </c>
    </row>
    <row r="66" spans="1:13" x14ac:dyDescent="0.15">
      <c r="A66" s="12"/>
      <c r="B66" s="13" t="s">
        <v>389</v>
      </c>
      <c r="C66" s="14" t="s">
        <v>23</v>
      </c>
      <c r="D66" s="15" t="s">
        <v>89</v>
      </c>
      <c r="E66" s="15" t="s">
        <v>425</v>
      </c>
      <c r="F66" s="16">
        <v>115</v>
      </c>
      <c r="G66" s="17">
        <v>37857.65</v>
      </c>
      <c r="H66" s="17">
        <v>2928.51</v>
      </c>
      <c r="I66" s="17">
        <v>4353629.75</v>
      </c>
      <c r="J66" s="15" t="s">
        <v>22</v>
      </c>
      <c r="K66" s="15" t="s">
        <v>18</v>
      </c>
      <c r="L66" s="9">
        <f>YEAR(E66)</f>
        <v>2022</v>
      </c>
      <c r="M66">
        <f t="shared" si="0"/>
        <v>336778.65</v>
      </c>
    </row>
    <row r="67" spans="1:13" x14ac:dyDescent="0.15">
      <c r="A67" s="12"/>
      <c r="B67" s="13" t="s">
        <v>389</v>
      </c>
      <c r="C67" s="14" t="s">
        <v>79</v>
      </c>
      <c r="D67" s="15" t="s">
        <v>89</v>
      </c>
      <c r="E67" s="15" t="s">
        <v>427</v>
      </c>
      <c r="F67" s="16">
        <v>329</v>
      </c>
      <c r="G67" s="17">
        <v>37602.339999999997</v>
      </c>
      <c r="H67" s="17">
        <v>5086.95</v>
      </c>
      <c r="I67" s="17">
        <v>12371169.859999999</v>
      </c>
      <c r="J67" s="15" t="s">
        <v>17</v>
      </c>
      <c r="K67" s="15" t="s">
        <v>18</v>
      </c>
      <c r="L67" s="9">
        <f>YEAR(E67)</f>
        <v>2022</v>
      </c>
      <c r="M67">
        <f t="shared" si="0"/>
        <v>1673606.55</v>
      </c>
    </row>
    <row r="68" spans="1:13" x14ac:dyDescent="0.15">
      <c r="A68" s="12"/>
      <c r="B68" s="13" t="s">
        <v>389</v>
      </c>
      <c r="C68" s="14" t="s">
        <v>25</v>
      </c>
      <c r="D68" s="15" t="s">
        <v>26</v>
      </c>
      <c r="E68" s="15" t="s">
        <v>249</v>
      </c>
      <c r="F68" s="16">
        <v>427</v>
      </c>
      <c r="G68" s="17">
        <v>18212.38</v>
      </c>
      <c r="H68" s="17">
        <v>3741.87</v>
      </c>
      <c r="I68" s="17">
        <v>7776686.2599999998</v>
      </c>
      <c r="J68" s="15" t="s">
        <v>17</v>
      </c>
      <c r="K68" s="15" t="s">
        <v>18</v>
      </c>
      <c r="L68" s="9">
        <f>YEAR(E68)</f>
        <v>2022</v>
      </c>
      <c r="M68">
        <f t="shared" ref="M68:M103" si="1">H68*F68</f>
        <v>1597778.49</v>
      </c>
    </row>
    <row r="69" spans="1:13" x14ac:dyDescent="0.15">
      <c r="A69" s="12"/>
      <c r="B69" s="13" t="s">
        <v>389</v>
      </c>
      <c r="C69" s="14" t="s">
        <v>35</v>
      </c>
      <c r="D69" s="15" t="s">
        <v>26</v>
      </c>
      <c r="E69" s="15" t="s">
        <v>434</v>
      </c>
      <c r="F69" s="16">
        <v>825</v>
      </c>
      <c r="G69" s="17">
        <v>42082.19</v>
      </c>
      <c r="H69" s="17">
        <v>5341.84</v>
      </c>
      <c r="I69" s="17">
        <v>34717806.75</v>
      </c>
      <c r="J69" s="15" t="s">
        <v>17</v>
      </c>
      <c r="K69" s="15" t="s">
        <v>18</v>
      </c>
      <c r="L69" s="9">
        <f>YEAR(E69)</f>
        <v>2022</v>
      </c>
      <c r="M69">
        <f t="shared" si="1"/>
        <v>4407018</v>
      </c>
    </row>
    <row r="70" spans="1:13" x14ac:dyDescent="0.15">
      <c r="A70" s="12"/>
      <c r="B70" s="13" t="s">
        <v>389</v>
      </c>
      <c r="C70" s="14" t="s">
        <v>57</v>
      </c>
      <c r="D70" s="15" t="s">
        <v>26</v>
      </c>
      <c r="E70" s="15" t="s">
        <v>435</v>
      </c>
      <c r="F70" s="16">
        <v>359</v>
      </c>
      <c r="G70" s="17">
        <v>39185.03</v>
      </c>
      <c r="H70" s="17">
        <v>5876.48</v>
      </c>
      <c r="I70" s="17">
        <v>14067425.77</v>
      </c>
      <c r="J70" s="15" t="s">
        <v>28</v>
      </c>
      <c r="K70" s="15" t="s">
        <v>18</v>
      </c>
      <c r="L70" s="9">
        <f>YEAR(E70)</f>
        <v>2022</v>
      </c>
      <c r="M70">
        <f t="shared" si="1"/>
        <v>2109656.3199999998</v>
      </c>
    </row>
    <row r="71" spans="1:13" x14ac:dyDescent="0.15">
      <c r="A71" s="12"/>
      <c r="B71" s="13" t="s">
        <v>389</v>
      </c>
      <c r="C71" s="14" t="s">
        <v>43</v>
      </c>
      <c r="D71" s="15" t="s">
        <v>153</v>
      </c>
      <c r="E71" s="15" t="s">
        <v>443</v>
      </c>
      <c r="F71" s="16">
        <v>899</v>
      </c>
      <c r="G71" s="17">
        <v>27430.43</v>
      </c>
      <c r="H71" s="17">
        <v>9404.06</v>
      </c>
      <c r="I71" s="17">
        <v>24659956.57</v>
      </c>
      <c r="J71" s="15" t="s">
        <v>30</v>
      </c>
      <c r="K71" s="15" t="s">
        <v>18</v>
      </c>
      <c r="L71" s="9">
        <f>YEAR(E71)</f>
        <v>2022</v>
      </c>
      <c r="M71">
        <f t="shared" si="1"/>
        <v>8454249.9399999995</v>
      </c>
    </row>
    <row r="72" spans="1:13" x14ac:dyDescent="0.15">
      <c r="A72" s="12"/>
      <c r="B72" s="13" t="s">
        <v>389</v>
      </c>
      <c r="C72" s="14" t="s">
        <v>14</v>
      </c>
      <c r="D72" s="15" t="s">
        <v>70</v>
      </c>
      <c r="E72" s="15" t="s">
        <v>248</v>
      </c>
      <c r="F72" s="16">
        <v>556</v>
      </c>
      <c r="G72" s="19">
        <v>46687.6</v>
      </c>
      <c r="H72" s="17">
        <v>6872.49</v>
      </c>
      <c r="I72" s="19">
        <v>25958305.600000001</v>
      </c>
      <c r="J72" s="15" t="s">
        <v>17</v>
      </c>
      <c r="K72" s="15" t="s">
        <v>18</v>
      </c>
      <c r="L72" s="9">
        <f>YEAR(E72)</f>
        <v>2022</v>
      </c>
      <c r="M72">
        <f t="shared" si="1"/>
        <v>3821104.44</v>
      </c>
    </row>
    <row r="73" spans="1:13" x14ac:dyDescent="0.15">
      <c r="A73" s="12"/>
      <c r="B73" s="13" t="s">
        <v>389</v>
      </c>
      <c r="C73" s="14" t="s">
        <v>25</v>
      </c>
      <c r="D73" s="15" t="s">
        <v>70</v>
      </c>
      <c r="E73" s="15" t="s">
        <v>450</v>
      </c>
      <c r="F73" s="16">
        <v>710</v>
      </c>
      <c r="G73" s="17">
        <v>30593.52</v>
      </c>
      <c r="H73" s="17">
        <v>8558.98</v>
      </c>
      <c r="I73" s="19">
        <v>21721399.199999999</v>
      </c>
      <c r="J73" s="15" t="s">
        <v>17</v>
      </c>
      <c r="K73" s="15" t="s">
        <v>18</v>
      </c>
      <c r="L73" s="9">
        <f>YEAR(E73)</f>
        <v>2022</v>
      </c>
      <c r="M73">
        <f t="shared" si="1"/>
        <v>6076875.7999999998</v>
      </c>
    </row>
    <row r="74" spans="1:13" x14ac:dyDescent="0.15">
      <c r="A74" s="12"/>
      <c r="B74" s="13" t="s">
        <v>389</v>
      </c>
      <c r="C74" s="14" t="s">
        <v>38</v>
      </c>
      <c r="D74" s="15" t="s">
        <v>70</v>
      </c>
      <c r="E74" s="15" t="s">
        <v>451</v>
      </c>
      <c r="F74" s="16">
        <v>331</v>
      </c>
      <c r="G74" s="17">
        <v>27941.06</v>
      </c>
      <c r="H74" s="17">
        <v>2011.49</v>
      </c>
      <c r="I74" s="17">
        <v>9248490.8599999994</v>
      </c>
      <c r="J74" s="15" t="s">
        <v>22</v>
      </c>
      <c r="K74" s="15" t="s">
        <v>18</v>
      </c>
      <c r="L74" s="9">
        <f>YEAR(E74)</f>
        <v>2022</v>
      </c>
      <c r="M74">
        <f t="shared" si="1"/>
        <v>665803.19000000006</v>
      </c>
    </row>
    <row r="75" spans="1:13" x14ac:dyDescent="0.15">
      <c r="A75" s="12"/>
      <c r="B75" s="13" t="s">
        <v>389</v>
      </c>
      <c r="C75" s="14" t="s">
        <v>43</v>
      </c>
      <c r="D75" s="15" t="s">
        <v>70</v>
      </c>
      <c r="E75" s="15" t="s">
        <v>228</v>
      </c>
      <c r="F75" s="16">
        <v>173</v>
      </c>
      <c r="G75" s="17">
        <v>14946.11</v>
      </c>
      <c r="H75" s="17">
        <v>3265.19</v>
      </c>
      <c r="I75" s="17">
        <v>2585677.0299999998</v>
      </c>
      <c r="J75" s="15" t="s">
        <v>17</v>
      </c>
      <c r="K75" s="15" t="s">
        <v>18</v>
      </c>
      <c r="L75" s="9">
        <f>YEAR(E75)</f>
        <v>2022</v>
      </c>
      <c r="M75">
        <f t="shared" si="1"/>
        <v>564877.87</v>
      </c>
    </row>
    <row r="76" spans="1:13" x14ac:dyDescent="0.15">
      <c r="A76" s="12"/>
      <c r="B76" s="13" t="s">
        <v>389</v>
      </c>
      <c r="C76" s="14" t="s">
        <v>57</v>
      </c>
      <c r="D76" s="15" t="s">
        <v>70</v>
      </c>
      <c r="E76" s="15" t="s">
        <v>452</v>
      </c>
      <c r="F76" s="16">
        <v>115</v>
      </c>
      <c r="G76" s="17">
        <v>20772.650000000001</v>
      </c>
      <c r="H76" s="17">
        <v>2751.58</v>
      </c>
      <c r="I76" s="17">
        <v>2388854.75</v>
      </c>
      <c r="J76" s="15" t="s">
        <v>22</v>
      </c>
      <c r="K76" s="15" t="s">
        <v>18</v>
      </c>
      <c r="L76" s="9">
        <f>YEAR(E76)</f>
        <v>2022</v>
      </c>
      <c r="M76">
        <f t="shared" si="1"/>
        <v>316431.7</v>
      </c>
    </row>
    <row r="77" spans="1:13" x14ac:dyDescent="0.15">
      <c r="A77" s="12"/>
      <c r="B77" s="13" t="s">
        <v>389</v>
      </c>
      <c r="C77" s="14" t="s">
        <v>19</v>
      </c>
      <c r="D77" s="15" t="s">
        <v>70</v>
      </c>
      <c r="E77" s="15" t="s">
        <v>306</v>
      </c>
      <c r="F77" s="16">
        <v>313</v>
      </c>
      <c r="G77" s="17">
        <v>21553.66</v>
      </c>
      <c r="H77" s="17">
        <v>7531.22</v>
      </c>
      <c r="I77" s="17">
        <v>6746295.5800000001</v>
      </c>
      <c r="J77" s="15" t="s">
        <v>28</v>
      </c>
      <c r="K77" s="15" t="s">
        <v>18</v>
      </c>
      <c r="L77" s="9">
        <f>YEAR(E77)</f>
        <v>2022</v>
      </c>
      <c r="M77">
        <f t="shared" si="1"/>
        <v>2357271.86</v>
      </c>
    </row>
    <row r="78" spans="1:13" x14ac:dyDescent="0.15">
      <c r="A78" s="12"/>
      <c r="B78" s="13" t="s">
        <v>389</v>
      </c>
      <c r="C78" s="14" t="s">
        <v>19</v>
      </c>
      <c r="D78" s="15" t="s">
        <v>53</v>
      </c>
      <c r="E78" s="15" t="s">
        <v>458</v>
      </c>
      <c r="F78" s="16">
        <v>196</v>
      </c>
      <c r="G78" s="17">
        <v>31132.11</v>
      </c>
      <c r="H78" s="17">
        <v>5678.06</v>
      </c>
      <c r="I78" s="17">
        <v>6101893.5599999996</v>
      </c>
      <c r="J78" s="15" t="s">
        <v>17</v>
      </c>
      <c r="K78" s="15" t="s">
        <v>18</v>
      </c>
      <c r="L78" s="9">
        <f>YEAR(E78)</f>
        <v>2022</v>
      </c>
      <c r="M78">
        <f t="shared" si="1"/>
        <v>1112899.76</v>
      </c>
    </row>
    <row r="79" spans="1:13" x14ac:dyDescent="0.15">
      <c r="A79" s="12"/>
      <c r="B79" s="13" t="s">
        <v>389</v>
      </c>
      <c r="C79" s="14" t="s">
        <v>23</v>
      </c>
      <c r="D79" s="15" t="s">
        <v>53</v>
      </c>
      <c r="E79" s="15" t="s">
        <v>113</v>
      </c>
      <c r="F79" s="16">
        <v>315</v>
      </c>
      <c r="G79" s="17">
        <v>30068.36</v>
      </c>
      <c r="H79" s="17">
        <v>5296.72</v>
      </c>
      <c r="I79" s="19">
        <v>9471533.4000000004</v>
      </c>
      <c r="J79" s="15" t="s">
        <v>17</v>
      </c>
      <c r="K79" s="15" t="s">
        <v>18</v>
      </c>
      <c r="L79" s="9">
        <f>YEAR(E79)</f>
        <v>2022</v>
      </c>
      <c r="M79">
        <f t="shared" si="1"/>
        <v>1668466.8</v>
      </c>
    </row>
    <row r="80" spans="1:13" x14ac:dyDescent="0.15">
      <c r="A80" s="30" t="s">
        <v>389</v>
      </c>
      <c r="B80" s="13" t="s">
        <v>389</v>
      </c>
      <c r="C80" s="14" t="s">
        <v>79</v>
      </c>
      <c r="D80" s="15" t="s">
        <v>107</v>
      </c>
      <c r="E80" s="15" t="s">
        <v>390</v>
      </c>
      <c r="F80" s="16">
        <v>435</v>
      </c>
      <c r="G80" s="17">
        <v>41081.230000000003</v>
      </c>
      <c r="H80" s="17">
        <v>5890.73</v>
      </c>
      <c r="I80" s="17">
        <v>17870335.050000001</v>
      </c>
      <c r="J80" s="15" t="s">
        <v>17</v>
      </c>
      <c r="K80" s="15" t="s">
        <v>18</v>
      </c>
      <c r="L80" s="9">
        <f>YEAR(E80)</f>
        <v>2023</v>
      </c>
      <c r="M80">
        <f t="shared" si="1"/>
        <v>2562467.5499999998</v>
      </c>
    </row>
    <row r="81" spans="1:13" x14ac:dyDescent="0.15">
      <c r="A81" s="12"/>
      <c r="B81" s="13" t="s">
        <v>389</v>
      </c>
      <c r="C81" s="14" t="s">
        <v>38</v>
      </c>
      <c r="D81" s="15" t="s">
        <v>107</v>
      </c>
      <c r="E81" s="15" t="s">
        <v>393</v>
      </c>
      <c r="F81" s="16">
        <v>198</v>
      </c>
      <c r="G81" s="17">
        <v>31390.01</v>
      </c>
      <c r="H81" s="17">
        <v>5406.99</v>
      </c>
      <c r="I81" s="17">
        <v>6215221.9800000004</v>
      </c>
      <c r="J81" s="15" t="s">
        <v>22</v>
      </c>
      <c r="K81" s="15" t="s">
        <v>18</v>
      </c>
      <c r="L81" s="9">
        <f>YEAR(E81)</f>
        <v>2023</v>
      </c>
      <c r="M81">
        <f t="shared" si="1"/>
        <v>1070584.02</v>
      </c>
    </row>
    <row r="82" spans="1:13" x14ac:dyDescent="0.15">
      <c r="A82" s="12"/>
      <c r="B82" s="13" t="s">
        <v>389</v>
      </c>
      <c r="C82" s="14" t="s">
        <v>43</v>
      </c>
      <c r="D82" s="15" t="s">
        <v>107</v>
      </c>
      <c r="E82" s="15" t="s">
        <v>132</v>
      </c>
      <c r="F82" s="16">
        <v>684</v>
      </c>
      <c r="G82" s="17">
        <v>32847.980000000003</v>
      </c>
      <c r="H82" s="16">
        <v>4767</v>
      </c>
      <c r="I82" s="17">
        <v>22468018.32</v>
      </c>
      <c r="J82" s="15" t="s">
        <v>22</v>
      </c>
      <c r="K82" s="15" t="s">
        <v>18</v>
      </c>
      <c r="L82" s="9">
        <f>YEAR(E82)</f>
        <v>2023</v>
      </c>
      <c r="M82">
        <f t="shared" si="1"/>
        <v>3260628</v>
      </c>
    </row>
    <row r="83" spans="1:13" x14ac:dyDescent="0.15">
      <c r="A83" s="12"/>
      <c r="B83" s="13" t="s">
        <v>389</v>
      </c>
      <c r="C83" s="14" t="s">
        <v>31</v>
      </c>
      <c r="D83" s="15" t="s">
        <v>15</v>
      </c>
      <c r="E83" s="15" t="s">
        <v>403</v>
      </c>
      <c r="F83" s="16">
        <v>996</v>
      </c>
      <c r="G83" s="17">
        <v>17208.419999999998</v>
      </c>
      <c r="H83" s="17">
        <v>6502.15</v>
      </c>
      <c r="I83" s="17">
        <v>17139586.32</v>
      </c>
      <c r="J83" s="15" t="s">
        <v>17</v>
      </c>
      <c r="K83" s="15" t="s">
        <v>18</v>
      </c>
      <c r="L83" s="9">
        <f>YEAR(E83)</f>
        <v>2023</v>
      </c>
      <c r="M83">
        <f t="shared" si="1"/>
        <v>6476141.3999999994</v>
      </c>
    </row>
    <row r="84" spans="1:13" x14ac:dyDescent="0.15">
      <c r="A84" s="12"/>
      <c r="B84" s="13" t="s">
        <v>389</v>
      </c>
      <c r="C84" s="14" t="s">
        <v>19</v>
      </c>
      <c r="D84" s="15" t="s">
        <v>15</v>
      </c>
      <c r="E84" s="15" t="s">
        <v>404</v>
      </c>
      <c r="F84" s="16">
        <v>511</v>
      </c>
      <c r="G84" s="17">
        <v>25221.34</v>
      </c>
      <c r="H84" s="17">
        <v>4876.26</v>
      </c>
      <c r="I84" s="17">
        <v>12888104.74</v>
      </c>
      <c r="J84" s="15" t="s">
        <v>17</v>
      </c>
      <c r="K84" s="15" t="s">
        <v>18</v>
      </c>
      <c r="L84" s="9">
        <f>YEAR(E84)</f>
        <v>2023</v>
      </c>
      <c r="M84">
        <f t="shared" si="1"/>
        <v>2491768.8600000003</v>
      </c>
    </row>
    <row r="85" spans="1:13" x14ac:dyDescent="0.15">
      <c r="A85" s="12"/>
      <c r="B85" s="13" t="s">
        <v>389</v>
      </c>
      <c r="C85" s="14" t="s">
        <v>79</v>
      </c>
      <c r="D85" s="15" t="s">
        <v>139</v>
      </c>
      <c r="E85" s="15" t="s">
        <v>371</v>
      </c>
      <c r="F85" s="16">
        <v>589</v>
      </c>
      <c r="G85" s="17">
        <v>38608.54</v>
      </c>
      <c r="H85" s="17">
        <v>2144.4699999999998</v>
      </c>
      <c r="I85" s="17">
        <v>22740430.059999999</v>
      </c>
      <c r="J85" s="15" t="s">
        <v>17</v>
      </c>
      <c r="K85" s="15" t="s">
        <v>18</v>
      </c>
      <c r="L85" s="9">
        <f>YEAR(E85)</f>
        <v>2023</v>
      </c>
      <c r="M85">
        <f t="shared" si="1"/>
        <v>1263092.8299999998</v>
      </c>
    </row>
    <row r="86" spans="1:13" x14ac:dyDescent="0.15">
      <c r="A86" s="12"/>
      <c r="B86" s="13" t="s">
        <v>389</v>
      </c>
      <c r="C86" s="14" t="s">
        <v>31</v>
      </c>
      <c r="D86" s="15" t="s">
        <v>114</v>
      </c>
      <c r="E86" s="15" t="s">
        <v>414</v>
      </c>
      <c r="F86" s="16">
        <v>391</v>
      </c>
      <c r="G86" s="19">
        <v>40770.5</v>
      </c>
      <c r="H86" s="17">
        <v>4126.1400000000003</v>
      </c>
      <c r="I86" s="19">
        <v>15941265.5</v>
      </c>
      <c r="J86" s="15" t="s">
        <v>22</v>
      </c>
      <c r="K86" s="15" t="s">
        <v>18</v>
      </c>
      <c r="L86" s="9">
        <f>YEAR(E86)</f>
        <v>2023</v>
      </c>
      <c r="M86">
        <f t="shared" si="1"/>
        <v>1613320.7400000002</v>
      </c>
    </row>
    <row r="87" spans="1:13" x14ac:dyDescent="0.15">
      <c r="A87" s="12"/>
      <c r="B87" s="13" t="s">
        <v>389</v>
      </c>
      <c r="C87" s="14" t="s">
        <v>79</v>
      </c>
      <c r="D87" s="15" t="s">
        <v>114</v>
      </c>
      <c r="E87" s="15" t="s">
        <v>418</v>
      </c>
      <c r="F87" s="16">
        <v>315</v>
      </c>
      <c r="G87" s="17">
        <v>48540.47</v>
      </c>
      <c r="H87" s="17">
        <v>2187.98</v>
      </c>
      <c r="I87" s="17">
        <v>15290248.050000001</v>
      </c>
      <c r="J87" s="15" t="s">
        <v>17</v>
      </c>
      <c r="K87" s="15" t="s">
        <v>18</v>
      </c>
      <c r="L87" s="9">
        <f>YEAR(E87)</f>
        <v>2023</v>
      </c>
      <c r="M87">
        <f t="shared" si="1"/>
        <v>689213.7</v>
      </c>
    </row>
    <row r="88" spans="1:13" x14ac:dyDescent="0.15">
      <c r="A88" s="12"/>
      <c r="B88" s="13" t="s">
        <v>389</v>
      </c>
      <c r="C88" s="14" t="s">
        <v>23</v>
      </c>
      <c r="D88" s="15" t="s">
        <v>89</v>
      </c>
      <c r="E88" s="15" t="s">
        <v>419</v>
      </c>
      <c r="F88" s="16">
        <v>345</v>
      </c>
      <c r="G88" s="17">
        <v>40531.919999999998</v>
      </c>
      <c r="H88" s="17">
        <v>8482.65</v>
      </c>
      <c r="I88" s="19">
        <v>13983512.4</v>
      </c>
      <c r="J88" s="15" t="s">
        <v>17</v>
      </c>
      <c r="K88" s="15" t="s">
        <v>18</v>
      </c>
      <c r="L88" s="9">
        <f>YEAR(E88)</f>
        <v>2023</v>
      </c>
      <c r="M88">
        <f t="shared" si="1"/>
        <v>2926514.25</v>
      </c>
    </row>
    <row r="89" spans="1:13" x14ac:dyDescent="0.15">
      <c r="A89" s="12"/>
      <c r="B89" s="13" t="s">
        <v>389</v>
      </c>
      <c r="C89" s="14" t="s">
        <v>35</v>
      </c>
      <c r="D89" s="15" t="s">
        <v>26</v>
      </c>
      <c r="E89" s="15" t="s">
        <v>429</v>
      </c>
      <c r="F89" s="16">
        <v>912</v>
      </c>
      <c r="G89" s="17">
        <v>36518.14</v>
      </c>
      <c r="H89" s="17">
        <v>7764.13</v>
      </c>
      <c r="I89" s="17">
        <v>33304543.68</v>
      </c>
      <c r="J89" s="15" t="s">
        <v>17</v>
      </c>
      <c r="K89" s="15" t="s">
        <v>18</v>
      </c>
      <c r="L89" s="9">
        <f>YEAR(E89)</f>
        <v>2023</v>
      </c>
      <c r="M89">
        <f t="shared" si="1"/>
        <v>7080886.5600000005</v>
      </c>
    </row>
    <row r="90" spans="1:13" x14ac:dyDescent="0.15">
      <c r="A90" s="12"/>
      <c r="B90" s="13" t="s">
        <v>389</v>
      </c>
      <c r="C90" s="14" t="s">
        <v>31</v>
      </c>
      <c r="D90" s="15" t="s">
        <v>26</v>
      </c>
      <c r="E90" s="15" t="s">
        <v>431</v>
      </c>
      <c r="F90" s="16">
        <v>671</v>
      </c>
      <c r="G90" s="17">
        <v>47059.63</v>
      </c>
      <c r="H90" s="17">
        <v>2744.68</v>
      </c>
      <c r="I90" s="17">
        <v>31577011.73</v>
      </c>
      <c r="J90" s="15" t="s">
        <v>22</v>
      </c>
      <c r="K90" s="15" t="s">
        <v>18</v>
      </c>
      <c r="L90" s="9">
        <f>YEAR(E90)</f>
        <v>2023</v>
      </c>
      <c r="M90">
        <f t="shared" si="1"/>
        <v>1841680.2799999998</v>
      </c>
    </row>
    <row r="91" spans="1:13" x14ac:dyDescent="0.15">
      <c r="A91" s="12"/>
      <c r="B91" s="13" t="s">
        <v>389</v>
      </c>
      <c r="C91" s="14" t="s">
        <v>25</v>
      </c>
      <c r="D91" s="15" t="s">
        <v>26</v>
      </c>
      <c r="E91" s="15" t="s">
        <v>433</v>
      </c>
      <c r="F91" s="16">
        <v>181</v>
      </c>
      <c r="G91" s="17">
        <v>24434.41</v>
      </c>
      <c r="H91" s="17">
        <v>5026.9799999999996</v>
      </c>
      <c r="I91" s="17">
        <v>4422628.21</v>
      </c>
      <c r="J91" s="15" t="s">
        <v>28</v>
      </c>
      <c r="K91" s="15" t="s">
        <v>18</v>
      </c>
      <c r="L91" s="9">
        <f>YEAR(E91)</f>
        <v>2023</v>
      </c>
      <c r="M91">
        <f t="shared" si="1"/>
        <v>909883.37999999989</v>
      </c>
    </row>
    <row r="92" spans="1:13" x14ac:dyDescent="0.15">
      <c r="A92" s="12"/>
      <c r="B92" s="13" t="s">
        <v>389</v>
      </c>
      <c r="C92" s="14" t="s">
        <v>25</v>
      </c>
      <c r="D92" s="15" t="s">
        <v>153</v>
      </c>
      <c r="E92" s="15" t="s">
        <v>436</v>
      </c>
      <c r="F92" s="16">
        <v>931</v>
      </c>
      <c r="G92" s="17">
        <v>44314.68</v>
      </c>
      <c r="H92" s="17">
        <v>7504.88</v>
      </c>
      <c r="I92" s="17">
        <v>41256967.079999998</v>
      </c>
      <c r="J92" s="15" t="s">
        <v>17</v>
      </c>
      <c r="K92" s="15" t="s">
        <v>18</v>
      </c>
      <c r="L92" s="9">
        <f>YEAR(E92)</f>
        <v>2023</v>
      </c>
      <c r="M92">
        <f t="shared" si="1"/>
        <v>6987043.2800000003</v>
      </c>
    </row>
    <row r="93" spans="1:13" x14ac:dyDescent="0.15">
      <c r="A93" s="12"/>
      <c r="B93" s="13" t="s">
        <v>389</v>
      </c>
      <c r="C93" s="14" t="s">
        <v>31</v>
      </c>
      <c r="D93" s="15" t="s">
        <v>153</v>
      </c>
      <c r="E93" s="15" t="s">
        <v>437</v>
      </c>
      <c r="F93" s="16">
        <v>967</v>
      </c>
      <c r="G93" s="17">
        <v>40625.11</v>
      </c>
      <c r="H93" s="17">
        <v>2102.62</v>
      </c>
      <c r="I93" s="17">
        <v>39284481.369999997</v>
      </c>
      <c r="J93" s="15" t="s">
        <v>22</v>
      </c>
      <c r="K93" s="15" t="s">
        <v>18</v>
      </c>
      <c r="L93" s="9">
        <f>YEAR(E93)</f>
        <v>2023</v>
      </c>
      <c r="M93">
        <f t="shared" si="1"/>
        <v>2033233.5399999998</v>
      </c>
    </row>
    <row r="94" spans="1:13" x14ac:dyDescent="0.15">
      <c r="A94" s="12"/>
      <c r="B94" s="13" t="s">
        <v>389</v>
      </c>
      <c r="C94" s="14" t="s">
        <v>19</v>
      </c>
      <c r="D94" s="15" t="s">
        <v>153</v>
      </c>
      <c r="E94" s="15" t="s">
        <v>439</v>
      </c>
      <c r="F94" s="16">
        <v>475</v>
      </c>
      <c r="G94" s="17">
        <v>12470.79</v>
      </c>
      <c r="H94" s="17">
        <v>4281.38</v>
      </c>
      <c r="I94" s="17">
        <v>5923625.25</v>
      </c>
      <c r="J94" s="15" t="s">
        <v>17</v>
      </c>
      <c r="K94" s="15" t="s">
        <v>18</v>
      </c>
      <c r="L94" s="9">
        <f>YEAR(E94)</f>
        <v>2023</v>
      </c>
      <c r="M94">
        <f t="shared" si="1"/>
        <v>2033655.5</v>
      </c>
    </row>
    <row r="95" spans="1:13" x14ac:dyDescent="0.15">
      <c r="A95" s="12"/>
      <c r="B95" s="13" t="s">
        <v>389</v>
      </c>
      <c r="C95" s="14" t="s">
        <v>57</v>
      </c>
      <c r="D95" s="15" t="s">
        <v>153</v>
      </c>
      <c r="E95" s="15" t="s">
        <v>144</v>
      </c>
      <c r="F95" s="16">
        <v>378</v>
      </c>
      <c r="G95" s="17">
        <v>12746.62</v>
      </c>
      <c r="H95" s="17">
        <v>6086.46</v>
      </c>
      <c r="I95" s="17">
        <v>4818222.3600000003</v>
      </c>
      <c r="J95" s="15" t="s">
        <v>17</v>
      </c>
      <c r="K95" s="15" t="s">
        <v>18</v>
      </c>
      <c r="L95" s="9">
        <f>YEAR(E95)</f>
        <v>2023</v>
      </c>
      <c r="M95">
        <f t="shared" si="1"/>
        <v>2300681.88</v>
      </c>
    </row>
    <row r="96" spans="1:13" x14ac:dyDescent="0.15">
      <c r="A96" s="12"/>
      <c r="B96" s="13" t="s">
        <v>389</v>
      </c>
      <c r="C96" s="14" t="s">
        <v>35</v>
      </c>
      <c r="D96" s="15" t="s">
        <v>68</v>
      </c>
      <c r="E96" s="15" t="s">
        <v>446</v>
      </c>
      <c r="F96" s="16">
        <v>347</v>
      </c>
      <c r="G96" s="17">
        <v>17266.349999999999</v>
      </c>
      <c r="H96" s="17">
        <v>8076.81</v>
      </c>
      <c r="I96" s="17">
        <v>5991423.4500000002</v>
      </c>
      <c r="J96" s="15" t="s">
        <v>30</v>
      </c>
      <c r="K96" s="15" t="s">
        <v>18</v>
      </c>
      <c r="L96" s="9">
        <f>YEAR(E96)</f>
        <v>2023</v>
      </c>
      <c r="M96">
        <f t="shared" si="1"/>
        <v>2802653.0700000003</v>
      </c>
    </row>
    <row r="97" spans="1:13" x14ac:dyDescent="0.15">
      <c r="A97" s="12"/>
      <c r="B97" s="13" t="s">
        <v>389</v>
      </c>
      <c r="C97" s="14" t="s">
        <v>35</v>
      </c>
      <c r="D97" s="15" t="s">
        <v>68</v>
      </c>
      <c r="E97" s="15" t="s">
        <v>448</v>
      </c>
      <c r="F97" s="16">
        <v>891</v>
      </c>
      <c r="G97" s="17">
        <v>35087.339999999997</v>
      </c>
      <c r="H97" s="17">
        <v>5489.92</v>
      </c>
      <c r="I97" s="17">
        <v>31262819.940000001</v>
      </c>
      <c r="J97" s="15" t="s">
        <v>17</v>
      </c>
      <c r="K97" s="15" t="s">
        <v>18</v>
      </c>
      <c r="L97" s="9">
        <f>YEAR(E97)</f>
        <v>2023</v>
      </c>
      <c r="M97">
        <f t="shared" si="1"/>
        <v>4891518.72</v>
      </c>
    </row>
    <row r="98" spans="1:13" x14ac:dyDescent="0.15">
      <c r="A98" s="12"/>
      <c r="B98" s="13" t="s">
        <v>389</v>
      </c>
      <c r="C98" s="14" t="s">
        <v>31</v>
      </c>
      <c r="D98" s="15" t="s">
        <v>70</v>
      </c>
      <c r="E98" s="15" t="s">
        <v>61</v>
      </c>
      <c r="F98" s="16">
        <v>699</v>
      </c>
      <c r="G98" s="17">
        <v>26065.73</v>
      </c>
      <c r="H98" s="17">
        <v>7877.61</v>
      </c>
      <c r="I98" s="17">
        <v>18219945.27</v>
      </c>
      <c r="J98" s="15" t="s">
        <v>17</v>
      </c>
      <c r="K98" s="15" t="s">
        <v>18</v>
      </c>
      <c r="L98" s="9">
        <f>YEAR(E98)</f>
        <v>2023</v>
      </c>
      <c r="M98">
        <f t="shared" si="1"/>
        <v>5506449.3899999997</v>
      </c>
    </row>
    <row r="99" spans="1:13" x14ac:dyDescent="0.15">
      <c r="A99" s="12"/>
      <c r="B99" s="13" t="s">
        <v>389</v>
      </c>
      <c r="C99" s="14" t="s">
        <v>43</v>
      </c>
      <c r="D99" s="15" t="s">
        <v>53</v>
      </c>
      <c r="E99" s="15" t="s">
        <v>456</v>
      </c>
      <c r="F99" s="16">
        <v>457</v>
      </c>
      <c r="G99" s="17">
        <v>16150.42</v>
      </c>
      <c r="H99" s="17">
        <v>9986.08</v>
      </c>
      <c r="I99" s="17">
        <v>7380741.9400000004</v>
      </c>
      <c r="J99" s="15" t="s">
        <v>30</v>
      </c>
      <c r="K99" s="15" t="s">
        <v>18</v>
      </c>
      <c r="L99" s="9">
        <f>YEAR(E99)</f>
        <v>2023</v>
      </c>
      <c r="M99">
        <f t="shared" si="1"/>
        <v>4563638.5599999996</v>
      </c>
    </row>
    <row r="100" spans="1:13" x14ac:dyDescent="0.15">
      <c r="A100" s="12"/>
      <c r="B100" s="13" t="s">
        <v>389</v>
      </c>
      <c r="C100" s="14" t="s">
        <v>38</v>
      </c>
      <c r="D100" s="15" t="s">
        <v>53</v>
      </c>
      <c r="E100" s="15" t="s">
        <v>457</v>
      </c>
      <c r="F100" s="16">
        <v>794</v>
      </c>
      <c r="G100" s="17">
        <v>22692.69</v>
      </c>
      <c r="H100" s="17">
        <v>4559.66</v>
      </c>
      <c r="I100" s="17">
        <v>18017995.859999999</v>
      </c>
      <c r="J100" s="15" t="s">
        <v>17</v>
      </c>
      <c r="K100" s="15" t="s">
        <v>18</v>
      </c>
      <c r="L100" s="9">
        <f>YEAR(E100)</f>
        <v>2023</v>
      </c>
      <c r="M100">
        <f t="shared" si="1"/>
        <v>3620370.04</v>
      </c>
    </row>
    <row r="101" spans="1:13" x14ac:dyDescent="0.15">
      <c r="A101" s="12"/>
      <c r="B101" s="13" t="s">
        <v>389</v>
      </c>
      <c r="C101" s="14" t="s">
        <v>57</v>
      </c>
      <c r="D101" s="15" t="s">
        <v>53</v>
      </c>
      <c r="E101" s="15" t="s">
        <v>169</v>
      </c>
      <c r="F101" s="16">
        <v>132</v>
      </c>
      <c r="G101" s="19">
        <v>19176.7</v>
      </c>
      <c r="H101" s="17">
        <v>2330.1799999999998</v>
      </c>
      <c r="I101" s="19">
        <v>2531324.4</v>
      </c>
      <c r="J101" s="15" t="s">
        <v>17</v>
      </c>
      <c r="K101" s="15" t="s">
        <v>18</v>
      </c>
      <c r="L101" s="9">
        <f>YEAR(E101)</f>
        <v>2023</v>
      </c>
      <c r="M101">
        <f t="shared" si="1"/>
        <v>307583.75999999995</v>
      </c>
    </row>
    <row r="102" spans="1:13" x14ac:dyDescent="0.15">
      <c r="A102" s="12"/>
      <c r="B102" s="13" t="s">
        <v>389</v>
      </c>
      <c r="C102" s="14" t="s">
        <v>14</v>
      </c>
      <c r="D102" s="15" t="s">
        <v>53</v>
      </c>
      <c r="E102" s="15" t="s">
        <v>459</v>
      </c>
      <c r="F102" s="16">
        <v>559</v>
      </c>
      <c r="G102" s="17">
        <v>30415.41</v>
      </c>
      <c r="H102" s="19">
        <v>2103.4</v>
      </c>
      <c r="I102" s="17">
        <v>17002214.190000001</v>
      </c>
      <c r="J102" s="15" t="s">
        <v>17</v>
      </c>
      <c r="K102" s="15" t="s">
        <v>18</v>
      </c>
      <c r="L102" s="9">
        <f>YEAR(E102)</f>
        <v>2023</v>
      </c>
      <c r="M102">
        <f t="shared" si="1"/>
        <v>1175800.6000000001</v>
      </c>
    </row>
    <row r="103" spans="1:13" ht="14" thickBot="1" x14ac:dyDescent="0.2">
      <c r="A103" s="12"/>
      <c r="B103" s="21" t="s">
        <v>389</v>
      </c>
      <c r="C103" s="22" t="s">
        <v>14</v>
      </c>
      <c r="D103" s="23" t="s">
        <v>53</v>
      </c>
      <c r="E103" s="23" t="s">
        <v>460</v>
      </c>
      <c r="F103" s="24">
        <v>877</v>
      </c>
      <c r="G103" s="25">
        <v>30508.22</v>
      </c>
      <c r="H103" s="25">
        <v>7705.96</v>
      </c>
      <c r="I103" s="25">
        <v>26755708.940000001</v>
      </c>
      <c r="J103" s="23" t="s">
        <v>17</v>
      </c>
      <c r="K103" s="23" t="s">
        <v>18</v>
      </c>
      <c r="L103" s="9">
        <f>YEAR(E103)</f>
        <v>2023</v>
      </c>
      <c r="M103">
        <f t="shared" si="1"/>
        <v>6758126.9199999999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77FF42-90B5-584F-B364-CACA073C31ED}">
  <dimension ref="A2:U124"/>
  <sheetViews>
    <sheetView workbookViewId="0">
      <selection activeCell="P59" sqref="P59"/>
    </sheetView>
  </sheetViews>
  <sheetFormatPr baseColWidth="10" defaultRowHeight="13" x14ac:dyDescent="0.15"/>
  <cols>
    <col min="9" max="9" width="11.6640625" bestFit="1" customWidth="1"/>
    <col min="16" max="16" width="12.5" customWidth="1"/>
    <col min="17" max="17" width="9.1640625" customWidth="1"/>
    <col min="18" max="18" width="10.6640625" bestFit="1" customWidth="1"/>
    <col min="19" max="20" width="11.6640625" bestFit="1" customWidth="1"/>
  </cols>
  <sheetData>
    <row r="2" spans="1:20" ht="15" thickBot="1" x14ac:dyDescent="0.2">
      <c r="A2" s="70" t="s">
        <v>551</v>
      </c>
      <c r="B2" s="68" t="s">
        <v>2</v>
      </c>
      <c r="C2" s="69" t="s">
        <v>3</v>
      </c>
      <c r="D2" s="69" t="s">
        <v>4</v>
      </c>
      <c r="E2" s="69" t="s">
        <v>5</v>
      </c>
      <c r="F2" s="69" t="s">
        <v>6</v>
      </c>
      <c r="G2" s="69" t="s">
        <v>7</v>
      </c>
      <c r="H2" s="69" t="s">
        <v>8</v>
      </c>
      <c r="I2" s="69" t="s">
        <v>9</v>
      </c>
      <c r="J2" s="69" t="s">
        <v>10</v>
      </c>
      <c r="K2" s="69" t="s">
        <v>11</v>
      </c>
      <c r="L2" s="71" t="s">
        <v>12</v>
      </c>
      <c r="M2" s="71" t="s">
        <v>793</v>
      </c>
      <c r="O2" s="73"/>
      <c r="P2" s="73"/>
      <c r="Q2" s="73"/>
    </row>
    <row r="3" spans="1:20" x14ac:dyDescent="0.15">
      <c r="B3" s="6" t="s">
        <v>551</v>
      </c>
      <c r="C3" s="7" t="s">
        <v>23</v>
      </c>
      <c r="D3" s="8" t="s">
        <v>107</v>
      </c>
      <c r="E3" s="8" t="s">
        <v>557</v>
      </c>
      <c r="F3" s="9">
        <v>121</v>
      </c>
      <c r="G3" s="10">
        <v>49472.480000000003</v>
      </c>
      <c r="H3" s="10">
        <v>2772.91</v>
      </c>
      <c r="I3" s="10">
        <v>5986170.0800000001</v>
      </c>
      <c r="J3" s="8" t="s">
        <v>30</v>
      </c>
      <c r="K3" s="8" t="s">
        <v>18</v>
      </c>
      <c r="L3" s="9">
        <f>YEAR(E3)</f>
        <v>2020</v>
      </c>
      <c r="M3">
        <f>H3*F3</f>
        <v>335522.11</v>
      </c>
      <c r="O3" s="74"/>
      <c r="P3" s="73" t="s">
        <v>12</v>
      </c>
      <c r="Q3" s="73" t="s">
        <v>792</v>
      </c>
      <c r="R3" s="73" t="s">
        <v>793</v>
      </c>
    </row>
    <row r="4" spans="1:20" x14ac:dyDescent="0.15">
      <c r="B4" s="13" t="s">
        <v>551</v>
      </c>
      <c r="C4" s="14" t="s">
        <v>57</v>
      </c>
      <c r="D4" s="15" t="s">
        <v>107</v>
      </c>
      <c r="E4" s="15" t="s">
        <v>558</v>
      </c>
      <c r="F4" s="16">
        <v>368</v>
      </c>
      <c r="G4" s="17">
        <v>30048.91</v>
      </c>
      <c r="H4" s="17">
        <v>2336.56</v>
      </c>
      <c r="I4" s="17">
        <v>11057998.880000001</v>
      </c>
      <c r="J4" s="15" t="s">
        <v>17</v>
      </c>
      <c r="K4" s="15" t="s">
        <v>18</v>
      </c>
      <c r="L4" s="9">
        <f>YEAR(E4)</f>
        <v>2020</v>
      </c>
      <c r="M4">
        <f t="shared" ref="M4:M67" si="0">H4*F4</f>
        <v>859854.08</v>
      </c>
      <c r="O4" s="74"/>
      <c r="P4" s="74">
        <v>2020</v>
      </c>
      <c r="Q4" s="74">
        <f>ROUND(SUMIF(L3:L124,P4,F3:F124),0)</f>
        <v>14917</v>
      </c>
      <c r="R4" s="74">
        <f>ROUND(SUMIF(L3:L124,P4, M3:M124),0)</f>
        <v>87017238</v>
      </c>
    </row>
    <row r="5" spans="1:20" x14ac:dyDescent="0.15">
      <c r="B5" s="13" t="s">
        <v>551</v>
      </c>
      <c r="C5" s="14" t="s">
        <v>14</v>
      </c>
      <c r="D5" s="15" t="s">
        <v>107</v>
      </c>
      <c r="E5" s="15" t="s">
        <v>564</v>
      </c>
      <c r="F5" s="16">
        <v>430</v>
      </c>
      <c r="G5" s="19">
        <v>18902.8</v>
      </c>
      <c r="H5" s="17">
        <v>5916.22</v>
      </c>
      <c r="I5" s="16">
        <v>8128204</v>
      </c>
      <c r="J5" s="15" t="s">
        <v>22</v>
      </c>
      <c r="K5" s="15" t="s">
        <v>18</v>
      </c>
      <c r="L5" s="9">
        <f>YEAR(E5)</f>
        <v>2020</v>
      </c>
      <c r="M5">
        <f t="shared" si="0"/>
        <v>2543974.6</v>
      </c>
      <c r="O5" s="74"/>
      <c r="P5" s="74">
        <v>2021</v>
      </c>
      <c r="Q5" s="74">
        <f>ROUND(SUMIF(L3:L124,P5,F3:F124),0)</f>
        <v>17678</v>
      </c>
      <c r="R5" s="74">
        <f>ROUND(SUMIF(L3:L124,P5, M3:M124),0)</f>
        <v>104799885</v>
      </c>
    </row>
    <row r="6" spans="1:20" x14ac:dyDescent="0.15">
      <c r="B6" s="13" t="s">
        <v>551</v>
      </c>
      <c r="C6" s="14" t="s">
        <v>19</v>
      </c>
      <c r="D6" s="15" t="s">
        <v>107</v>
      </c>
      <c r="E6" s="15" t="s">
        <v>565</v>
      </c>
      <c r="F6" s="16">
        <v>617</v>
      </c>
      <c r="G6" s="17">
        <v>11446.76</v>
      </c>
      <c r="H6" s="17">
        <v>6752.01</v>
      </c>
      <c r="I6" s="17">
        <v>7062650.9199999999</v>
      </c>
      <c r="J6" s="15" t="s">
        <v>30</v>
      </c>
      <c r="K6" s="15" t="s">
        <v>18</v>
      </c>
      <c r="L6" s="9">
        <f>YEAR(E6)</f>
        <v>2020</v>
      </c>
      <c r="M6">
        <f t="shared" si="0"/>
        <v>4165990.17</v>
      </c>
      <c r="O6" s="74"/>
      <c r="P6" s="74">
        <v>2022</v>
      </c>
      <c r="Q6" s="74">
        <f>ROUND(SUMIF(L3:L124,P6,F3:F124),0)</f>
        <v>13681</v>
      </c>
      <c r="R6" s="74">
        <f>ROUND(SUMIF(L3:L124,P6, M3:M124),0)</f>
        <v>90598736</v>
      </c>
    </row>
    <row r="7" spans="1:20" x14ac:dyDescent="0.15">
      <c r="B7" s="13" t="s">
        <v>551</v>
      </c>
      <c r="C7" s="14" t="s">
        <v>79</v>
      </c>
      <c r="D7" s="15" t="s">
        <v>53</v>
      </c>
      <c r="E7" s="15" t="s">
        <v>109</v>
      </c>
      <c r="F7" s="16">
        <v>910</v>
      </c>
      <c r="G7" s="17">
        <v>34668.65</v>
      </c>
      <c r="H7" s="17">
        <v>3347.95</v>
      </c>
      <c r="I7" s="19">
        <v>31548471.5</v>
      </c>
      <c r="J7" s="15" t="s">
        <v>30</v>
      </c>
      <c r="K7" s="15" t="s">
        <v>18</v>
      </c>
      <c r="L7" s="9">
        <f>YEAR(E7)</f>
        <v>2020</v>
      </c>
      <c r="M7">
        <f t="shared" si="0"/>
        <v>3046634.5</v>
      </c>
      <c r="O7" s="74"/>
      <c r="P7" s="74">
        <v>2023</v>
      </c>
      <c r="Q7" s="74">
        <f>ROUND(SUMIF(L3:L122,P7,F3:F122),0)</f>
        <v>17892</v>
      </c>
      <c r="R7" s="74">
        <f>ROUND(SUMIF(L3:L124,P7, M3:M124),0)</f>
        <v>105320437</v>
      </c>
    </row>
    <row r="8" spans="1:20" ht="14" x14ac:dyDescent="0.15">
      <c r="B8" s="13" t="s">
        <v>551</v>
      </c>
      <c r="C8" s="14" t="s">
        <v>25</v>
      </c>
      <c r="D8" s="15" t="s">
        <v>53</v>
      </c>
      <c r="E8" s="15" t="s">
        <v>572</v>
      </c>
      <c r="F8" s="16">
        <v>498</v>
      </c>
      <c r="G8" s="17">
        <v>15043.56</v>
      </c>
      <c r="H8" s="19">
        <v>2367.6</v>
      </c>
      <c r="I8" s="17">
        <v>7491692.8799999999</v>
      </c>
      <c r="J8" s="15" t="s">
        <v>17</v>
      </c>
      <c r="K8" s="15" t="s">
        <v>18</v>
      </c>
      <c r="L8" s="9">
        <f>YEAR(E8)</f>
        <v>2020</v>
      </c>
      <c r="M8">
        <f t="shared" si="0"/>
        <v>1179064.8</v>
      </c>
      <c r="P8" s="70" t="s">
        <v>795</v>
      </c>
      <c r="Q8" s="70">
        <f>SUM(Q4:Q7)</f>
        <v>64168</v>
      </c>
      <c r="R8" s="70">
        <f>SUM(R4:R7)</f>
        <v>387736296</v>
      </c>
    </row>
    <row r="9" spans="1:20" x14ac:dyDescent="0.15">
      <c r="B9" s="13" t="s">
        <v>551</v>
      </c>
      <c r="C9" s="14" t="s">
        <v>79</v>
      </c>
      <c r="D9" s="15" t="s">
        <v>53</v>
      </c>
      <c r="E9" s="15" t="s">
        <v>573</v>
      </c>
      <c r="F9" s="16">
        <v>631</v>
      </c>
      <c r="G9" s="17">
        <v>30503.360000000001</v>
      </c>
      <c r="H9" s="17">
        <v>9796.94</v>
      </c>
      <c r="I9" s="17">
        <v>19247620.16</v>
      </c>
      <c r="J9" s="15" t="s">
        <v>17</v>
      </c>
      <c r="K9" s="15" t="s">
        <v>18</v>
      </c>
      <c r="L9" s="9">
        <f>YEAR(E9)</f>
        <v>2020</v>
      </c>
      <c r="M9">
        <f t="shared" si="0"/>
        <v>6181869.1400000006</v>
      </c>
    </row>
    <row r="10" spans="1:20" x14ac:dyDescent="0.15">
      <c r="B10" s="13" t="s">
        <v>551</v>
      </c>
      <c r="C10" s="14" t="s">
        <v>14</v>
      </c>
      <c r="D10" s="15" t="s">
        <v>15</v>
      </c>
      <c r="E10" s="15" t="s">
        <v>469</v>
      </c>
      <c r="F10" s="16">
        <v>458</v>
      </c>
      <c r="G10" s="17">
        <v>13812.54</v>
      </c>
      <c r="H10" s="17">
        <v>3177.15</v>
      </c>
      <c r="I10" s="17">
        <v>6326143.3200000003</v>
      </c>
      <c r="J10" s="15" t="s">
        <v>17</v>
      </c>
      <c r="K10" s="15" t="s">
        <v>18</v>
      </c>
      <c r="L10" s="9">
        <f>YEAR(E10)</f>
        <v>2020</v>
      </c>
      <c r="M10">
        <f t="shared" si="0"/>
        <v>1455134.7</v>
      </c>
    </row>
    <row r="11" spans="1:20" x14ac:dyDescent="0.15">
      <c r="B11" s="13" t="s">
        <v>551</v>
      </c>
      <c r="C11" s="14" t="s">
        <v>38</v>
      </c>
      <c r="D11" s="15" t="s">
        <v>15</v>
      </c>
      <c r="E11" s="15" t="s">
        <v>574</v>
      </c>
      <c r="F11" s="16">
        <v>223</v>
      </c>
      <c r="G11" s="17">
        <v>32345.62</v>
      </c>
      <c r="H11" s="17">
        <v>8780.61</v>
      </c>
      <c r="I11" s="17">
        <v>7213073.2599999998</v>
      </c>
      <c r="J11" s="15" t="s">
        <v>17</v>
      </c>
      <c r="K11" s="15" t="s">
        <v>18</v>
      </c>
      <c r="L11" s="9">
        <f>YEAR(E11)</f>
        <v>2020</v>
      </c>
      <c r="M11">
        <f t="shared" si="0"/>
        <v>1958076.03</v>
      </c>
    </row>
    <row r="12" spans="1:20" ht="17" customHeight="1" x14ac:dyDescent="0.15">
      <c r="B12" s="13" t="s">
        <v>551</v>
      </c>
      <c r="C12" s="14" t="s">
        <v>35</v>
      </c>
      <c r="D12" s="15" t="s">
        <v>15</v>
      </c>
      <c r="E12" s="15" t="s">
        <v>577</v>
      </c>
      <c r="F12" s="16">
        <v>574</v>
      </c>
      <c r="G12" s="17">
        <v>13194.29</v>
      </c>
      <c r="H12" s="17">
        <v>8175.79</v>
      </c>
      <c r="I12" s="17">
        <v>7573522.46</v>
      </c>
      <c r="J12" s="15" t="s">
        <v>28</v>
      </c>
      <c r="K12" s="15" t="s">
        <v>18</v>
      </c>
      <c r="L12" s="9">
        <f>YEAR(E12)</f>
        <v>2020</v>
      </c>
      <c r="M12">
        <f t="shared" si="0"/>
        <v>4692903.46</v>
      </c>
      <c r="P12" s="36" t="s">
        <v>787</v>
      </c>
      <c r="Q12" s="32" t="s">
        <v>785</v>
      </c>
      <c r="R12" s="37" t="s">
        <v>791</v>
      </c>
      <c r="S12" s="37" t="s">
        <v>790</v>
      </c>
      <c r="T12" s="59" t="s">
        <v>796</v>
      </c>
    </row>
    <row r="13" spans="1:20" ht="14" x14ac:dyDescent="0.15">
      <c r="B13" s="13" t="s">
        <v>551</v>
      </c>
      <c r="C13" s="14" t="s">
        <v>23</v>
      </c>
      <c r="D13" s="15" t="s">
        <v>139</v>
      </c>
      <c r="E13" s="15" t="s">
        <v>424</v>
      </c>
      <c r="F13" s="16">
        <v>363</v>
      </c>
      <c r="G13" s="17">
        <v>21256.720000000001</v>
      </c>
      <c r="H13" s="17">
        <v>4413.29</v>
      </c>
      <c r="I13" s="17">
        <v>7716189.3600000003</v>
      </c>
      <c r="J13" s="15" t="s">
        <v>17</v>
      </c>
      <c r="K13" s="15" t="s">
        <v>18</v>
      </c>
      <c r="L13" s="9">
        <f>YEAR(E13)</f>
        <v>2020</v>
      </c>
      <c r="M13">
        <f t="shared" si="0"/>
        <v>1602024.27</v>
      </c>
      <c r="P13" s="80" t="s">
        <v>89</v>
      </c>
      <c r="Q13" s="81">
        <v>4573</v>
      </c>
      <c r="R13" s="82">
        <v>340576.4</v>
      </c>
      <c r="S13" s="82">
        <v>132247344.13</v>
      </c>
      <c r="T13" s="83">
        <v>26854924.170000002</v>
      </c>
    </row>
    <row r="14" spans="1:20" ht="14" x14ac:dyDescent="0.15">
      <c r="B14" s="13" t="s">
        <v>551</v>
      </c>
      <c r="C14" s="14" t="s">
        <v>23</v>
      </c>
      <c r="D14" s="15" t="s">
        <v>139</v>
      </c>
      <c r="E14" s="15" t="s">
        <v>333</v>
      </c>
      <c r="F14" s="16">
        <v>298</v>
      </c>
      <c r="G14" s="17">
        <v>48711.59</v>
      </c>
      <c r="H14" s="17">
        <v>8683.01</v>
      </c>
      <c r="I14" s="17">
        <v>14516053.82</v>
      </c>
      <c r="J14" s="15" t="s">
        <v>28</v>
      </c>
      <c r="K14" s="15" t="s">
        <v>18</v>
      </c>
      <c r="L14" s="9">
        <f>YEAR(E14)</f>
        <v>2020</v>
      </c>
      <c r="M14">
        <f t="shared" si="0"/>
        <v>2587536.98</v>
      </c>
      <c r="P14" s="39" t="s">
        <v>70</v>
      </c>
      <c r="Q14" s="40">
        <v>6783</v>
      </c>
      <c r="R14" s="41">
        <v>314758.8</v>
      </c>
      <c r="S14" s="41">
        <v>219954772.77000001</v>
      </c>
      <c r="T14" s="60">
        <v>47791285.370000005</v>
      </c>
    </row>
    <row r="15" spans="1:20" x14ac:dyDescent="0.15">
      <c r="B15" s="13" t="s">
        <v>551</v>
      </c>
      <c r="C15" s="14" t="s">
        <v>31</v>
      </c>
      <c r="D15" s="15" t="s">
        <v>139</v>
      </c>
      <c r="E15" s="15" t="s">
        <v>582</v>
      </c>
      <c r="F15" s="16">
        <v>347</v>
      </c>
      <c r="G15" s="17">
        <v>23501.68</v>
      </c>
      <c r="H15" s="17">
        <v>4710.34</v>
      </c>
      <c r="I15" s="17">
        <v>8155082.96</v>
      </c>
      <c r="J15" s="15" t="s">
        <v>17</v>
      </c>
      <c r="K15" s="15" t="s">
        <v>18</v>
      </c>
      <c r="L15" s="9">
        <f>YEAR(E15)</f>
        <v>2020</v>
      </c>
      <c r="M15">
        <f t="shared" si="0"/>
        <v>1634487.98</v>
      </c>
      <c r="P15" s="63">
        <v>2020</v>
      </c>
      <c r="Q15" s="43">
        <v>230</v>
      </c>
      <c r="R15" s="44">
        <v>33065.69</v>
      </c>
      <c r="S15" s="44">
        <v>7605108.7000000002</v>
      </c>
      <c r="T15" s="61">
        <v>1741113.8</v>
      </c>
    </row>
    <row r="16" spans="1:20" x14ac:dyDescent="0.15">
      <c r="B16" s="13" t="s">
        <v>551</v>
      </c>
      <c r="C16" s="14" t="s">
        <v>23</v>
      </c>
      <c r="D16" s="15" t="s">
        <v>139</v>
      </c>
      <c r="E16" s="15" t="s">
        <v>587</v>
      </c>
      <c r="F16" s="16">
        <v>743</v>
      </c>
      <c r="G16" s="17">
        <v>26050.959999999999</v>
      </c>
      <c r="H16" s="17">
        <v>3800.89</v>
      </c>
      <c r="I16" s="17">
        <v>19355863.280000001</v>
      </c>
      <c r="J16" s="15" t="s">
        <v>17</v>
      </c>
      <c r="K16" s="15" t="s">
        <v>18</v>
      </c>
      <c r="L16" s="9">
        <f>YEAR(E16)</f>
        <v>2020</v>
      </c>
      <c r="M16">
        <f t="shared" si="0"/>
        <v>2824061.27</v>
      </c>
      <c r="P16" s="63">
        <v>2021</v>
      </c>
      <c r="Q16" s="43">
        <v>3645</v>
      </c>
      <c r="R16" s="44">
        <v>171360.66</v>
      </c>
      <c r="S16" s="44">
        <v>128641785.36000001</v>
      </c>
      <c r="T16" s="61">
        <v>26900903.010000002</v>
      </c>
    </row>
    <row r="17" spans="2:20" x14ac:dyDescent="0.15">
      <c r="B17" s="13" t="s">
        <v>551</v>
      </c>
      <c r="C17" s="14" t="s">
        <v>38</v>
      </c>
      <c r="D17" s="15" t="s">
        <v>114</v>
      </c>
      <c r="E17" s="15" t="s">
        <v>588</v>
      </c>
      <c r="F17" s="16">
        <v>870</v>
      </c>
      <c r="G17" s="19">
        <v>28422.6</v>
      </c>
      <c r="H17" s="17">
        <v>7385.82</v>
      </c>
      <c r="I17" s="16">
        <v>24727662</v>
      </c>
      <c r="J17" s="15" t="s">
        <v>22</v>
      </c>
      <c r="K17" s="15" t="s">
        <v>18</v>
      </c>
      <c r="L17" s="9">
        <f>YEAR(E17)</f>
        <v>2020</v>
      </c>
      <c r="M17">
        <f t="shared" si="0"/>
        <v>6425663.3999999994</v>
      </c>
      <c r="P17" s="63">
        <v>2022</v>
      </c>
      <c r="Q17" s="43">
        <v>1269</v>
      </c>
      <c r="R17" s="44">
        <v>49623.63</v>
      </c>
      <c r="S17" s="44">
        <v>33288253.109999999</v>
      </c>
      <c r="T17" s="61">
        <v>9241308.4199999999</v>
      </c>
    </row>
    <row r="18" spans="2:20" x14ac:dyDescent="0.15">
      <c r="B18" s="13" t="s">
        <v>551</v>
      </c>
      <c r="C18" s="14" t="s">
        <v>79</v>
      </c>
      <c r="D18" s="15" t="s">
        <v>114</v>
      </c>
      <c r="E18" s="15" t="s">
        <v>596</v>
      </c>
      <c r="F18" s="16">
        <v>141</v>
      </c>
      <c r="G18" s="17">
        <v>46391.24</v>
      </c>
      <c r="H18" s="17">
        <v>5976.25</v>
      </c>
      <c r="I18" s="17">
        <v>6541164.8399999999</v>
      </c>
      <c r="J18" s="15" t="s">
        <v>22</v>
      </c>
      <c r="K18" s="15" t="s">
        <v>18</v>
      </c>
      <c r="L18" s="9">
        <f>YEAR(E18)</f>
        <v>2020</v>
      </c>
      <c r="M18">
        <f t="shared" si="0"/>
        <v>842651.25</v>
      </c>
      <c r="P18" s="63">
        <v>2023</v>
      </c>
      <c r="Q18" s="43">
        <v>1639</v>
      </c>
      <c r="R18" s="44">
        <v>60708.82</v>
      </c>
      <c r="S18" s="44">
        <v>50419625.600000001</v>
      </c>
      <c r="T18" s="61">
        <v>9907960.1400000006</v>
      </c>
    </row>
    <row r="19" spans="2:20" ht="14" x14ac:dyDescent="0.15">
      <c r="B19" s="13" t="s">
        <v>551</v>
      </c>
      <c r="C19" s="14" t="s">
        <v>57</v>
      </c>
      <c r="D19" s="15" t="s">
        <v>153</v>
      </c>
      <c r="E19" s="15" t="s">
        <v>596</v>
      </c>
      <c r="F19" s="16">
        <v>844</v>
      </c>
      <c r="G19" s="17">
        <v>34836.78</v>
      </c>
      <c r="H19" s="17">
        <v>2564.4299999999998</v>
      </c>
      <c r="I19" s="17">
        <v>29402242.32</v>
      </c>
      <c r="J19" s="15" t="s">
        <v>17</v>
      </c>
      <c r="K19" s="15" t="s">
        <v>18</v>
      </c>
      <c r="L19" s="9">
        <f>YEAR(E19)</f>
        <v>2020</v>
      </c>
      <c r="M19">
        <f t="shared" si="0"/>
        <v>2164378.92</v>
      </c>
      <c r="P19" s="80" t="s">
        <v>26</v>
      </c>
      <c r="Q19" s="81">
        <v>6952</v>
      </c>
      <c r="R19" s="82">
        <v>460102.46</v>
      </c>
      <c r="S19" s="82">
        <v>221970574.80999997</v>
      </c>
      <c r="T19" s="83">
        <v>48193132.949999996</v>
      </c>
    </row>
    <row r="20" spans="2:20" ht="14" x14ac:dyDescent="0.15">
      <c r="B20" s="13" t="s">
        <v>551</v>
      </c>
      <c r="C20" s="14" t="s">
        <v>35</v>
      </c>
      <c r="D20" s="15" t="s">
        <v>114</v>
      </c>
      <c r="E20" s="15" t="s">
        <v>137</v>
      </c>
      <c r="F20" s="16">
        <v>463</v>
      </c>
      <c r="G20" s="17">
        <v>21324.19</v>
      </c>
      <c r="H20" s="17">
        <v>5651.94</v>
      </c>
      <c r="I20" s="17">
        <v>9873099.9700000007</v>
      </c>
      <c r="J20" s="15" t="s">
        <v>17</v>
      </c>
      <c r="K20" s="15" t="s">
        <v>18</v>
      </c>
      <c r="L20" s="9">
        <f>YEAR(E20)</f>
        <v>2020</v>
      </c>
      <c r="M20">
        <f t="shared" si="0"/>
        <v>2616848.2199999997</v>
      </c>
      <c r="P20" s="80" t="s">
        <v>68</v>
      </c>
      <c r="Q20" s="81">
        <v>6766</v>
      </c>
      <c r="R20" s="82">
        <v>531451.15</v>
      </c>
      <c r="S20" s="82">
        <v>237140029.56</v>
      </c>
      <c r="T20" s="83">
        <v>44308700.159999996</v>
      </c>
    </row>
    <row r="21" spans="2:20" x14ac:dyDescent="0.15">
      <c r="B21" s="13" t="s">
        <v>551</v>
      </c>
      <c r="C21" s="14" t="s">
        <v>14</v>
      </c>
      <c r="D21" s="15" t="s">
        <v>70</v>
      </c>
      <c r="E21" s="15" t="s">
        <v>602</v>
      </c>
      <c r="F21" s="16">
        <v>230</v>
      </c>
      <c r="G21" s="17">
        <v>33065.69</v>
      </c>
      <c r="H21" s="17">
        <v>7570.06</v>
      </c>
      <c r="I21" s="19">
        <v>7605108.7000000002</v>
      </c>
      <c r="J21" s="15" t="s">
        <v>17</v>
      </c>
      <c r="K21" s="15" t="s">
        <v>18</v>
      </c>
      <c r="L21" s="9">
        <f>YEAR(E21)</f>
        <v>2020</v>
      </c>
      <c r="M21">
        <f t="shared" si="0"/>
        <v>1741113.8</v>
      </c>
      <c r="P21" s="63">
        <v>2020</v>
      </c>
      <c r="Q21" s="43">
        <v>1887</v>
      </c>
      <c r="R21" s="44">
        <v>122928.04000000001</v>
      </c>
      <c r="S21" s="44">
        <v>59378264.170000002</v>
      </c>
      <c r="T21" s="61">
        <v>16506100.219999999</v>
      </c>
    </row>
    <row r="22" spans="2:20" x14ac:dyDescent="0.15">
      <c r="B22" s="13" t="s">
        <v>551</v>
      </c>
      <c r="C22" s="14" t="s">
        <v>14</v>
      </c>
      <c r="D22" s="15" t="s">
        <v>89</v>
      </c>
      <c r="E22" s="15" t="s">
        <v>391</v>
      </c>
      <c r="F22" s="16">
        <v>619</v>
      </c>
      <c r="G22" s="17">
        <v>13079.61</v>
      </c>
      <c r="H22" s="17">
        <v>2337.4299999999998</v>
      </c>
      <c r="I22" s="17">
        <v>8096278.5899999999</v>
      </c>
      <c r="J22" s="15" t="s">
        <v>17</v>
      </c>
      <c r="K22" s="15" t="s">
        <v>18</v>
      </c>
      <c r="L22" s="9">
        <f>YEAR(E22)</f>
        <v>2020</v>
      </c>
      <c r="M22">
        <f t="shared" si="0"/>
        <v>1446869.17</v>
      </c>
      <c r="P22" s="63">
        <v>2021</v>
      </c>
      <c r="Q22" s="43">
        <v>1271</v>
      </c>
      <c r="R22" s="44">
        <v>126382.63</v>
      </c>
      <c r="S22" s="44">
        <v>54938046.519999996</v>
      </c>
      <c r="T22" s="61">
        <v>8475234.0099999998</v>
      </c>
    </row>
    <row r="23" spans="2:20" x14ac:dyDescent="0.15">
      <c r="B23" s="13" t="s">
        <v>551</v>
      </c>
      <c r="C23" s="14" t="s">
        <v>57</v>
      </c>
      <c r="D23" s="15" t="s">
        <v>89</v>
      </c>
      <c r="E23" s="15" t="s">
        <v>124</v>
      </c>
      <c r="F23" s="16">
        <v>161</v>
      </c>
      <c r="G23" s="17">
        <v>22984.27</v>
      </c>
      <c r="H23" s="17">
        <v>7018.74</v>
      </c>
      <c r="I23" s="17">
        <v>3700467.47</v>
      </c>
      <c r="J23" s="15" t="s">
        <v>17</v>
      </c>
      <c r="K23" s="15" t="s">
        <v>18</v>
      </c>
      <c r="L23" s="9">
        <f>YEAR(E23)</f>
        <v>2020</v>
      </c>
      <c r="M23">
        <f t="shared" si="0"/>
        <v>1130017.1399999999</v>
      </c>
      <c r="P23" s="63">
        <v>2022</v>
      </c>
      <c r="Q23" s="43">
        <v>1310</v>
      </c>
      <c r="R23" s="44">
        <v>86448.01999999999</v>
      </c>
      <c r="S23" s="44">
        <v>35183848.359999999</v>
      </c>
      <c r="T23" s="61">
        <v>12071987.279999999</v>
      </c>
    </row>
    <row r="24" spans="2:20" x14ac:dyDescent="0.15">
      <c r="B24" s="13" t="s">
        <v>551</v>
      </c>
      <c r="C24" s="14" t="s">
        <v>23</v>
      </c>
      <c r="D24" s="15" t="s">
        <v>153</v>
      </c>
      <c r="E24" s="15" t="s">
        <v>611</v>
      </c>
      <c r="F24" s="16">
        <v>909</v>
      </c>
      <c r="G24" s="17">
        <v>19171.77</v>
      </c>
      <c r="H24" s="17">
        <v>5159.22</v>
      </c>
      <c r="I24" s="17">
        <v>17427138.93</v>
      </c>
      <c r="J24" s="15" t="s">
        <v>28</v>
      </c>
      <c r="K24" s="15" t="s">
        <v>18</v>
      </c>
      <c r="L24" s="9">
        <f>YEAR(E24)</f>
        <v>2020</v>
      </c>
      <c r="M24">
        <f t="shared" si="0"/>
        <v>4689730.9800000004</v>
      </c>
      <c r="P24" s="63">
        <v>2023</v>
      </c>
      <c r="Q24" s="43">
        <v>2298</v>
      </c>
      <c r="R24" s="44">
        <v>195692.46</v>
      </c>
      <c r="S24" s="44">
        <v>87639870.50999999</v>
      </c>
      <c r="T24" s="61">
        <v>7255378.6499999994</v>
      </c>
    </row>
    <row r="25" spans="2:20" ht="14" x14ac:dyDescent="0.15">
      <c r="B25" s="13" t="s">
        <v>551</v>
      </c>
      <c r="C25" s="14" t="s">
        <v>57</v>
      </c>
      <c r="D25" s="15" t="s">
        <v>153</v>
      </c>
      <c r="E25" s="15" t="s">
        <v>612</v>
      </c>
      <c r="F25" s="16">
        <v>222</v>
      </c>
      <c r="G25" s="17">
        <v>17101.55</v>
      </c>
      <c r="H25" s="17">
        <v>9701.85</v>
      </c>
      <c r="I25" s="19">
        <v>3796544.1</v>
      </c>
      <c r="J25" s="15" t="s">
        <v>30</v>
      </c>
      <c r="K25" s="15" t="s">
        <v>18</v>
      </c>
      <c r="L25" s="9">
        <f>YEAR(E25)</f>
        <v>2020</v>
      </c>
      <c r="M25">
        <f t="shared" si="0"/>
        <v>2153810.7000000002</v>
      </c>
      <c r="P25" s="80" t="s">
        <v>114</v>
      </c>
      <c r="Q25" s="81">
        <v>6201</v>
      </c>
      <c r="R25" s="82">
        <v>339498.02999999991</v>
      </c>
      <c r="S25" s="82">
        <v>193622553</v>
      </c>
      <c r="T25" s="83">
        <v>38278706.520000003</v>
      </c>
    </row>
    <row r="26" spans="2:20" ht="14" x14ac:dyDescent="0.15">
      <c r="B26" s="13" t="s">
        <v>551</v>
      </c>
      <c r="C26" s="14" t="s">
        <v>57</v>
      </c>
      <c r="D26" s="15" t="s">
        <v>68</v>
      </c>
      <c r="E26" s="15" t="s">
        <v>621</v>
      </c>
      <c r="F26" s="16">
        <v>292</v>
      </c>
      <c r="G26" s="17">
        <v>39681.370000000003</v>
      </c>
      <c r="H26" s="17">
        <v>9990.57</v>
      </c>
      <c r="I26" s="17">
        <v>11586960.039999999</v>
      </c>
      <c r="J26" s="15" t="s">
        <v>17</v>
      </c>
      <c r="K26" s="15" t="s">
        <v>18</v>
      </c>
      <c r="L26" s="9">
        <f>YEAR(E26)</f>
        <v>2020</v>
      </c>
      <c r="M26">
        <f t="shared" si="0"/>
        <v>2917246.44</v>
      </c>
      <c r="P26" s="39" t="s">
        <v>107</v>
      </c>
      <c r="Q26" s="40">
        <v>9073</v>
      </c>
      <c r="R26" s="41">
        <v>548516.12</v>
      </c>
      <c r="S26" s="41">
        <v>284615838.43000001</v>
      </c>
      <c r="T26" s="60">
        <v>47943959.710000001</v>
      </c>
    </row>
    <row r="27" spans="2:20" x14ac:dyDescent="0.15">
      <c r="B27" s="13" t="s">
        <v>551</v>
      </c>
      <c r="C27" s="14" t="s">
        <v>31</v>
      </c>
      <c r="D27" s="15" t="s">
        <v>68</v>
      </c>
      <c r="E27" s="15" t="s">
        <v>622</v>
      </c>
      <c r="F27" s="16">
        <v>462</v>
      </c>
      <c r="G27" s="19">
        <v>32503.8</v>
      </c>
      <c r="H27" s="17">
        <v>8516.9699999999993</v>
      </c>
      <c r="I27" s="19">
        <v>15016755.6</v>
      </c>
      <c r="J27" s="15" t="s">
        <v>17</v>
      </c>
      <c r="K27" s="15" t="s">
        <v>18</v>
      </c>
      <c r="L27" s="9">
        <f>YEAR(E27)</f>
        <v>2020</v>
      </c>
      <c r="M27">
        <f t="shared" si="0"/>
        <v>3934840.1399999997</v>
      </c>
      <c r="P27" s="63">
        <v>2020</v>
      </c>
      <c r="Q27" s="43">
        <v>1536</v>
      </c>
      <c r="R27" s="44">
        <v>109870.95</v>
      </c>
      <c r="S27" s="44">
        <v>32235023.880000003</v>
      </c>
      <c r="T27" s="61">
        <v>7905340.96</v>
      </c>
    </row>
    <row r="28" spans="2:20" x14ac:dyDescent="0.15">
      <c r="B28" s="13" t="s">
        <v>551</v>
      </c>
      <c r="C28" s="14" t="s">
        <v>57</v>
      </c>
      <c r="D28" s="15" t="s">
        <v>68</v>
      </c>
      <c r="E28" s="15" t="s">
        <v>623</v>
      </c>
      <c r="F28" s="16">
        <v>883</v>
      </c>
      <c r="G28" s="17">
        <v>31735.91</v>
      </c>
      <c r="H28" s="17">
        <v>8581.08</v>
      </c>
      <c r="I28" s="17">
        <v>28022808.530000001</v>
      </c>
      <c r="J28" s="15" t="s">
        <v>28</v>
      </c>
      <c r="K28" s="15" t="s">
        <v>18</v>
      </c>
      <c r="L28" s="9">
        <f>YEAR(E28)</f>
        <v>2020</v>
      </c>
      <c r="M28">
        <f t="shared" si="0"/>
        <v>7577093.6399999997</v>
      </c>
      <c r="P28" s="63">
        <v>2021</v>
      </c>
      <c r="Q28" s="43">
        <v>1906</v>
      </c>
      <c r="R28" s="44">
        <v>191113.93</v>
      </c>
      <c r="S28" s="44">
        <v>76619857.920000002</v>
      </c>
      <c r="T28" s="61">
        <v>8983351.9000000004</v>
      </c>
    </row>
    <row r="29" spans="2:20" x14ac:dyDescent="0.15">
      <c r="B29" s="13" t="s">
        <v>551</v>
      </c>
      <c r="C29" s="14" t="s">
        <v>38</v>
      </c>
      <c r="D29" s="15" t="s">
        <v>68</v>
      </c>
      <c r="E29" s="15" t="s">
        <v>535</v>
      </c>
      <c r="F29" s="16">
        <v>250</v>
      </c>
      <c r="G29" s="17">
        <v>19006.96</v>
      </c>
      <c r="H29" s="17">
        <v>8307.68</v>
      </c>
      <c r="I29" s="16">
        <v>4751740</v>
      </c>
      <c r="J29" s="15" t="s">
        <v>22</v>
      </c>
      <c r="K29" s="15" t="s">
        <v>18</v>
      </c>
      <c r="L29" s="9">
        <f>YEAR(E29)</f>
        <v>2020</v>
      </c>
      <c r="M29">
        <f t="shared" si="0"/>
        <v>2076920</v>
      </c>
      <c r="P29" s="63">
        <v>2022</v>
      </c>
      <c r="Q29" s="43">
        <v>1460</v>
      </c>
      <c r="R29" s="44">
        <v>106503.86</v>
      </c>
      <c r="S29" s="44">
        <v>57496475.179999992</v>
      </c>
      <c r="T29" s="61">
        <v>9899559.3899999987</v>
      </c>
    </row>
    <row r="30" spans="2:20" x14ac:dyDescent="0.15">
      <c r="B30" s="13" t="s">
        <v>551</v>
      </c>
      <c r="C30" s="14" t="s">
        <v>79</v>
      </c>
      <c r="D30" s="15" t="s">
        <v>26</v>
      </c>
      <c r="E30" s="15" t="s">
        <v>628</v>
      </c>
      <c r="F30" s="16">
        <v>274</v>
      </c>
      <c r="G30" s="17">
        <v>46080.72</v>
      </c>
      <c r="H30" s="17">
        <v>5147.67</v>
      </c>
      <c r="I30" s="17">
        <v>12626117.279999999</v>
      </c>
      <c r="J30" s="15" t="s">
        <v>28</v>
      </c>
      <c r="K30" s="15" t="s">
        <v>18</v>
      </c>
      <c r="L30" s="9">
        <f>YEAR(E30)</f>
        <v>2020</v>
      </c>
      <c r="M30">
        <f t="shared" si="0"/>
        <v>1410461.58</v>
      </c>
      <c r="P30" s="63">
        <v>2023</v>
      </c>
      <c r="Q30" s="43">
        <v>4171</v>
      </c>
      <c r="R30" s="44">
        <v>141027.38</v>
      </c>
      <c r="S30" s="44">
        <v>118264481.45</v>
      </c>
      <c r="T30" s="61">
        <v>21155707.460000001</v>
      </c>
    </row>
    <row r="31" spans="2:20" ht="17" customHeight="1" x14ac:dyDescent="0.15">
      <c r="B31" s="13" t="s">
        <v>551</v>
      </c>
      <c r="C31" s="14" t="s">
        <v>79</v>
      </c>
      <c r="D31" s="15" t="s">
        <v>26</v>
      </c>
      <c r="E31" s="15" t="s">
        <v>305</v>
      </c>
      <c r="F31" s="16">
        <v>492</v>
      </c>
      <c r="G31" s="17">
        <v>23415.71</v>
      </c>
      <c r="H31" s="17">
        <v>3262.88</v>
      </c>
      <c r="I31" s="17">
        <v>11520529.32</v>
      </c>
      <c r="J31" s="15" t="s">
        <v>22</v>
      </c>
      <c r="K31" s="15" t="s">
        <v>18</v>
      </c>
      <c r="L31" s="9">
        <f>YEAR(E31)</f>
        <v>2020</v>
      </c>
      <c r="M31">
        <f t="shared" si="0"/>
        <v>1605336.96</v>
      </c>
      <c r="P31" s="76" t="s">
        <v>15</v>
      </c>
      <c r="Q31" s="77">
        <v>6563</v>
      </c>
      <c r="R31" s="78">
        <v>337526.60000000003</v>
      </c>
      <c r="S31" s="78">
        <v>179599796.83000001</v>
      </c>
      <c r="T31" s="79">
        <v>35331311.82</v>
      </c>
    </row>
    <row r="32" spans="2:20" x14ac:dyDescent="0.15">
      <c r="B32" s="13" t="s">
        <v>551</v>
      </c>
      <c r="C32" s="14" t="s">
        <v>38</v>
      </c>
      <c r="D32" s="15" t="s">
        <v>26</v>
      </c>
      <c r="E32" s="15" t="s">
        <v>222</v>
      </c>
      <c r="F32" s="16">
        <v>578</v>
      </c>
      <c r="G32" s="17">
        <v>48791.16</v>
      </c>
      <c r="H32" s="17">
        <v>6835.16</v>
      </c>
      <c r="I32" s="17">
        <v>28201290.48</v>
      </c>
      <c r="J32" s="15" t="s">
        <v>17</v>
      </c>
      <c r="K32" s="15" t="s">
        <v>18</v>
      </c>
      <c r="L32" s="9">
        <f>YEAR(E32)</f>
        <v>2020</v>
      </c>
      <c r="M32">
        <f t="shared" si="0"/>
        <v>3950722.48</v>
      </c>
      <c r="P32" s="63">
        <v>2020</v>
      </c>
      <c r="Q32" s="43">
        <v>1255</v>
      </c>
      <c r="R32" s="44">
        <v>59352.450000000004</v>
      </c>
      <c r="S32" s="44">
        <v>21112739.039999999</v>
      </c>
      <c r="T32" s="61">
        <v>8106114.1899999995</v>
      </c>
    </row>
    <row r="33" spans="2:21" x14ac:dyDescent="0.15">
      <c r="B33" s="13" t="s">
        <v>551</v>
      </c>
      <c r="C33" s="14" t="s">
        <v>43</v>
      </c>
      <c r="D33" s="15" t="s">
        <v>26</v>
      </c>
      <c r="E33" s="15" t="s">
        <v>152</v>
      </c>
      <c r="F33" s="16">
        <v>646</v>
      </c>
      <c r="G33" s="17">
        <v>10338.09</v>
      </c>
      <c r="H33" s="17">
        <v>8152.32</v>
      </c>
      <c r="I33" s="17">
        <v>6678406.1399999997</v>
      </c>
      <c r="J33" s="15" t="s">
        <v>17</v>
      </c>
      <c r="K33" s="15" t="s">
        <v>18</v>
      </c>
      <c r="L33" s="9">
        <f>YEAR(E33)</f>
        <v>2020</v>
      </c>
      <c r="M33">
        <f t="shared" si="0"/>
        <v>5266398.72</v>
      </c>
      <c r="P33" s="63">
        <v>2021</v>
      </c>
      <c r="Q33" s="43">
        <v>1946</v>
      </c>
      <c r="R33" s="44">
        <v>94098.65</v>
      </c>
      <c r="S33" s="44">
        <v>63198062.299999997</v>
      </c>
      <c r="T33" s="61">
        <v>9765244.4800000004</v>
      </c>
    </row>
    <row r="34" spans="2:21" x14ac:dyDescent="0.15">
      <c r="B34" s="13" t="s">
        <v>551</v>
      </c>
      <c r="C34" s="14" t="s">
        <v>31</v>
      </c>
      <c r="D34" s="15" t="s">
        <v>107</v>
      </c>
      <c r="E34" s="15" t="s">
        <v>553</v>
      </c>
      <c r="F34" s="16">
        <v>171</v>
      </c>
      <c r="G34" s="17">
        <v>33855.64</v>
      </c>
      <c r="H34" s="17">
        <v>2088.86</v>
      </c>
      <c r="I34" s="17">
        <v>5789314.4400000004</v>
      </c>
      <c r="J34" s="15" t="s">
        <v>17</v>
      </c>
      <c r="K34" s="15" t="s">
        <v>18</v>
      </c>
      <c r="L34" s="9">
        <f>YEAR(E34)</f>
        <v>2021</v>
      </c>
      <c r="M34">
        <f t="shared" si="0"/>
        <v>357195.06</v>
      </c>
      <c r="P34" s="63">
        <v>2022</v>
      </c>
      <c r="Q34" s="43">
        <v>1982</v>
      </c>
      <c r="R34" s="44">
        <v>80181.919999999998</v>
      </c>
      <c r="S34" s="44">
        <v>43167420.580000006</v>
      </c>
      <c r="T34" s="61">
        <v>9231013.8000000007</v>
      </c>
    </row>
    <row r="35" spans="2:21" x14ac:dyDescent="0.15">
      <c r="B35" s="13" t="s">
        <v>551</v>
      </c>
      <c r="C35" s="14" t="s">
        <v>79</v>
      </c>
      <c r="D35" s="15" t="s">
        <v>107</v>
      </c>
      <c r="E35" s="15" t="s">
        <v>554</v>
      </c>
      <c r="F35" s="16">
        <v>360</v>
      </c>
      <c r="G35" s="17">
        <v>25745.26</v>
      </c>
      <c r="H35" s="17">
        <v>6592.49</v>
      </c>
      <c r="I35" s="19">
        <v>9268293.5999999996</v>
      </c>
      <c r="J35" s="15" t="s">
        <v>17</v>
      </c>
      <c r="K35" s="15" t="s">
        <v>18</v>
      </c>
      <c r="L35" s="9">
        <f>YEAR(E35)</f>
        <v>2021</v>
      </c>
      <c r="M35">
        <f t="shared" si="0"/>
        <v>2373296.4</v>
      </c>
      <c r="P35" s="63">
        <v>2023</v>
      </c>
      <c r="Q35" s="43">
        <v>1380</v>
      </c>
      <c r="R35" s="44">
        <v>103893.58</v>
      </c>
      <c r="S35" s="44">
        <v>52121574.910000004</v>
      </c>
      <c r="T35" s="61">
        <v>8228939.3499999996</v>
      </c>
    </row>
    <row r="36" spans="2:21" ht="14" x14ac:dyDescent="0.15">
      <c r="B36" s="13" t="s">
        <v>551</v>
      </c>
      <c r="C36" s="14" t="s">
        <v>25</v>
      </c>
      <c r="D36" s="15" t="s">
        <v>107</v>
      </c>
      <c r="E36" s="15" t="s">
        <v>555</v>
      </c>
      <c r="F36" s="16">
        <v>662</v>
      </c>
      <c r="G36" s="19">
        <v>48735.7</v>
      </c>
      <c r="H36" s="17">
        <v>3116.32</v>
      </c>
      <c r="I36" s="19">
        <v>32263033.399999999</v>
      </c>
      <c r="J36" s="15" t="s">
        <v>28</v>
      </c>
      <c r="K36" s="15" t="s">
        <v>18</v>
      </c>
      <c r="L36" s="9">
        <f>YEAR(E36)</f>
        <v>2021</v>
      </c>
      <c r="M36">
        <f t="shared" si="0"/>
        <v>2063003.84</v>
      </c>
      <c r="O36" s="90"/>
      <c r="P36" s="76" t="s">
        <v>139</v>
      </c>
      <c r="Q36" s="77">
        <v>5412</v>
      </c>
      <c r="R36" s="78">
        <v>223979.46999999997</v>
      </c>
      <c r="S36" s="78">
        <v>120956644.99000001</v>
      </c>
      <c r="T36" s="79">
        <v>23746040.700000003</v>
      </c>
    </row>
    <row r="37" spans="2:21" x14ac:dyDescent="0.15">
      <c r="B37" s="13" t="s">
        <v>551</v>
      </c>
      <c r="C37" s="14" t="s">
        <v>23</v>
      </c>
      <c r="D37" s="15" t="s">
        <v>107</v>
      </c>
      <c r="E37" s="15" t="s">
        <v>320</v>
      </c>
      <c r="F37" s="16">
        <v>376</v>
      </c>
      <c r="G37" s="17">
        <v>35980.93</v>
      </c>
      <c r="H37" s="17">
        <v>7571.43</v>
      </c>
      <c r="I37" s="17">
        <v>13528829.68</v>
      </c>
      <c r="J37" s="15" t="s">
        <v>17</v>
      </c>
      <c r="K37" s="15" t="s">
        <v>18</v>
      </c>
      <c r="L37" s="9">
        <f>YEAR(E37)</f>
        <v>2021</v>
      </c>
      <c r="M37">
        <f t="shared" si="0"/>
        <v>2846857.68</v>
      </c>
      <c r="P37" s="63">
        <v>2020</v>
      </c>
      <c r="Q37" s="43">
        <v>1751</v>
      </c>
      <c r="R37" s="44">
        <v>119520.94999999998</v>
      </c>
      <c r="S37" s="44">
        <v>49743189.420000002</v>
      </c>
      <c r="T37" s="61">
        <v>8648110.5</v>
      </c>
    </row>
    <row r="38" spans="2:21" x14ac:dyDescent="0.15">
      <c r="B38" s="13" t="s">
        <v>551</v>
      </c>
      <c r="C38" s="14" t="s">
        <v>43</v>
      </c>
      <c r="D38" s="15" t="s">
        <v>107</v>
      </c>
      <c r="E38" s="15" t="s">
        <v>560</v>
      </c>
      <c r="F38" s="16">
        <v>337</v>
      </c>
      <c r="G38" s="19">
        <v>46796.4</v>
      </c>
      <c r="H38" s="17">
        <v>3985.16</v>
      </c>
      <c r="I38" s="19">
        <v>15770386.800000001</v>
      </c>
      <c r="J38" s="15" t="s">
        <v>22</v>
      </c>
      <c r="K38" s="15" t="s">
        <v>18</v>
      </c>
      <c r="L38" s="9">
        <f>YEAR(E38)</f>
        <v>2021</v>
      </c>
      <c r="M38">
        <f t="shared" si="0"/>
        <v>1342998.92</v>
      </c>
      <c r="P38" s="63">
        <v>2021</v>
      </c>
      <c r="Q38" s="43">
        <v>1091</v>
      </c>
      <c r="R38" s="44">
        <v>23364.21</v>
      </c>
      <c r="S38" s="44">
        <v>12869683.08</v>
      </c>
      <c r="T38" s="61">
        <v>3975484.8000000003</v>
      </c>
    </row>
    <row r="39" spans="2:21" x14ac:dyDescent="0.15">
      <c r="B39" s="13" t="s">
        <v>551</v>
      </c>
      <c r="C39" s="14" t="s">
        <v>31</v>
      </c>
      <c r="D39" s="15" t="s">
        <v>53</v>
      </c>
      <c r="E39" s="15" t="s">
        <v>569</v>
      </c>
      <c r="F39" s="16">
        <v>359</v>
      </c>
      <c r="G39" s="17">
        <v>38635.31</v>
      </c>
      <c r="H39" s="17">
        <v>6945.16</v>
      </c>
      <c r="I39" s="17">
        <v>13870076.289999999</v>
      </c>
      <c r="J39" s="15" t="s">
        <v>17</v>
      </c>
      <c r="K39" s="15" t="s">
        <v>18</v>
      </c>
      <c r="L39" s="9">
        <f>YEAR(E39)</f>
        <v>2021</v>
      </c>
      <c r="M39">
        <f t="shared" si="0"/>
        <v>2493312.44</v>
      </c>
      <c r="P39" s="63">
        <v>2023</v>
      </c>
      <c r="Q39" s="43">
        <v>2570</v>
      </c>
      <c r="R39" s="44">
        <v>81094.31</v>
      </c>
      <c r="S39" s="44">
        <v>58343772.490000002</v>
      </c>
      <c r="T39" s="61">
        <v>11122445.4</v>
      </c>
    </row>
    <row r="40" spans="2:21" ht="14" x14ac:dyDescent="0.15">
      <c r="B40" s="13" t="s">
        <v>551</v>
      </c>
      <c r="C40" s="14" t="s">
        <v>19</v>
      </c>
      <c r="D40" s="15" t="s">
        <v>53</v>
      </c>
      <c r="E40" s="15" t="s">
        <v>570</v>
      </c>
      <c r="F40" s="16">
        <v>341</v>
      </c>
      <c r="G40" s="17">
        <v>20126.79</v>
      </c>
      <c r="H40" s="17">
        <v>5442.89</v>
      </c>
      <c r="I40" s="17">
        <v>6863235.3899999997</v>
      </c>
      <c r="J40" s="15" t="s">
        <v>30</v>
      </c>
      <c r="K40" s="15" t="s">
        <v>18</v>
      </c>
      <c r="L40" s="9">
        <f>YEAR(E40)</f>
        <v>2021</v>
      </c>
      <c r="M40">
        <f t="shared" si="0"/>
        <v>1856025.4900000002</v>
      </c>
      <c r="P40" s="76" t="s">
        <v>53</v>
      </c>
      <c r="Q40" s="77">
        <v>4429</v>
      </c>
      <c r="R40" s="78">
        <v>248221.16999999998</v>
      </c>
      <c r="S40" s="78">
        <v>126077379.97999999</v>
      </c>
      <c r="T40" s="79">
        <v>26061955.510000002</v>
      </c>
      <c r="U40" s="90"/>
    </row>
    <row r="41" spans="2:21" x14ac:dyDescent="0.15">
      <c r="B41" s="13" t="s">
        <v>551</v>
      </c>
      <c r="C41" s="14" t="s">
        <v>19</v>
      </c>
      <c r="D41" s="15" t="s">
        <v>15</v>
      </c>
      <c r="E41" s="15" t="s">
        <v>575</v>
      </c>
      <c r="F41" s="16">
        <v>630</v>
      </c>
      <c r="G41" s="17">
        <v>33495.61</v>
      </c>
      <c r="H41" s="17">
        <v>4141.3100000000004</v>
      </c>
      <c r="I41" s="19">
        <v>21102234.300000001</v>
      </c>
      <c r="J41" s="15" t="s">
        <v>17</v>
      </c>
      <c r="K41" s="15" t="s">
        <v>18</v>
      </c>
      <c r="L41" s="9">
        <f>YEAR(E41)</f>
        <v>2021</v>
      </c>
      <c r="M41">
        <f t="shared" si="0"/>
        <v>2609025.3000000003</v>
      </c>
      <c r="P41" s="63">
        <v>2020</v>
      </c>
      <c r="Q41" s="43">
        <v>2039</v>
      </c>
      <c r="R41" s="44">
        <v>80215.570000000007</v>
      </c>
      <c r="S41" s="44">
        <v>58287784.540000007</v>
      </c>
      <c r="T41" s="61">
        <v>10407568.440000001</v>
      </c>
    </row>
    <row r="42" spans="2:21" x14ac:dyDescent="0.15">
      <c r="B42" s="13" t="s">
        <v>551</v>
      </c>
      <c r="C42" s="14" t="s">
        <v>31</v>
      </c>
      <c r="D42" s="15" t="s">
        <v>15</v>
      </c>
      <c r="E42" s="15" t="s">
        <v>578</v>
      </c>
      <c r="F42" s="16">
        <v>522</v>
      </c>
      <c r="G42" s="17">
        <v>22143.33</v>
      </c>
      <c r="H42" s="17">
        <v>3932.05</v>
      </c>
      <c r="I42" s="17">
        <v>11558818.26</v>
      </c>
      <c r="J42" s="15" t="s">
        <v>28</v>
      </c>
      <c r="K42" s="15" t="s">
        <v>18</v>
      </c>
      <c r="L42" s="9">
        <f>YEAR(E42)</f>
        <v>2021</v>
      </c>
      <c r="M42">
        <f t="shared" si="0"/>
        <v>2052530.1</v>
      </c>
      <c r="P42" s="63">
        <v>2021</v>
      </c>
      <c r="Q42" s="43">
        <v>700</v>
      </c>
      <c r="R42" s="44">
        <v>58762.1</v>
      </c>
      <c r="S42" s="44">
        <v>20733311.68</v>
      </c>
      <c r="T42" s="61">
        <v>4349337.93</v>
      </c>
    </row>
    <row r="43" spans="2:21" x14ac:dyDescent="0.15">
      <c r="B43" s="13" t="s">
        <v>551</v>
      </c>
      <c r="C43" s="14" t="s">
        <v>35</v>
      </c>
      <c r="D43" s="15" t="s">
        <v>15</v>
      </c>
      <c r="E43" s="15" t="s">
        <v>349</v>
      </c>
      <c r="F43" s="16">
        <v>794</v>
      </c>
      <c r="G43" s="17">
        <v>38459.71</v>
      </c>
      <c r="H43" s="17">
        <v>6427.82</v>
      </c>
      <c r="I43" s="17">
        <v>30537009.739999998</v>
      </c>
      <c r="J43" s="15" t="s">
        <v>17</v>
      </c>
      <c r="K43" s="15" t="s">
        <v>18</v>
      </c>
      <c r="L43" s="9">
        <f>YEAR(E43)</f>
        <v>2021</v>
      </c>
      <c r="M43">
        <f t="shared" si="0"/>
        <v>5103689.08</v>
      </c>
      <c r="P43" s="63">
        <v>2022</v>
      </c>
      <c r="Q43" s="43">
        <v>1563</v>
      </c>
      <c r="R43" s="44">
        <v>73578.39</v>
      </c>
      <c r="S43" s="44">
        <v>42526814.789999999</v>
      </c>
      <c r="T43" s="61">
        <v>10071501.949999999</v>
      </c>
    </row>
    <row r="44" spans="2:21" x14ac:dyDescent="0.15">
      <c r="B44" s="13" t="s">
        <v>551</v>
      </c>
      <c r="C44" s="14" t="s">
        <v>25</v>
      </c>
      <c r="D44" s="15" t="s">
        <v>139</v>
      </c>
      <c r="E44" s="15" t="s">
        <v>581</v>
      </c>
      <c r="F44" s="16">
        <v>617</v>
      </c>
      <c r="G44" s="17">
        <v>12552.78</v>
      </c>
      <c r="H44" s="17">
        <v>3859.98</v>
      </c>
      <c r="I44" s="17">
        <v>7745065.2599999998</v>
      </c>
      <c r="J44" s="15" t="s">
        <v>22</v>
      </c>
      <c r="K44" s="15" t="s">
        <v>18</v>
      </c>
      <c r="L44" s="9">
        <f>YEAR(E44)</f>
        <v>2021</v>
      </c>
      <c r="M44">
        <f t="shared" si="0"/>
        <v>2381607.66</v>
      </c>
      <c r="P44" s="63">
        <v>2023</v>
      </c>
      <c r="Q44" s="43">
        <v>127</v>
      </c>
      <c r="R44" s="44">
        <v>35665.11</v>
      </c>
      <c r="S44" s="44">
        <v>4529468.97</v>
      </c>
      <c r="T44" s="61">
        <v>1233547.19</v>
      </c>
    </row>
    <row r="45" spans="2:21" ht="15" customHeight="1" x14ac:dyDescent="0.15">
      <c r="B45" s="13" t="s">
        <v>551</v>
      </c>
      <c r="C45" s="14" t="s">
        <v>57</v>
      </c>
      <c r="D45" s="15" t="s">
        <v>139</v>
      </c>
      <c r="E45" s="15" t="s">
        <v>583</v>
      </c>
      <c r="F45" s="16">
        <v>474</v>
      </c>
      <c r="G45" s="17">
        <v>10811.43</v>
      </c>
      <c r="H45" s="17">
        <v>3362.61</v>
      </c>
      <c r="I45" s="17">
        <v>5124617.82</v>
      </c>
      <c r="J45" s="15" t="s">
        <v>17</v>
      </c>
      <c r="K45" s="15" t="s">
        <v>18</v>
      </c>
      <c r="L45" s="9">
        <f>YEAR(E45)</f>
        <v>2021</v>
      </c>
      <c r="M45">
        <f t="shared" si="0"/>
        <v>1593877.1400000001</v>
      </c>
      <c r="P45" s="76" t="s">
        <v>153</v>
      </c>
      <c r="Q45" s="77">
        <v>8111</v>
      </c>
      <c r="R45" s="78">
        <v>339780.14</v>
      </c>
      <c r="S45" s="78">
        <v>230984826.59999999</v>
      </c>
      <c r="T45" s="79">
        <v>49226279.32</v>
      </c>
    </row>
    <row r="46" spans="2:21" x14ac:dyDescent="0.15">
      <c r="B46" s="13" t="s">
        <v>551</v>
      </c>
      <c r="C46" s="14" t="s">
        <v>38</v>
      </c>
      <c r="D46" s="15" t="s">
        <v>114</v>
      </c>
      <c r="E46" s="15" t="s">
        <v>589</v>
      </c>
      <c r="F46" s="16">
        <v>999</v>
      </c>
      <c r="G46" s="17">
        <v>20493.759999999998</v>
      </c>
      <c r="H46" s="17">
        <v>8990.8700000000008</v>
      </c>
      <c r="I46" s="17">
        <v>20473266.239999998</v>
      </c>
      <c r="J46" s="15" t="s">
        <v>28</v>
      </c>
      <c r="K46" s="15" t="s">
        <v>18</v>
      </c>
      <c r="L46" s="9">
        <f>YEAR(E46)</f>
        <v>2021</v>
      </c>
      <c r="M46">
        <f t="shared" si="0"/>
        <v>8981879.1300000008</v>
      </c>
      <c r="P46" s="63">
        <v>2020</v>
      </c>
      <c r="Q46" s="43">
        <v>1975</v>
      </c>
      <c r="R46" s="44">
        <v>71110.100000000006</v>
      </c>
      <c r="S46" s="44">
        <v>50625925.350000001</v>
      </c>
      <c r="T46" s="61">
        <v>9007920.6000000015</v>
      </c>
    </row>
    <row r="47" spans="2:21" x14ac:dyDescent="0.15">
      <c r="B47" s="13" t="s">
        <v>551</v>
      </c>
      <c r="C47" s="14" t="s">
        <v>25</v>
      </c>
      <c r="D47" s="15" t="s">
        <v>114</v>
      </c>
      <c r="E47" s="15" t="s">
        <v>590</v>
      </c>
      <c r="F47" s="16">
        <v>914</v>
      </c>
      <c r="G47" s="17">
        <v>34678.879999999997</v>
      </c>
      <c r="H47" s="17">
        <v>3227.13</v>
      </c>
      <c r="I47" s="17">
        <v>31696496.32</v>
      </c>
      <c r="J47" s="15" t="s">
        <v>17</v>
      </c>
      <c r="K47" s="15" t="s">
        <v>18</v>
      </c>
      <c r="L47" s="9">
        <f>YEAR(E47)</f>
        <v>2021</v>
      </c>
      <c r="M47">
        <f t="shared" si="0"/>
        <v>2949596.8200000003</v>
      </c>
      <c r="P47" s="63">
        <v>2021</v>
      </c>
      <c r="Q47" s="43">
        <v>1473</v>
      </c>
      <c r="R47" s="44">
        <v>86019.15</v>
      </c>
      <c r="S47" s="44">
        <v>39576387.869999997</v>
      </c>
      <c r="T47" s="61">
        <v>9641784.6799999997</v>
      </c>
    </row>
    <row r="48" spans="2:21" x14ac:dyDescent="0.15">
      <c r="B48" s="13" t="s">
        <v>551</v>
      </c>
      <c r="C48" s="14" t="s">
        <v>23</v>
      </c>
      <c r="D48" s="15" t="s">
        <v>114</v>
      </c>
      <c r="E48" s="15" t="s">
        <v>591</v>
      </c>
      <c r="F48" s="16">
        <v>673</v>
      </c>
      <c r="G48" s="17">
        <v>43898.69</v>
      </c>
      <c r="H48" s="17">
        <v>2563.04</v>
      </c>
      <c r="I48" s="17">
        <v>29543818.370000001</v>
      </c>
      <c r="J48" s="15" t="s">
        <v>17</v>
      </c>
      <c r="K48" s="15" t="s">
        <v>18</v>
      </c>
      <c r="L48" s="9">
        <f>YEAR(E48)</f>
        <v>2021</v>
      </c>
      <c r="M48">
        <f t="shared" si="0"/>
        <v>1724925.92</v>
      </c>
      <c r="P48" s="63">
        <v>2022</v>
      </c>
      <c r="Q48" s="43">
        <v>1488</v>
      </c>
      <c r="R48" s="44">
        <v>46778.67</v>
      </c>
      <c r="S48" s="44">
        <v>34288811.640000001</v>
      </c>
      <c r="T48" s="61">
        <v>12339366.359999999</v>
      </c>
    </row>
    <row r="49" spans="2:20" x14ac:dyDescent="0.15">
      <c r="B49" s="13" t="s">
        <v>551</v>
      </c>
      <c r="C49" s="14" t="s">
        <v>19</v>
      </c>
      <c r="D49" s="15" t="s">
        <v>70</v>
      </c>
      <c r="E49" s="15" t="s">
        <v>73</v>
      </c>
      <c r="F49" s="16">
        <v>957</v>
      </c>
      <c r="G49" s="17">
        <v>37340.11</v>
      </c>
      <c r="H49" s="17">
        <v>8532.3799999999992</v>
      </c>
      <c r="I49" s="17">
        <v>35734485.270000003</v>
      </c>
      <c r="J49" s="15" t="s">
        <v>17</v>
      </c>
      <c r="K49" s="15" t="s">
        <v>18</v>
      </c>
      <c r="L49" s="9">
        <f>YEAR(E49)</f>
        <v>2021</v>
      </c>
      <c r="M49">
        <f t="shared" si="0"/>
        <v>8165487.6599999992</v>
      </c>
      <c r="P49" s="63">
        <v>2023</v>
      </c>
      <c r="Q49" s="43">
        <v>3175</v>
      </c>
      <c r="R49" s="44">
        <v>135872.22</v>
      </c>
      <c r="S49" s="44">
        <v>106493701.73999999</v>
      </c>
      <c r="T49" s="61">
        <v>18237207.68</v>
      </c>
    </row>
    <row r="50" spans="2:20" ht="14" x14ac:dyDescent="0.15">
      <c r="B50" s="13" t="s">
        <v>551</v>
      </c>
      <c r="C50" s="14" t="s">
        <v>14</v>
      </c>
      <c r="D50" s="15" t="s">
        <v>153</v>
      </c>
      <c r="E50" s="15" t="s">
        <v>73</v>
      </c>
      <c r="F50" s="16">
        <v>575</v>
      </c>
      <c r="G50" s="17">
        <v>10306.64</v>
      </c>
      <c r="H50" s="17">
        <v>4159.79</v>
      </c>
      <c r="I50" s="16">
        <v>5926318</v>
      </c>
      <c r="J50" s="15" t="s">
        <v>17</v>
      </c>
      <c r="K50" s="15" t="s">
        <v>18</v>
      </c>
      <c r="L50" s="9">
        <f>YEAR(E50)</f>
        <v>2021</v>
      </c>
      <c r="M50">
        <f t="shared" si="0"/>
        <v>2391879.25</v>
      </c>
      <c r="P50" s="46" t="s">
        <v>789</v>
      </c>
      <c r="Q50" s="47">
        <v>64863</v>
      </c>
      <c r="R50" s="48">
        <v>3684410.34</v>
      </c>
      <c r="S50" s="48">
        <v>1947169761.0999999</v>
      </c>
      <c r="T50" s="62">
        <v>387736296.23000008</v>
      </c>
    </row>
    <row r="51" spans="2:20" x14ac:dyDescent="0.15">
      <c r="B51" s="13" t="s">
        <v>551</v>
      </c>
      <c r="C51" s="14" t="s">
        <v>19</v>
      </c>
      <c r="D51" s="15" t="s">
        <v>70</v>
      </c>
      <c r="E51" s="15" t="s">
        <v>598</v>
      </c>
      <c r="F51" s="16">
        <v>522</v>
      </c>
      <c r="G51" s="17">
        <v>19308.830000000002</v>
      </c>
      <c r="H51" s="17">
        <v>3240.13</v>
      </c>
      <c r="I51" s="17">
        <v>10079209.26</v>
      </c>
      <c r="J51" s="15" t="s">
        <v>28</v>
      </c>
      <c r="K51" s="15" t="s">
        <v>18</v>
      </c>
      <c r="L51" s="9">
        <f>YEAR(E51)</f>
        <v>2021</v>
      </c>
      <c r="M51">
        <f t="shared" si="0"/>
        <v>1691347.86</v>
      </c>
    </row>
    <row r="52" spans="2:20" x14ac:dyDescent="0.15">
      <c r="B52" s="13" t="s">
        <v>551</v>
      </c>
      <c r="C52" s="14" t="s">
        <v>43</v>
      </c>
      <c r="D52" s="15" t="s">
        <v>70</v>
      </c>
      <c r="E52" s="15" t="s">
        <v>599</v>
      </c>
      <c r="F52" s="16">
        <v>797</v>
      </c>
      <c r="G52" s="17">
        <v>47976.47</v>
      </c>
      <c r="H52" s="17">
        <v>6541.42</v>
      </c>
      <c r="I52" s="17">
        <v>38237246.590000004</v>
      </c>
      <c r="J52" s="15" t="s">
        <v>17</v>
      </c>
      <c r="K52" s="15" t="s">
        <v>18</v>
      </c>
      <c r="L52" s="9">
        <f>YEAR(E52)</f>
        <v>2021</v>
      </c>
      <c r="M52">
        <f t="shared" si="0"/>
        <v>5213511.74</v>
      </c>
    </row>
    <row r="53" spans="2:20" x14ac:dyDescent="0.15">
      <c r="B53" s="13" t="s">
        <v>551</v>
      </c>
      <c r="C53" s="14" t="s">
        <v>43</v>
      </c>
      <c r="D53" s="15" t="s">
        <v>70</v>
      </c>
      <c r="E53" s="15" t="s">
        <v>361</v>
      </c>
      <c r="F53" s="16">
        <v>626</v>
      </c>
      <c r="G53" s="17">
        <v>42679.03</v>
      </c>
      <c r="H53" s="17">
        <v>7839.31</v>
      </c>
      <c r="I53" s="17">
        <v>26717072.780000001</v>
      </c>
      <c r="J53" s="15" t="s">
        <v>30</v>
      </c>
      <c r="K53" s="15" t="s">
        <v>18</v>
      </c>
      <c r="L53" s="9">
        <f>YEAR(E53)</f>
        <v>2021</v>
      </c>
      <c r="M53">
        <f t="shared" si="0"/>
        <v>4907408.0600000005</v>
      </c>
    </row>
    <row r="54" spans="2:20" x14ac:dyDescent="0.15">
      <c r="B54" s="13" t="s">
        <v>551</v>
      </c>
      <c r="C54" s="14" t="s">
        <v>79</v>
      </c>
      <c r="D54" s="15" t="s">
        <v>70</v>
      </c>
      <c r="E54" s="15" t="s">
        <v>605</v>
      </c>
      <c r="F54" s="16">
        <v>743</v>
      </c>
      <c r="G54" s="17">
        <v>24056.22</v>
      </c>
      <c r="H54" s="17">
        <v>9317.83</v>
      </c>
      <c r="I54" s="17">
        <v>17873771.460000001</v>
      </c>
      <c r="J54" s="15" t="s">
        <v>30</v>
      </c>
      <c r="K54" s="15" t="s">
        <v>18</v>
      </c>
      <c r="L54" s="9">
        <f>YEAR(E54)</f>
        <v>2021</v>
      </c>
      <c r="M54">
        <f t="shared" si="0"/>
        <v>6923147.6900000004</v>
      </c>
    </row>
    <row r="55" spans="2:20" x14ac:dyDescent="0.15">
      <c r="B55" s="13" t="s">
        <v>551</v>
      </c>
      <c r="C55" s="14" t="s">
        <v>25</v>
      </c>
      <c r="D55" s="15" t="s">
        <v>89</v>
      </c>
      <c r="E55" s="15" t="s">
        <v>550</v>
      </c>
      <c r="F55" s="16">
        <v>455</v>
      </c>
      <c r="G55" s="17">
        <v>42779.72</v>
      </c>
      <c r="H55" s="17">
        <v>6985.57</v>
      </c>
      <c r="I55" s="19">
        <v>19464772.600000001</v>
      </c>
      <c r="J55" s="15" t="s">
        <v>17</v>
      </c>
      <c r="K55" s="15" t="s">
        <v>18</v>
      </c>
      <c r="L55" s="9">
        <f>YEAR(E55)</f>
        <v>2021</v>
      </c>
      <c r="M55">
        <f t="shared" si="0"/>
        <v>3178434.35</v>
      </c>
    </row>
    <row r="56" spans="2:20" x14ac:dyDescent="0.15">
      <c r="B56" s="13" t="s">
        <v>551</v>
      </c>
      <c r="C56" s="14" t="s">
        <v>14</v>
      </c>
      <c r="D56" s="15" t="s">
        <v>153</v>
      </c>
      <c r="E56" s="15" t="s">
        <v>470</v>
      </c>
      <c r="F56" s="16">
        <v>425</v>
      </c>
      <c r="G56" s="17">
        <v>45040.57</v>
      </c>
      <c r="H56" s="17">
        <v>8443.98</v>
      </c>
      <c r="I56" s="17">
        <v>19142242.25</v>
      </c>
      <c r="J56" s="15" t="s">
        <v>17</v>
      </c>
      <c r="K56" s="15" t="s">
        <v>18</v>
      </c>
      <c r="L56" s="9">
        <f>YEAR(E56)</f>
        <v>2021</v>
      </c>
      <c r="M56">
        <f t="shared" si="0"/>
        <v>3588691.5</v>
      </c>
    </row>
    <row r="57" spans="2:20" x14ac:dyDescent="0.15">
      <c r="B57" s="13" t="s">
        <v>551</v>
      </c>
      <c r="C57" s="14" t="s">
        <v>57</v>
      </c>
      <c r="D57" s="15" t="s">
        <v>153</v>
      </c>
      <c r="E57" s="15" t="s">
        <v>616</v>
      </c>
      <c r="F57" s="16">
        <v>473</v>
      </c>
      <c r="G57" s="17">
        <v>30671.94</v>
      </c>
      <c r="H57" s="17">
        <v>7740.41</v>
      </c>
      <c r="I57" s="17">
        <v>14507827.619999999</v>
      </c>
      <c r="J57" s="15" t="s">
        <v>17</v>
      </c>
      <c r="K57" s="15" t="s">
        <v>18</v>
      </c>
      <c r="L57" s="9">
        <f>YEAR(E57)</f>
        <v>2021</v>
      </c>
      <c r="M57">
        <f t="shared" si="0"/>
        <v>3661213.9299999997</v>
      </c>
    </row>
    <row r="58" spans="2:20" x14ac:dyDescent="0.15">
      <c r="B58" s="13" t="s">
        <v>551</v>
      </c>
      <c r="C58" s="14" t="s">
        <v>14</v>
      </c>
      <c r="D58" s="15" t="s">
        <v>68</v>
      </c>
      <c r="E58" s="15" t="s">
        <v>619</v>
      </c>
      <c r="F58" s="16">
        <v>340</v>
      </c>
      <c r="G58" s="17">
        <v>32039.53</v>
      </c>
      <c r="H58" s="17">
        <v>4656.6099999999997</v>
      </c>
      <c r="I58" s="19">
        <v>10893440.199999999</v>
      </c>
      <c r="J58" s="15" t="s">
        <v>22</v>
      </c>
      <c r="K58" s="15" t="s">
        <v>18</v>
      </c>
      <c r="L58" s="9">
        <f>YEAR(E58)</f>
        <v>2021</v>
      </c>
      <c r="M58">
        <f t="shared" si="0"/>
        <v>1583247.4</v>
      </c>
    </row>
    <row r="59" spans="2:20" x14ac:dyDescent="0.15">
      <c r="B59" s="13" t="s">
        <v>551</v>
      </c>
      <c r="C59" s="14" t="s">
        <v>23</v>
      </c>
      <c r="D59" s="15" t="s">
        <v>68</v>
      </c>
      <c r="E59" s="15" t="s">
        <v>620</v>
      </c>
      <c r="F59" s="16">
        <v>415</v>
      </c>
      <c r="G59" s="17">
        <v>45905.279999999999</v>
      </c>
      <c r="H59" s="17">
        <v>7271.19</v>
      </c>
      <c r="I59" s="19">
        <v>19050691.199999999</v>
      </c>
      <c r="J59" s="15" t="s">
        <v>17</v>
      </c>
      <c r="K59" s="15" t="s">
        <v>18</v>
      </c>
      <c r="L59" s="9">
        <f>YEAR(E59)</f>
        <v>2021</v>
      </c>
      <c r="M59">
        <f t="shared" si="0"/>
        <v>3017543.8499999996</v>
      </c>
    </row>
    <row r="60" spans="2:20" x14ac:dyDescent="0.15">
      <c r="B60" s="13" t="s">
        <v>551</v>
      </c>
      <c r="C60" s="14" t="s">
        <v>23</v>
      </c>
      <c r="D60" s="15" t="s">
        <v>68</v>
      </c>
      <c r="E60" s="15" t="s">
        <v>346</v>
      </c>
      <c r="F60" s="16">
        <v>516</v>
      </c>
      <c r="G60" s="17">
        <v>48437.82</v>
      </c>
      <c r="H60" s="17">
        <v>7508.61</v>
      </c>
      <c r="I60" s="17">
        <v>24993915.120000001</v>
      </c>
      <c r="J60" s="15" t="s">
        <v>28</v>
      </c>
      <c r="K60" s="15" t="s">
        <v>18</v>
      </c>
      <c r="L60" s="9">
        <f>YEAR(E60)</f>
        <v>2021</v>
      </c>
      <c r="M60">
        <f t="shared" si="0"/>
        <v>3874442.76</v>
      </c>
    </row>
    <row r="61" spans="2:20" x14ac:dyDescent="0.15">
      <c r="B61" s="13" t="s">
        <v>551</v>
      </c>
      <c r="C61" s="14" t="s">
        <v>19</v>
      </c>
      <c r="D61" s="15" t="s">
        <v>26</v>
      </c>
      <c r="E61" s="15" t="s">
        <v>627</v>
      </c>
      <c r="F61" s="16">
        <v>874</v>
      </c>
      <c r="G61" s="17">
        <v>31711.95</v>
      </c>
      <c r="H61" s="17">
        <v>2679.84</v>
      </c>
      <c r="I61" s="19">
        <v>27716244.300000001</v>
      </c>
      <c r="J61" s="15" t="s">
        <v>22</v>
      </c>
      <c r="K61" s="15" t="s">
        <v>18</v>
      </c>
      <c r="L61" s="9">
        <f>YEAR(E61)</f>
        <v>2021</v>
      </c>
      <c r="M61">
        <f t="shared" si="0"/>
        <v>2342180.16</v>
      </c>
    </row>
    <row r="62" spans="2:20" x14ac:dyDescent="0.15">
      <c r="B62" s="13" t="s">
        <v>551</v>
      </c>
      <c r="C62" s="14" t="s">
        <v>38</v>
      </c>
      <c r="D62" s="15" t="s">
        <v>26</v>
      </c>
      <c r="E62" s="15" t="s">
        <v>629</v>
      </c>
      <c r="F62" s="16">
        <v>760</v>
      </c>
      <c r="G62" s="19">
        <v>21238.1</v>
      </c>
      <c r="H62" s="17">
        <v>8712.1299999999992</v>
      </c>
      <c r="I62" s="16">
        <v>16140956</v>
      </c>
      <c r="J62" s="15" t="s">
        <v>17</v>
      </c>
      <c r="K62" s="15" t="s">
        <v>18</v>
      </c>
      <c r="L62" s="9">
        <f>YEAR(E62)</f>
        <v>2021</v>
      </c>
      <c r="M62">
        <f t="shared" si="0"/>
        <v>6621218.7999999998</v>
      </c>
    </row>
    <row r="63" spans="2:20" x14ac:dyDescent="0.15">
      <c r="B63" s="13" t="s">
        <v>551</v>
      </c>
      <c r="C63" s="14" t="s">
        <v>38</v>
      </c>
      <c r="D63" s="15" t="s">
        <v>26</v>
      </c>
      <c r="E63" s="15" t="s">
        <v>631</v>
      </c>
      <c r="F63" s="16">
        <v>564</v>
      </c>
      <c r="G63" s="17">
        <v>41667.730000000003</v>
      </c>
      <c r="H63" s="17">
        <v>8576.44</v>
      </c>
      <c r="I63" s="17">
        <v>23500599.719999999</v>
      </c>
      <c r="J63" s="15" t="s">
        <v>17</v>
      </c>
      <c r="K63" s="15" t="s">
        <v>18</v>
      </c>
      <c r="L63" s="9">
        <f>YEAR(E63)</f>
        <v>2021</v>
      </c>
      <c r="M63">
        <f t="shared" si="0"/>
        <v>4837112.16</v>
      </c>
    </row>
    <row r="64" spans="2:20" x14ac:dyDescent="0.15">
      <c r="B64" s="13" t="s">
        <v>551</v>
      </c>
      <c r="C64" s="14" t="s">
        <v>25</v>
      </c>
      <c r="D64" s="15" t="s">
        <v>26</v>
      </c>
      <c r="E64" s="15" t="s">
        <v>82</v>
      </c>
      <c r="F64" s="16">
        <v>407</v>
      </c>
      <c r="G64" s="17">
        <v>24660.78</v>
      </c>
      <c r="H64" s="17">
        <v>5093.8500000000004</v>
      </c>
      <c r="I64" s="17">
        <v>10036937.460000001</v>
      </c>
      <c r="J64" s="15" t="s">
        <v>17</v>
      </c>
      <c r="K64" s="15" t="s">
        <v>18</v>
      </c>
      <c r="L64" s="9">
        <f>YEAR(E64)</f>
        <v>2021</v>
      </c>
      <c r="M64">
        <f t="shared" si="0"/>
        <v>2073196.9500000002</v>
      </c>
    </row>
    <row r="65" spans="2:13" x14ac:dyDescent="0.15">
      <c r="B65" s="13" t="s">
        <v>551</v>
      </c>
      <c r="C65" s="14" t="s">
        <v>14</v>
      </c>
      <c r="D65" s="15" t="s">
        <v>107</v>
      </c>
      <c r="E65" s="15" t="s">
        <v>559</v>
      </c>
      <c r="F65" s="16">
        <v>316</v>
      </c>
      <c r="G65" s="17">
        <v>33608.720000000001</v>
      </c>
      <c r="H65" s="17">
        <v>8153.51</v>
      </c>
      <c r="I65" s="17">
        <v>10620355.52</v>
      </c>
      <c r="J65" s="15" t="s">
        <v>22</v>
      </c>
      <c r="K65" s="15" t="s">
        <v>18</v>
      </c>
      <c r="L65" s="9">
        <f>YEAR(E65)</f>
        <v>2022</v>
      </c>
      <c r="M65">
        <f t="shared" si="0"/>
        <v>2576509.16</v>
      </c>
    </row>
    <row r="66" spans="2:13" x14ac:dyDescent="0.15">
      <c r="B66" s="13" t="s">
        <v>551</v>
      </c>
      <c r="C66" s="14" t="s">
        <v>19</v>
      </c>
      <c r="D66" s="15" t="s">
        <v>107</v>
      </c>
      <c r="E66" s="15" t="s">
        <v>561</v>
      </c>
      <c r="F66" s="16">
        <v>895</v>
      </c>
      <c r="G66" s="19">
        <v>44466.3</v>
      </c>
      <c r="H66" s="17">
        <v>6556.12</v>
      </c>
      <c r="I66" s="19">
        <v>39797338.5</v>
      </c>
      <c r="J66" s="15" t="s">
        <v>17</v>
      </c>
      <c r="K66" s="15" t="s">
        <v>18</v>
      </c>
      <c r="L66" s="9">
        <f>YEAR(E66)</f>
        <v>2022</v>
      </c>
      <c r="M66">
        <f t="shared" si="0"/>
        <v>5867727.3999999994</v>
      </c>
    </row>
    <row r="67" spans="2:13" x14ac:dyDescent="0.15">
      <c r="B67" s="13" t="s">
        <v>551</v>
      </c>
      <c r="C67" s="14" t="s">
        <v>57</v>
      </c>
      <c r="D67" s="15" t="s">
        <v>107</v>
      </c>
      <c r="E67" s="15" t="s">
        <v>276</v>
      </c>
      <c r="F67" s="16">
        <v>249</v>
      </c>
      <c r="G67" s="17">
        <v>28428.84</v>
      </c>
      <c r="H67" s="17">
        <v>5844.67</v>
      </c>
      <c r="I67" s="17">
        <v>7078781.1600000001</v>
      </c>
      <c r="J67" s="15" t="s">
        <v>17</v>
      </c>
      <c r="K67" s="15" t="s">
        <v>18</v>
      </c>
      <c r="L67" s="9">
        <f>YEAR(E67)</f>
        <v>2022</v>
      </c>
      <c r="M67">
        <f t="shared" si="0"/>
        <v>1455322.83</v>
      </c>
    </row>
    <row r="68" spans="2:13" x14ac:dyDescent="0.15">
      <c r="B68" s="13" t="s">
        <v>551</v>
      </c>
      <c r="C68" s="14" t="s">
        <v>57</v>
      </c>
      <c r="D68" s="15" t="s">
        <v>53</v>
      </c>
      <c r="E68" s="15" t="s">
        <v>567</v>
      </c>
      <c r="F68" s="16">
        <v>151</v>
      </c>
      <c r="G68" s="17">
        <v>11379.89</v>
      </c>
      <c r="H68" s="17">
        <v>7761.71</v>
      </c>
      <c r="I68" s="17">
        <v>1718363.39</v>
      </c>
      <c r="J68" s="15" t="s">
        <v>17</v>
      </c>
      <c r="K68" s="15" t="s">
        <v>18</v>
      </c>
      <c r="L68" s="9">
        <f>YEAR(E68)</f>
        <v>2022</v>
      </c>
      <c r="M68">
        <f t="shared" ref="M68:M124" si="1">H68*F68</f>
        <v>1172018.21</v>
      </c>
    </row>
    <row r="69" spans="2:13" x14ac:dyDescent="0.15">
      <c r="B69" s="13" t="s">
        <v>551</v>
      </c>
      <c r="C69" s="14" t="s">
        <v>14</v>
      </c>
      <c r="D69" s="15" t="s">
        <v>53</v>
      </c>
      <c r="E69" s="15" t="s">
        <v>568</v>
      </c>
      <c r="F69" s="16">
        <v>926</v>
      </c>
      <c r="G69" s="17">
        <v>24045.41</v>
      </c>
      <c r="H69" s="17">
        <v>4426.1400000000003</v>
      </c>
      <c r="I69" s="17">
        <v>22266049.66</v>
      </c>
      <c r="J69" s="15" t="s">
        <v>30</v>
      </c>
      <c r="K69" s="15" t="s">
        <v>18</v>
      </c>
      <c r="L69" s="9">
        <f>YEAR(E69)</f>
        <v>2022</v>
      </c>
      <c r="M69">
        <f t="shared" si="1"/>
        <v>4098605.64</v>
      </c>
    </row>
    <row r="70" spans="2:13" x14ac:dyDescent="0.15">
      <c r="B70" s="13" t="s">
        <v>551</v>
      </c>
      <c r="C70" s="14" t="s">
        <v>43</v>
      </c>
      <c r="D70" s="15" t="s">
        <v>53</v>
      </c>
      <c r="E70" s="15" t="s">
        <v>571</v>
      </c>
      <c r="F70" s="16">
        <v>486</v>
      </c>
      <c r="G70" s="17">
        <v>38153.089999999997</v>
      </c>
      <c r="H70" s="17">
        <v>9878.35</v>
      </c>
      <c r="I70" s="17">
        <v>18542401.739999998</v>
      </c>
      <c r="J70" s="15" t="s">
        <v>28</v>
      </c>
      <c r="K70" s="15" t="s">
        <v>18</v>
      </c>
      <c r="L70" s="9">
        <f>YEAR(E70)</f>
        <v>2022</v>
      </c>
      <c r="M70">
        <f t="shared" si="1"/>
        <v>4800878.1000000006</v>
      </c>
    </row>
    <row r="71" spans="2:13" x14ac:dyDescent="0.15">
      <c r="B71" s="13" t="s">
        <v>551</v>
      </c>
      <c r="C71" s="14" t="s">
        <v>23</v>
      </c>
      <c r="D71" s="15" t="s">
        <v>15</v>
      </c>
      <c r="E71" s="15" t="s">
        <v>576</v>
      </c>
      <c r="F71" s="16">
        <v>167</v>
      </c>
      <c r="G71" s="17">
        <v>22070.13</v>
      </c>
      <c r="H71" s="17">
        <v>2572.19</v>
      </c>
      <c r="I71" s="17">
        <v>3685711.71</v>
      </c>
      <c r="J71" s="15" t="s">
        <v>30</v>
      </c>
      <c r="K71" s="15" t="s">
        <v>18</v>
      </c>
      <c r="L71" s="9">
        <f>YEAR(E71)</f>
        <v>2022</v>
      </c>
      <c r="M71">
        <f t="shared" si="1"/>
        <v>429555.73</v>
      </c>
    </row>
    <row r="72" spans="2:13" x14ac:dyDescent="0.15">
      <c r="B72" s="13" t="s">
        <v>551</v>
      </c>
      <c r="C72" s="14" t="s">
        <v>14</v>
      </c>
      <c r="D72" s="15" t="s">
        <v>15</v>
      </c>
      <c r="E72" s="15" t="s">
        <v>350</v>
      </c>
      <c r="F72" s="16">
        <v>779</v>
      </c>
      <c r="G72" s="19">
        <v>26423.8</v>
      </c>
      <c r="H72" s="17">
        <v>2626.87</v>
      </c>
      <c r="I72" s="19">
        <v>20584140.199999999</v>
      </c>
      <c r="J72" s="15" t="s">
        <v>17</v>
      </c>
      <c r="K72" s="15" t="s">
        <v>18</v>
      </c>
      <c r="L72" s="9">
        <f>YEAR(E72)</f>
        <v>2022</v>
      </c>
      <c r="M72">
        <f t="shared" si="1"/>
        <v>2046331.73</v>
      </c>
    </row>
    <row r="73" spans="2:13" x14ac:dyDescent="0.15">
      <c r="B73" s="13" t="s">
        <v>551</v>
      </c>
      <c r="C73" s="14" t="s">
        <v>35</v>
      </c>
      <c r="D73" s="15" t="s">
        <v>15</v>
      </c>
      <c r="E73" s="15" t="s">
        <v>579</v>
      </c>
      <c r="F73" s="16">
        <v>933</v>
      </c>
      <c r="G73" s="17">
        <v>18835.79</v>
      </c>
      <c r="H73" s="17">
        <v>6247.48</v>
      </c>
      <c r="I73" s="17">
        <v>17573792.07</v>
      </c>
      <c r="J73" s="15" t="s">
        <v>28</v>
      </c>
      <c r="K73" s="15" t="s">
        <v>18</v>
      </c>
      <c r="L73" s="9">
        <f>YEAR(E73)</f>
        <v>2022</v>
      </c>
      <c r="M73">
        <f t="shared" si="1"/>
        <v>5828898.8399999999</v>
      </c>
    </row>
    <row r="74" spans="2:13" x14ac:dyDescent="0.15">
      <c r="B74" s="13" t="s">
        <v>551</v>
      </c>
      <c r="C74" s="14" t="s">
        <v>43</v>
      </c>
      <c r="D74" s="15" t="s">
        <v>15</v>
      </c>
      <c r="E74" s="15" t="s">
        <v>51</v>
      </c>
      <c r="F74" s="16">
        <v>103</v>
      </c>
      <c r="G74" s="19">
        <v>12852.2</v>
      </c>
      <c r="H74" s="19">
        <v>8992.5</v>
      </c>
      <c r="I74" s="19">
        <v>1323776.6000000001</v>
      </c>
      <c r="J74" s="15" t="s">
        <v>17</v>
      </c>
      <c r="K74" s="15" t="s">
        <v>18</v>
      </c>
      <c r="L74" s="9">
        <f>YEAR(E74)</f>
        <v>2022</v>
      </c>
      <c r="M74">
        <f t="shared" si="1"/>
        <v>926227.5</v>
      </c>
    </row>
    <row r="75" spans="2:13" x14ac:dyDescent="0.15">
      <c r="B75" s="13" t="s">
        <v>551</v>
      </c>
      <c r="C75" s="14" t="s">
        <v>14</v>
      </c>
      <c r="D75" s="15" t="s">
        <v>114</v>
      </c>
      <c r="E75" s="15" t="s">
        <v>592</v>
      </c>
      <c r="F75" s="16">
        <v>608</v>
      </c>
      <c r="G75" s="19">
        <v>28314.400000000001</v>
      </c>
      <c r="H75" s="17">
        <v>6615.26</v>
      </c>
      <c r="I75" s="19">
        <v>17215155.199999999</v>
      </c>
      <c r="J75" s="15" t="s">
        <v>17</v>
      </c>
      <c r="K75" s="15" t="s">
        <v>18</v>
      </c>
      <c r="L75" s="9">
        <f>YEAR(E75)</f>
        <v>2022</v>
      </c>
      <c r="M75">
        <f t="shared" si="1"/>
        <v>4022078.08</v>
      </c>
    </row>
    <row r="76" spans="2:13" x14ac:dyDescent="0.15">
      <c r="B76" s="13" t="s">
        <v>551</v>
      </c>
      <c r="C76" s="14" t="s">
        <v>14</v>
      </c>
      <c r="D76" s="15" t="s">
        <v>114</v>
      </c>
      <c r="E76" s="15" t="s">
        <v>594</v>
      </c>
      <c r="F76" s="16">
        <v>384</v>
      </c>
      <c r="G76" s="17">
        <v>21222.42</v>
      </c>
      <c r="H76" s="17">
        <v>4490.5600000000004</v>
      </c>
      <c r="I76" s="17">
        <v>8149409.2800000003</v>
      </c>
      <c r="J76" s="15" t="s">
        <v>30</v>
      </c>
      <c r="K76" s="15" t="s">
        <v>18</v>
      </c>
      <c r="L76" s="9">
        <f>YEAR(E76)</f>
        <v>2022</v>
      </c>
      <c r="M76">
        <f t="shared" si="1"/>
        <v>1724375.04</v>
      </c>
    </row>
    <row r="77" spans="2:13" x14ac:dyDescent="0.15">
      <c r="B77" s="13" t="s">
        <v>551</v>
      </c>
      <c r="C77" s="14" t="s">
        <v>35</v>
      </c>
      <c r="D77" s="15" t="s">
        <v>114</v>
      </c>
      <c r="E77" s="15" t="s">
        <v>595</v>
      </c>
      <c r="F77" s="16">
        <v>825</v>
      </c>
      <c r="G77" s="17">
        <v>44517.66</v>
      </c>
      <c r="H77" s="17">
        <v>7496.94</v>
      </c>
      <c r="I77" s="19">
        <v>36727069.5</v>
      </c>
      <c r="J77" s="15" t="s">
        <v>17</v>
      </c>
      <c r="K77" s="15" t="s">
        <v>18</v>
      </c>
      <c r="L77" s="9">
        <f>YEAR(E77)</f>
        <v>2022</v>
      </c>
      <c r="M77">
        <f t="shared" si="1"/>
        <v>6184975.5</v>
      </c>
    </row>
    <row r="78" spans="2:13" x14ac:dyDescent="0.15">
      <c r="B78" s="13" t="s">
        <v>551</v>
      </c>
      <c r="C78" s="14" t="s">
        <v>43</v>
      </c>
      <c r="D78" s="15" t="s">
        <v>70</v>
      </c>
      <c r="E78" s="15" t="s">
        <v>601</v>
      </c>
      <c r="F78" s="16">
        <v>883</v>
      </c>
      <c r="G78" s="17">
        <v>28437.69</v>
      </c>
      <c r="H78" s="17">
        <v>8368.84</v>
      </c>
      <c r="I78" s="17">
        <v>25110480.27</v>
      </c>
      <c r="J78" s="15" t="s">
        <v>17</v>
      </c>
      <c r="K78" s="15" t="s">
        <v>18</v>
      </c>
      <c r="L78" s="9">
        <f>YEAR(E78)</f>
        <v>2022</v>
      </c>
      <c r="M78">
        <f t="shared" si="1"/>
        <v>7389685.7199999997</v>
      </c>
    </row>
    <row r="79" spans="2:13" x14ac:dyDescent="0.15">
      <c r="B79" s="13" t="s">
        <v>551</v>
      </c>
      <c r="C79" s="14" t="s">
        <v>19</v>
      </c>
      <c r="D79" s="15" t="s">
        <v>70</v>
      </c>
      <c r="E79" s="15" t="s">
        <v>603</v>
      </c>
      <c r="F79" s="16">
        <v>386</v>
      </c>
      <c r="G79" s="17">
        <v>21185.94</v>
      </c>
      <c r="H79" s="17">
        <v>4796.95</v>
      </c>
      <c r="I79" s="17">
        <v>8177772.8399999999</v>
      </c>
      <c r="J79" s="15" t="s">
        <v>17</v>
      </c>
      <c r="K79" s="15" t="s">
        <v>18</v>
      </c>
      <c r="L79" s="9">
        <f>YEAR(E79)</f>
        <v>2022</v>
      </c>
      <c r="M79">
        <f t="shared" si="1"/>
        <v>1851622.7</v>
      </c>
    </row>
    <row r="80" spans="2:13" x14ac:dyDescent="0.15">
      <c r="B80" s="13" t="s">
        <v>551</v>
      </c>
      <c r="C80" s="14" t="s">
        <v>23</v>
      </c>
      <c r="D80" s="15" t="s">
        <v>89</v>
      </c>
      <c r="E80" s="15" t="s">
        <v>527</v>
      </c>
      <c r="F80" s="16">
        <v>609</v>
      </c>
      <c r="G80" s="17">
        <v>26243.24</v>
      </c>
      <c r="H80" s="17">
        <v>2186.16</v>
      </c>
      <c r="I80" s="17">
        <v>15982133.16</v>
      </c>
      <c r="J80" s="15" t="s">
        <v>22</v>
      </c>
      <c r="K80" s="15" t="s">
        <v>18</v>
      </c>
      <c r="L80" s="9">
        <f>YEAR(E80)</f>
        <v>2022</v>
      </c>
      <c r="M80">
        <f t="shared" si="1"/>
        <v>1331371.44</v>
      </c>
    </row>
    <row r="81" spans="2:13" x14ac:dyDescent="0.15">
      <c r="B81" s="13" t="s">
        <v>551</v>
      </c>
      <c r="C81" s="14" t="s">
        <v>25</v>
      </c>
      <c r="D81" s="15" t="s">
        <v>26</v>
      </c>
      <c r="E81" s="15" t="s">
        <v>527</v>
      </c>
      <c r="F81" s="16">
        <v>643</v>
      </c>
      <c r="G81" s="19">
        <v>49198.6</v>
      </c>
      <c r="H81" s="17">
        <v>9700.9500000000007</v>
      </c>
      <c r="I81" s="19">
        <v>31634699.800000001</v>
      </c>
      <c r="J81" s="15" t="s">
        <v>30</v>
      </c>
      <c r="K81" s="15" t="s">
        <v>18</v>
      </c>
      <c r="L81" s="9">
        <f>YEAR(E81)</f>
        <v>2022</v>
      </c>
      <c r="M81">
        <f t="shared" si="1"/>
        <v>6237710.8500000006</v>
      </c>
    </row>
    <row r="82" spans="2:13" x14ac:dyDescent="0.15">
      <c r="B82" s="13" t="s">
        <v>551</v>
      </c>
      <c r="C82" s="14" t="s">
        <v>23</v>
      </c>
      <c r="D82" s="15" t="s">
        <v>89</v>
      </c>
      <c r="E82" s="15" t="s">
        <v>240</v>
      </c>
      <c r="F82" s="16">
        <v>354</v>
      </c>
      <c r="G82" s="19">
        <v>29803.5</v>
      </c>
      <c r="H82" s="17">
        <v>8893.66</v>
      </c>
      <c r="I82" s="16">
        <v>10550439</v>
      </c>
      <c r="J82" s="15" t="s">
        <v>28</v>
      </c>
      <c r="K82" s="15" t="s">
        <v>18</v>
      </c>
      <c r="L82" s="9">
        <f>YEAR(E82)</f>
        <v>2022</v>
      </c>
      <c r="M82">
        <f t="shared" si="1"/>
        <v>3148355.64</v>
      </c>
    </row>
    <row r="83" spans="2:13" x14ac:dyDescent="0.15">
      <c r="B83" s="13" t="s">
        <v>551</v>
      </c>
      <c r="C83" s="14" t="s">
        <v>23</v>
      </c>
      <c r="D83" s="15" t="s">
        <v>89</v>
      </c>
      <c r="E83" s="15" t="s">
        <v>322</v>
      </c>
      <c r="F83" s="16">
        <v>394</v>
      </c>
      <c r="G83" s="17">
        <v>46216.74</v>
      </c>
      <c r="H83" s="17">
        <v>4748.54</v>
      </c>
      <c r="I83" s="17">
        <v>18209395.559999999</v>
      </c>
      <c r="J83" s="15" t="s">
        <v>17</v>
      </c>
      <c r="K83" s="15" t="s">
        <v>18</v>
      </c>
      <c r="L83" s="9">
        <f>YEAR(E83)</f>
        <v>2022</v>
      </c>
      <c r="M83">
        <f t="shared" si="1"/>
        <v>1870924.76</v>
      </c>
    </row>
    <row r="84" spans="2:13" x14ac:dyDescent="0.15">
      <c r="B84" s="13" t="s">
        <v>551</v>
      </c>
      <c r="C84" s="14" t="s">
        <v>31</v>
      </c>
      <c r="D84" s="15" t="s">
        <v>89</v>
      </c>
      <c r="E84" s="15" t="s">
        <v>610</v>
      </c>
      <c r="F84" s="16">
        <v>539</v>
      </c>
      <c r="G84" s="17">
        <v>23220.19</v>
      </c>
      <c r="H84" s="19">
        <v>4742.1000000000004</v>
      </c>
      <c r="I84" s="17">
        <v>12515682.41</v>
      </c>
      <c r="J84" s="15" t="s">
        <v>17</v>
      </c>
      <c r="K84" s="15" t="s">
        <v>18</v>
      </c>
      <c r="L84" s="9">
        <f>YEAR(E84)</f>
        <v>2022</v>
      </c>
      <c r="M84">
        <f t="shared" si="1"/>
        <v>2555991.9000000004</v>
      </c>
    </row>
    <row r="85" spans="2:13" x14ac:dyDescent="0.15">
      <c r="B85" s="13" t="s">
        <v>551</v>
      </c>
      <c r="C85" s="14" t="s">
        <v>23</v>
      </c>
      <c r="D85" s="15" t="s">
        <v>153</v>
      </c>
      <c r="E85" s="15" t="s">
        <v>615</v>
      </c>
      <c r="F85" s="16">
        <v>708</v>
      </c>
      <c r="G85" s="17">
        <v>30535.43</v>
      </c>
      <c r="H85" s="17">
        <v>9607.32</v>
      </c>
      <c r="I85" s="17">
        <v>21619084.440000001</v>
      </c>
      <c r="J85" s="15" t="s">
        <v>22</v>
      </c>
      <c r="K85" s="15" t="s">
        <v>18</v>
      </c>
      <c r="L85" s="9">
        <f>YEAR(E85)</f>
        <v>2022</v>
      </c>
      <c r="M85">
        <f t="shared" si="1"/>
        <v>6801982.5599999996</v>
      </c>
    </row>
    <row r="86" spans="2:13" x14ac:dyDescent="0.15">
      <c r="B86" s="13" t="s">
        <v>551</v>
      </c>
      <c r="C86" s="14" t="s">
        <v>19</v>
      </c>
      <c r="D86" s="15" t="s">
        <v>153</v>
      </c>
      <c r="E86" s="15" t="s">
        <v>617</v>
      </c>
      <c r="F86" s="16">
        <v>780</v>
      </c>
      <c r="G86" s="17">
        <v>16243.24</v>
      </c>
      <c r="H86" s="17">
        <v>7099.21</v>
      </c>
      <c r="I86" s="19">
        <v>12669727.199999999</v>
      </c>
      <c r="J86" s="15" t="s">
        <v>22</v>
      </c>
      <c r="K86" s="15" t="s">
        <v>18</v>
      </c>
      <c r="L86" s="9">
        <f>YEAR(E86)</f>
        <v>2022</v>
      </c>
      <c r="M86">
        <f t="shared" si="1"/>
        <v>5537383.7999999998</v>
      </c>
    </row>
    <row r="87" spans="2:13" x14ac:dyDescent="0.15">
      <c r="B87" s="13" t="s">
        <v>551</v>
      </c>
      <c r="C87" s="14" t="s">
        <v>23</v>
      </c>
      <c r="D87" s="15" t="s">
        <v>68</v>
      </c>
      <c r="E87" s="15" t="s">
        <v>618</v>
      </c>
      <c r="F87" s="16">
        <v>538</v>
      </c>
      <c r="G87" s="17">
        <v>16103.22</v>
      </c>
      <c r="H87" s="17">
        <v>9497.2900000000009</v>
      </c>
      <c r="I87" s="17">
        <v>8663532.3599999994</v>
      </c>
      <c r="J87" s="15" t="s">
        <v>17</v>
      </c>
      <c r="K87" s="15" t="s">
        <v>18</v>
      </c>
      <c r="L87" s="9">
        <f>YEAR(E87)</f>
        <v>2022</v>
      </c>
      <c r="M87">
        <f t="shared" si="1"/>
        <v>5109542.0200000005</v>
      </c>
    </row>
    <row r="88" spans="2:13" x14ac:dyDescent="0.15">
      <c r="B88" s="13" t="s">
        <v>551</v>
      </c>
      <c r="C88" s="14" t="s">
        <v>38</v>
      </c>
      <c r="D88" s="15" t="s">
        <v>68</v>
      </c>
      <c r="E88" s="15" t="s">
        <v>348</v>
      </c>
      <c r="F88" s="16">
        <v>426</v>
      </c>
      <c r="G88" s="17">
        <v>27262.69</v>
      </c>
      <c r="H88" s="17">
        <v>8439.65</v>
      </c>
      <c r="I88" s="17">
        <v>11613905.939999999</v>
      </c>
      <c r="J88" s="15" t="s">
        <v>17</v>
      </c>
      <c r="K88" s="15" t="s">
        <v>18</v>
      </c>
      <c r="L88" s="9">
        <f>YEAR(E88)</f>
        <v>2022</v>
      </c>
      <c r="M88">
        <f t="shared" si="1"/>
        <v>3595290.9</v>
      </c>
    </row>
    <row r="89" spans="2:13" x14ac:dyDescent="0.15">
      <c r="B89" s="13" t="s">
        <v>551</v>
      </c>
      <c r="C89" s="14" t="s">
        <v>57</v>
      </c>
      <c r="D89" s="15" t="s">
        <v>68</v>
      </c>
      <c r="E89" s="15" t="s">
        <v>626</v>
      </c>
      <c r="F89" s="16">
        <v>346</v>
      </c>
      <c r="G89" s="17">
        <v>43082.11</v>
      </c>
      <c r="H89" s="17">
        <v>9731.66</v>
      </c>
      <c r="I89" s="17">
        <v>14906410.060000001</v>
      </c>
      <c r="J89" s="15" t="s">
        <v>17</v>
      </c>
      <c r="K89" s="15" t="s">
        <v>18</v>
      </c>
      <c r="L89" s="9">
        <f>YEAR(E89)</f>
        <v>2022</v>
      </c>
      <c r="M89">
        <f t="shared" si="1"/>
        <v>3367154.36</v>
      </c>
    </row>
    <row r="90" spans="2:13" x14ac:dyDescent="0.15">
      <c r="B90" s="13" t="s">
        <v>551</v>
      </c>
      <c r="C90" s="14" t="s">
        <v>23</v>
      </c>
      <c r="D90" s="15" t="s">
        <v>26</v>
      </c>
      <c r="E90" s="15" t="s">
        <v>630</v>
      </c>
      <c r="F90" s="16">
        <v>253</v>
      </c>
      <c r="G90" s="17">
        <v>13931.93</v>
      </c>
      <c r="H90" s="17">
        <v>2641.17</v>
      </c>
      <c r="I90" s="17">
        <v>3524778.29</v>
      </c>
      <c r="J90" s="15" t="s">
        <v>28</v>
      </c>
      <c r="K90" s="15" t="s">
        <v>18</v>
      </c>
      <c r="L90" s="9">
        <f>YEAR(E90)</f>
        <v>2022</v>
      </c>
      <c r="M90">
        <f t="shared" si="1"/>
        <v>668216.01</v>
      </c>
    </row>
    <row r="91" spans="2:13" x14ac:dyDescent="0.15">
      <c r="B91" s="13" t="s">
        <v>551</v>
      </c>
      <c r="C91" s="14" t="s">
        <v>19</v>
      </c>
      <c r="D91" s="15" t="s">
        <v>107</v>
      </c>
      <c r="E91" s="15" t="s">
        <v>552</v>
      </c>
      <c r="F91" s="16">
        <v>872</v>
      </c>
      <c r="G91" s="17">
        <v>12470.14</v>
      </c>
      <c r="H91" s="17">
        <v>4780.03</v>
      </c>
      <c r="I91" s="17">
        <v>10873962.08</v>
      </c>
      <c r="J91" s="15" t="s">
        <v>28</v>
      </c>
      <c r="K91" s="15" t="s">
        <v>18</v>
      </c>
      <c r="L91" s="9">
        <f>YEAR(E91)</f>
        <v>2023</v>
      </c>
      <c r="M91">
        <f t="shared" si="1"/>
        <v>4168186.1599999997</v>
      </c>
    </row>
    <row r="92" spans="2:13" x14ac:dyDescent="0.15">
      <c r="B92" s="13" t="s">
        <v>551</v>
      </c>
      <c r="C92" s="14" t="s">
        <v>38</v>
      </c>
      <c r="D92" s="15" t="s">
        <v>26</v>
      </c>
      <c r="E92" s="15" t="s">
        <v>552</v>
      </c>
      <c r="F92" s="16">
        <v>104</v>
      </c>
      <c r="G92" s="17">
        <v>40095.35</v>
      </c>
      <c r="H92" s="17">
        <v>5633.91</v>
      </c>
      <c r="I92" s="19">
        <v>4169916.4</v>
      </c>
      <c r="J92" s="15" t="s">
        <v>17</v>
      </c>
      <c r="K92" s="15" t="s">
        <v>18</v>
      </c>
      <c r="L92" s="9">
        <f>YEAR(E92)</f>
        <v>2023</v>
      </c>
      <c r="M92">
        <f t="shared" si="1"/>
        <v>585926.64</v>
      </c>
    </row>
    <row r="93" spans="2:13" x14ac:dyDescent="0.15">
      <c r="B93" s="13" t="s">
        <v>551</v>
      </c>
      <c r="C93" s="14" t="s">
        <v>31</v>
      </c>
      <c r="D93" s="15" t="s">
        <v>107</v>
      </c>
      <c r="E93" s="15" t="s">
        <v>556</v>
      </c>
      <c r="F93" s="16">
        <v>828</v>
      </c>
      <c r="G93" s="17">
        <v>33820.94</v>
      </c>
      <c r="H93" s="17">
        <v>4963.47</v>
      </c>
      <c r="I93" s="17">
        <v>28003738.32</v>
      </c>
      <c r="J93" s="15" t="s">
        <v>17</v>
      </c>
      <c r="K93" s="15" t="s">
        <v>18</v>
      </c>
      <c r="L93" s="9">
        <f>YEAR(E93)</f>
        <v>2023</v>
      </c>
      <c r="M93">
        <f t="shared" si="1"/>
        <v>4109753.16</v>
      </c>
    </row>
    <row r="94" spans="2:13" x14ac:dyDescent="0.15">
      <c r="B94" s="13" t="s">
        <v>551</v>
      </c>
      <c r="C94" s="14" t="s">
        <v>38</v>
      </c>
      <c r="D94" s="15" t="s">
        <v>107</v>
      </c>
      <c r="E94" s="15" t="s">
        <v>562</v>
      </c>
      <c r="F94" s="16">
        <v>893</v>
      </c>
      <c r="G94" s="17">
        <v>32511.33</v>
      </c>
      <c r="H94" s="17">
        <v>6398.44</v>
      </c>
      <c r="I94" s="17">
        <v>29032617.690000001</v>
      </c>
      <c r="J94" s="15" t="s">
        <v>17</v>
      </c>
      <c r="K94" s="15" t="s">
        <v>18</v>
      </c>
      <c r="L94" s="9">
        <f>YEAR(E94)</f>
        <v>2023</v>
      </c>
      <c r="M94">
        <f t="shared" si="1"/>
        <v>5713806.9199999999</v>
      </c>
    </row>
    <row r="95" spans="2:13" x14ac:dyDescent="0.15">
      <c r="B95" s="13" t="s">
        <v>551</v>
      </c>
      <c r="C95" s="14" t="s">
        <v>38</v>
      </c>
      <c r="D95" s="15" t="s">
        <v>107</v>
      </c>
      <c r="E95" s="15" t="s">
        <v>563</v>
      </c>
      <c r="F95" s="16">
        <v>878</v>
      </c>
      <c r="G95" s="17">
        <v>38183.620000000003</v>
      </c>
      <c r="H95" s="17">
        <v>5032.49</v>
      </c>
      <c r="I95" s="17">
        <v>33525218.359999999</v>
      </c>
      <c r="J95" s="15" t="s">
        <v>17</v>
      </c>
      <c r="K95" s="15" t="s">
        <v>18</v>
      </c>
      <c r="L95" s="9">
        <f>YEAR(E95)</f>
        <v>2023</v>
      </c>
      <c r="M95">
        <f t="shared" si="1"/>
        <v>4418526.22</v>
      </c>
    </row>
    <row r="96" spans="2:13" x14ac:dyDescent="0.15">
      <c r="B96" s="13" t="s">
        <v>551</v>
      </c>
      <c r="C96" s="14" t="s">
        <v>14</v>
      </c>
      <c r="D96" s="15" t="s">
        <v>107</v>
      </c>
      <c r="E96" s="15" t="s">
        <v>403</v>
      </c>
      <c r="F96" s="16">
        <v>700</v>
      </c>
      <c r="G96" s="17">
        <v>24041.35</v>
      </c>
      <c r="H96" s="17">
        <v>3922.05</v>
      </c>
      <c r="I96" s="16">
        <v>16828945</v>
      </c>
      <c r="J96" s="15" t="s">
        <v>17</v>
      </c>
      <c r="K96" s="15" t="s">
        <v>18</v>
      </c>
      <c r="L96" s="9">
        <f>YEAR(E96)</f>
        <v>2023</v>
      </c>
      <c r="M96">
        <f t="shared" si="1"/>
        <v>2745435</v>
      </c>
    </row>
    <row r="97" spans="2:13" x14ac:dyDescent="0.15">
      <c r="B97" s="13" t="s">
        <v>551</v>
      </c>
      <c r="C97" s="14" t="s">
        <v>25</v>
      </c>
      <c r="D97" s="15" t="s">
        <v>53</v>
      </c>
      <c r="E97" s="15" t="s">
        <v>566</v>
      </c>
      <c r="F97" s="16">
        <v>127</v>
      </c>
      <c r="G97" s="17">
        <v>35665.11</v>
      </c>
      <c r="H97" s="17">
        <v>9712.9699999999993</v>
      </c>
      <c r="I97" s="17">
        <v>4529468.97</v>
      </c>
      <c r="J97" s="15" t="s">
        <v>17</v>
      </c>
      <c r="K97" s="15" t="s">
        <v>18</v>
      </c>
      <c r="L97" s="9">
        <f>YEAR(E97)</f>
        <v>2023</v>
      </c>
      <c r="M97">
        <f t="shared" si="1"/>
        <v>1233547.19</v>
      </c>
    </row>
    <row r="98" spans="2:13" x14ac:dyDescent="0.15">
      <c r="B98" s="13" t="s">
        <v>551</v>
      </c>
      <c r="C98" s="14" t="s">
        <v>23</v>
      </c>
      <c r="D98" s="15" t="s">
        <v>15</v>
      </c>
      <c r="E98" s="15" t="s">
        <v>299</v>
      </c>
      <c r="F98" s="16">
        <v>592</v>
      </c>
      <c r="G98" s="17">
        <v>32644.13</v>
      </c>
      <c r="H98" s="17">
        <v>7497.09</v>
      </c>
      <c r="I98" s="17">
        <v>19325324.960000001</v>
      </c>
      <c r="J98" s="15" t="s">
        <v>17</v>
      </c>
      <c r="K98" s="15" t="s">
        <v>18</v>
      </c>
      <c r="L98" s="9">
        <f>YEAR(E98)</f>
        <v>2023</v>
      </c>
      <c r="M98">
        <f t="shared" si="1"/>
        <v>4438277.28</v>
      </c>
    </row>
    <row r="99" spans="2:13" x14ac:dyDescent="0.15">
      <c r="B99" s="13" t="s">
        <v>551</v>
      </c>
      <c r="C99" s="14" t="s">
        <v>79</v>
      </c>
      <c r="D99" s="15" t="s">
        <v>15</v>
      </c>
      <c r="E99" s="15" t="s">
        <v>457</v>
      </c>
      <c r="F99" s="16">
        <v>589</v>
      </c>
      <c r="G99" s="17">
        <v>47737.46</v>
      </c>
      <c r="H99" s="17">
        <v>4814.2299999999996</v>
      </c>
      <c r="I99" s="17">
        <v>28117363.940000001</v>
      </c>
      <c r="J99" s="15" t="s">
        <v>30</v>
      </c>
      <c r="K99" s="15" t="s">
        <v>18</v>
      </c>
      <c r="L99" s="9">
        <f>YEAR(E99)</f>
        <v>2023</v>
      </c>
      <c r="M99">
        <f t="shared" si="1"/>
        <v>2835581.4699999997</v>
      </c>
    </row>
    <row r="100" spans="2:13" x14ac:dyDescent="0.15">
      <c r="B100" s="13" t="s">
        <v>551</v>
      </c>
      <c r="C100" s="14" t="s">
        <v>43</v>
      </c>
      <c r="D100" s="15" t="s">
        <v>15</v>
      </c>
      <c r="E100" s="15" t="s">
        <v>374</v>
      </c>
      <c r="F100" s="16">
        <v>199</v>
      </c>
      <c r="G100" s="17">
        <v>23511.99</v>
      </c>
      <c r="H100" s="19">
        <v>4799.3999999999996</v>
      </c>
      <c r="I100" s="17">
        <v>4678886.01</v>
      </c>
      <c r="J100" s="15" t="s">
        <v>17</v>
      </c>
      <c r="K100" s="15" t="s">
        <v>18</v>
      </c>
      <c r="L100" s="9">
        <f>YEAR(E100)</f>
        <v>2023</v>
      </c>
      <c r="M100">
        <f t="shared" si="1"/>
        <v>955080.6</v>
      </c>
    </row>
    <row r="101" spans="2:13" x14ac:dyDescent="0.15">
      <c r="B101" s="13" t="s">
        <v>551</v>
      </c>
      <c r="C101" s="14" t="s">
        <v>25</v>
      </c>
      <c r="D101" s="15" t="s">
        <v>139</v>
      </c>
      <c r="E101" s="15" t="s">
        <v>580</v>
      </c>
      <c r="F101" s="16">
        <v>226</v>
      </c>
      <c r="G101" s="17">
        <v>12314.65</v>
      </c>
      <c r="H101" s="17">
        <v>3962.41</v>
      </c>
      <c r="I101" s="19">
        <v>2783110.9</v>
      </c>
      <c r="J101" s="15" t="s">
        <v>17</v>
      </c>
      <c r="K101" s="15" t="s">
        <v>18</v>
      </c>
      <c r="L101" s="9">
        <f>YEAR(E101)</f>
        <v>2023</v>
      </c>
      <c r="M101">
        <f t="shared" si="1"/>
        <v>895504.65999999992</v>
      </c>
    </row>
    <row r="102" spans="2:13" x14ac:dyDescent="0.15">
      <c r="B102" s="13" t="s">
        <v>551</v>
      </c>
      <c r="C102" s="14" t="s">
        <v>31</v>
      </c>
      <c r="D102" s="15" t="s">
        <v>139</v>
      </c>
      <c r="E102" s="15" t="s">
        <v>584</v>
      </c>
      <c r="F102" s="16">
        <v>744</v>
      </c>
      <c r="G102" s="17">
        <v>17166.97</v>
      </c>
      <c r="H102" s="17">
        <v>7770.71</v>
      </c>
      <c r="I102" s="17">
        <v>12772225.68</v>
      </c>
      <c r="J102" s="15" t="s">
        <v>28</v>
      </c>
      <c r="K102" s="15" t="s">
        <v>18</v>
      </c>
      <c r="L102" s="9">
        <f>YEAR(E102)</f>
        <v>2023</v>
      </c>
      <c r="M102">
        <f t="shared" si="1"/>
        <v>5781408.2400000002</v>
      </c>
    </row>
    <row r="103" spans="2:13" x14ac:dyDescent="0.15">
      <c r="B103" s="13" t="s">
        <v>551</v>
      </c>
      <c r="C103" s="14" t="s">
        <v>19</v>
      </c>
      <c r="D103" s="15" t="s">
        <v>139</v>
      </c>
      <c r="E103" s="15" t="s">
        <v>585</v>
      </c>
      <c r="F103" s="16">
        <v>951</v>
      </c>
      <c r="G103" s="17">
        <v>30767.55</v>
      </c>
      <c r="H103" s="17">
        <v>2982.69</v>
      </c>
      <c r="I103" s="17">
        <v>29259940.050000001</v>
      </c>
      <c r="J103" s="15" t="s">
        <v>17</v>
      </c>
      <c r="K103" s="15" t="s">
        <v>18</v>
      </c>
      <c r="L103" s="9">
        <f>YEAR(E103)</f>
        <v>2023</v>
      </c>
      <c r="M103">
        <f t="shared" si="1"/>
        <v>2836538.19</v>
      </c>
    </row>
    <row r="104" spans="2:13" x14ac:dyDescent="0.15">
      <c r="B104" s="13" t="s">
        <v>551</v>
      </c>
      <c r="C104" s="14" t="s">
        <v>23</v>
      </c>
      <c r="D104" s="15" t="s">
        <v>139</v>
      </c>
      <c r="E104" s="15" t="s">
        <v>586</v>
      </c>
      <c r="F104" s="16">
        <v>649</v>
      </c>
      <c r="G104" s="17">
        <v>20845.14</v>
      </c>
      <c r="H104" s="17">
        <v>2479.19</v>
      </c>
      <c r="I104" s="17">
        <v>13528495.859999999</v>
      </c>
      <c r="J104" s="15" t="s">
        <v>22</v>
      </c>
      <c r="K104" s="15" t="s">
        <v>18</v>
      </c>
      <c r="L104" s="9">
        <f>YEAR(E104)</f>
        <v>2023</v>
      </c>
      <c r="M104">
        <f t="shared" si="1"/>
        <v>1608994.31</v>
      </c>
    </row>
    <row r="105" spans="2:13" x14ac:dyDescent="0.15">
      <c r="B105" s="13" t="s">
        <v>551</v>
      </c>
      <c r="C105" s="14" t="s">
        <v>57</v>
      </c>
      <c r="D105" s="15" t="s">
        <v>114</v>
      </c>
      <c r="E105" s="15" t="s">
        <v>593</v>
      </c>
      <c r="F105" s="16">
        <v>132</v>
      </c>
      <c r="G105" s="17">
        <v>16159.22</v>
      </c>
      <c r="H105" s="17">
        <v>8575.33</v>
      </c>
      <c r="I105" s="17">
        <v>2133017.04</v>
      </c>
      <c r="J105" s="15" t="s">
        <v>17</v>
      </c>
      <c r="K105" s="15" t="s">
        <v>18</v>
      </c>
      <c r="L105" s="9">
        <f>YEAR(E105)</f>
        <v>2023</v>
      </c>
      <c r="M105">
        <f t="shared" si="1"/>
        <v>1131943.56</v>
      </c>
    </row>
    <row r="106" spans="2:13" x14ac:dyDescent="0.15">
      <c r="B106" s="13" t="s">
        <v>551</v>
      </c>
      <c r="C106" s="14" t="s">
        <v>14</v>
      </c>
      <c r="D106" s="15" t="s">
        <v>26</v>
      </c>
      <c r="E106" s="15" t="s">
        <v>593</v>
      </c>
      <c r="F106" s="16">
        <v>662</v>
      </c>
      <c r="G106" s="17">
        <v>28089.29</v>
      </c>
      <c r="H106" s="19">
        <v>8576.5</v>
      </c>
      <c r="I106" s="17">
        <v>18595109.98</v>
      </c>
      <c r="J106" s="15" t="s">
        <v>28</v>
      </c>
      <c r="K106" s="15" t="s">
        <v>18</v>
      </c>
      <c r="L106" s="9">
        <f>YEAR(E106)</f>
        <v>2023</v>
      </c>
      <c r="M106">
        <f t="shared" si="1"/>
        <v>5677643</v>
      </c>
    </row>
    <row r="107" spans="2:13" x14ac:dyDescent="0.15">
      <c r="B107" s="13" t="s">
        <v>551</v>
      </c>
      <c r="C107" s="14" t="s">
        <v>35</v>
      </c>
      <c r="D107" s="15" t="s">
        <v>114</v>
      </c>
      <c r="E107" s="15" t="s">
        <v>597</v>
      </c>
      <c r="F107" s="16">
        <v>192</v>
      </c>
      <c r="G107" s="17">
        <v>34074.97</v>
      </c>
      <c r="H107" s="17">
        <v>8717.5499999999993</v>
      </c>
      <c r="I107" s="17">
        <v>6542394.2400000002</v>
      </c>
      <c r="J107" s="15" t="s">
        <v>17</v>
      </c>
      <c r="K107" s="15" t="s">
        <v>18</v>
      </c>
      <c r="L107" s="9">
        <f>YEAR(E107)</f>
        <v>2023</v>
      </c>
      <c r="M107">
        <f t="shared" si="1"/>
        <v>1673769.5999999999</v>
      </c>
    </row>
    <row r="108" spans="2:13" x14ac:dyDescent="0.15">
      <c r="B108" s="13" t="s">
        <v>551</v>
      </c>
      <c r="C108" s="14" t="s">
        <v>79</v>
      </c>
      <c r="D108" s="15" t="s">
        <v>70</v>
      </c>
      <c r="E108" s="15" t="s">
        <v>600</v>
      </c>
      <c r="F108" s="16">
        <v>884</v>
      </c>
      <c r="G108" s="19">
        <v>35538.5</v>
      </c>
      <c r="H108" s="17">
        <v>5297.56</v>
      </c>
      <c r="I108" s="16">
        <v>31416034</v>
      </c>
      <c r="J108" s="15" t="s">
        <v>17</v>
      </c>
      <c r="K108" s="15" t="s">
        <v>18</v>
      </c>
      <c r="L108" s="9">
        <f>YEAR(E108)</f>
        <v>2023</v>
      </c>
      <c r="M108">
        <f t="shared" si="1"/>
        <v>4683043.04</v>
      </c>
    </row>
    <row r="109" spans="2:13" x14ac:dyDescent="0.15">
      <c r="B109" s="13" t="s">
        <v>551</v>
      </c>
      <c r="C109" s="14" t="s">
        <v>79</v>
      </c>
      <c r="D109" s="15" t="s">
        <v>70</v>
      </c>
      <c r="E109" s="15" t="s">
        <v>604</v>
      </c>
      <c r="F109" s="16">
        <v>755</v>
      </c>
      <c r="G109" s="17">
        <v>25170.32</v>
      </c>
      <c r="H109" s="17">
        <v>6920.42</v>
      </c>
      <c r="I109" s="19">
        <v>19003591.600000001</v>
      </c>
      <c r="J109" s="15" t="s">
        <v>17</v>
      </c>
      <c r="K109" s="15" t="s">
        <v>18</v>
      </c>
      <c r="L109" s="9">
        <f>YEAR(E109)</f>
        <v>2023</v>
      </c>
      <c r="M109">
        <f t="shared" si="1"/>
        <v>5224917.0999999996</v>
      </c>
    </row>
    <row r="110" spans="2:13" x14ac:dyDescent="0.15">
      <c r="B110" s="13" t="s">
        <v>551</v>
      </c>
      <c r="C110" s="14" t="s">
        <v>35</v>
      </c>
      <c r="D110" s="15" t="s">
        <v>89</v>
      </c>
      <c r="E110" s="15" t="s">
        <v>606</v>
      </c>
      <c r="F110" s="16">
        <v>172</v>
      </c>
      <c r="G110" s="17">
        <v>44869.36</v>
      </c>
      <c r="H110" s="19">
        <v>9892.2999999999993</v>
      </c>
      <c r="I110" s="17">
        <v>7717529.9199999999</v>
      </c>
      <c r="J110" s="15" t="s">
        <v>22</v>
      </c>
      <c r="K110" s="15" t="s">
        <v>18</v>
      </c>
      <c r="L110" s="9">
        <f>YEAR(E110)</f>
        <v>2023</v>
      </c>
      <c r="M110">
        <f t="shared" si="1"/>
        <v>1701475.5999999999</v>
      </c>
    </row>
    <row r="111" spans="2:13" x14ac:dyDescent="0.15">
      <c r="B111" s="13" t="s">
        <v>551</v>
      </c>
      <c r="C111" s="14" t="s">
        <v>14</v>
      </c>
      <c r="D111" s="15" t="s">
        <v>89</v>
      </c>
      <c r="E111" s="15" t="s">
        <v>607</v>
      </c>
      <c r="F111" s="16">
        <v>151</v>
      </c>
      <c r="G111" s="17">
        <v>29521.86</v>
      </c>
      <c r="H111" s="17">
        <v>9423.51</v>
      </c>
      <c r="I111" s="17">
        <v>4457800.8600000003</v>
      </c>
      <c r="J111" s="15" t="s">
        <v>17</v>
      </c>
      <c r="K111" s="15" t="s">
        <v>18</v>
      </c>
      <c r="L111" s="9">
        <f>YEAR(E111)</f>
        <v>2023</v>
      </c>
      <c r="M111">
        <f t="shared" si="1"/>
        <v>1422950.01</v>
      </c>
    </row>
    <row r="112" spans="2:13" x14ac:dyDescent="0.15">
      <c r="B112" s="13" t="s">
        <v>551</v>
      </c>
      <c r="C112" s="14" t="s">
        <v>35</v>
      </c>
      <c r="D112" s="15" t="s">
        <v>89</v>
      </c>
      <c r="E112" s="15" t="s">
        <v>608</v>
      </c>
      <c r="F112" s="16">
        <v>655</v>
      </c>
      <c r="G112" s="17">
        <v>14925.52</v>
      </c>
      <c r="H112" s="17">
        <v>7623.92</v>
      </c>
      <c r="I112" s="19">
        <v>9776215.5999999996</v>
      </c>
      <c r="J112" s="15" t="s">
        <v>17</v>
      </c>
      <c r="K112" s="15" t="s">
        <v>18</v>
      </c>
      <c r="L112" s="9">
        <f>YEAR(E112)</f>
        <v>2023</v>
      </c>
      <c r="M112">
        <f t="shared" si="1"/>
        <v>4993667.5999999996</v>
      </c>
    </row>
    <row r="113" spans="2:13" x14ac:dyDescent="0.15">
      <c r="B113" s="13" t="s">
        <v>551</v>
      </c>
      <c r="C113" s="14" t="s">
        <v>79</v>
      </c>
      <c r="D113" s="15" t="s">
        <v>89</v>
      </c>
      <c r="E113" s="15" t="s">
        <v>609</v>
      </c>
      <c r="F113" s="16">
        <v>464</v>
      </c>
      <c r="G113" s="17">
        <v>46932.39</v>
      </c>
      <c r="H113" s="17">
        <v>8782.0400000000009</v>
      </c>
      <c r="I113" s="17">
        <v>21776628.960000001</v>
      </c>
      <c r="J113" s="15" t="s">
        <v>17</v>
      </c>
      <c r="K113" s="15" t="s">
        <v>18</v>
      </c>
      <c r="L113" s="9">
        <f>YEAR(E113)</f>
        <v>2023</v>
      </c>
      <c r="M113">
        <f t="shared" si="1"/>
        <v>4074866.5600000005</v>
      </c>
    </row>
    <row r="114" spans="2:13" x14ac:dyDescent="0.15">
      <c r="B114" s="13" t="s">
        <v>551</v>
      </c>
      <c r="C114" s="14" t="s">
        <v>57</v>
      </c>
      <c r="D114" s="15" t="s">
        <v>153</v>
      </c>
      <c r="E114" s="15" t="s">
        <v>414</v>
      </c>
      <c r="F114" s="16">
        <v>761</v>
      </c>
      <c r="G114" s="17">
        <v>38066.85</v>
      </c>
      <c r="H114" s="19">
        <v>6557.5</v>
      </c>
      <c r="I114" s="17">
        <v>28968872.850000001</v>
      </c>
      <c r="J114" s="15" t="s">
        <v>17</v>
      </c>
      <c r="K114" s="15" t="s">
        <v>18</v>
      </c>
      <c r="L114" s="9">
        <f>YEAR(E114)</f>
        <v>2023</v>
      </c>
      <c r="M114">
        <f t="shared" si="1"/>
        <v>4990257.5</v>
      </c>
    </row>
    <row r="115" spans="2:13" x14ac:dyDescent="0.15">
      <c r="B115" s="13" t="s">
        <v>551</v>
      </c>
      <c r="C115" s="14" t="s">
        <v>23</v>
      </c>
      <c r="D115" s="15" t="s">
        <v>153</v>
      </c>
      <c r="E115" s="15" t="s">
        <v>613</v>
      </c>
      <c r="F115" s="16">
        <v>893</v>
      </c>
      <c r="G115" s="17">
        <v>39070.74</v>
      </c>
      <c r="H115" s="17">
        <v>3989.22</v>
      </c>
      <c r="I115" s="17">
        <v>34890170.82</v>
      </c>
      <c r="J115" s="15" t="s">
        <v>17</v>
      </c>
      <c r="K115" s="15" t="s">
        <v>18</v>
      </c>
      <c r="L115" s="9">
        <f>YEAR(E115)</f>
        <v>2023</v>
      </c>
      <c r="M115">
        <f t="shared" si="1"/>
        <v>3562373.46</v>
      </c>
    </row>
    <row r="116" spans="2:13" x14ac:dyDescent="0.15">
      <c r="B116" s="13" t="s">
        <v>551</v>
      </c>
      <c r="C116" s="14" t="s">
        <v>25</v>
      </c>
      <c r="D116" s="15" t="s">
        <v>153</v>
      </c>
      <c r="E116" s="15" t="s">
        <v>614</v>
      </c>
      <c r="F116" s="16">
        <v>684</v>
      </c>
      <c r="G116" s="17">
        <v>42655.08</v>
      </c>
      <c r="H116" s="19">
        <v>4144.3999999999996</v>
      </c>
      <c r="I116" s="17">
        <v>29176074.719999999</v>
      </c>
      <c r="J116" s="15" t="s">
        <v>17</v>
      </c>
      <c r="K116" s="15" t="s">
        <v>18</v>
      </c>
      <c r="L116" s="9">
        <f>YEAR(E116)</f>
        <v>2023</v>
      </c>
      <c r="M116">
        <f t="shared" si="1"/>
        <v>2834769.5999999996</v>
      </c>
    </row>
    <row r="117" spans="2:13" x14ac:dyDescent="0.15">
      <c r="B117" s="13" t="s">
        <v>551</v>
      </c>
      <c r="C117" s="14" t="s">
        <v>19</v>
      </c>
      <c r="D117" s="15" t="s">
        <v>153</v>
      </c>
      <c r="E117" s="15" t="s">
        <v>101</v>
      </c>
      <c r="F117" s="16">
        <v>837</v>
      </c>
      <c r="G117" s="17">
        <v>16079.55</v>
      </c>
      <c r="H117" s="17">
        <v>8183.76</v>
      </c>
      <c r="I117" s="17">
        <v>13458583.35</v>
      </c>
      <c r="J117" s="15" t="s">
        <v>17</v>
      </c>
      <c r="K117" s="15" t="s">
        <v>18</v>
      </c>
      <c r="L117" s="9">
        <f>YEAR(E117)</f>
        <v>2023</v>
      </c>
      <c r="M117">
        <f t="shared" si="1"/>
        <v>6849807.1200000001</v>
      </c>
    </row>
    <row r="118" spans="2:13" x14ac:dyDescent="0.15">
      <c r="B118" s="13" t="s">
        <v>551</v>
      </c>
      <c r="C118" s="14" t="s">
        <v>19</v>
      </c>
      <c r="D118" s="15" t="s">
        <v>68</v>
      </c>
      <c r="E118" s="15" t="s">
        <v>195</v>
      </c>
      <c r="F118" s="16">
        <v>685</v>
      </c>
      <c r="G118" s="17">
        <v>48325.91</v>
      </c>
      <c r="H118" s="17">
        <v>2197.46</v>
      </c>
      <c r="I118" s="17">
        <v>33103248.350000001</v>
      </c>
      <c r="J118" s="15" t="s">
        <v>22</v>
      </c>
      <c r="K118" s="15" t="s">
        <v>18</v>
      </c>
      <c r="L118" s="9">
        <f>YEAR(E118)</f>
        <v>2023</v>
      </c>
      <c r="M118">
        <f t="shared" si="1"/>
        <v>1505260.1</v>
      </c>
    </row>
    <row r="119" spans="2:13" x14ac:dyDescent="0.15">
      <c r="B119" s="13" t="s">
        <v>551</v>
      </c>
      <c r="C119" s="14" t="s">
        <v>57</v>
      </c>
      <c r="D119" s="15" t="s">
        <v>68</v>
      </c>
      <c r="E119" s="15" t="s">
        <v>220</v>
      </c>
      <c r="F119" s="16">
        <v>282</v>
      </c>
      <c r="G119" s="17">
        <v>46063.17</v>
      </c>
      <c r="H119" s="17">
        <v>3544.77</v>
      </c>
      <c r="I119" s="17">
        <v>12989813.939999999</v>
      </c>
      <c r="J119" s="15" t="s">
        <v>28</v>
      </c>
      <c r="K119" s="15" t="s">
        <v>18</v>
      </c>
      <c r="L119" s="9">
        <f>YEAR(E119)</f>
        <v>2023</v>
      </c>
      <c r="M119">
        <f t="shared" si="1"/>
        <v>999625.14</v>
      </c>
    </row>
    <row r="120" spans="2:13" x14ac:dyDescent="0.15">
      <c r="B120" s="13" t="s">
        <v>551</v>
      </c>
      <c r="C120" s="14" t="s">
        <v>19</v>
      </c>
      <c r="D120" s="15" t="s">
        <v>68</v>
      </c>
      <c r="E120" s="15" t="s">
        <v>624</v>
      </c>
      <c r="F120" s="16">
        <v>460</v>
      </c>
      <c r="G120" s="17">
        <v>42176.76</v>
      </c>
      <c r="H120" s="17">
        <v>2762.91</v>
      </c>
      <c r="I120" s="19">
        <v>19401309.600000001</v>
      </c>
      <c r="J120" s="15" t="s">
        <v>17</v>
      </c>
      <c r="K120" s="15" t="s">
        <v>18</v>
      </c>
      <c r="L120" s="9">
        <f>YEAR(E120)</f>
        <v>2023</v>
      </c>
      <c r="M120">
        <f t="shared" si="1"/>
        <v>1270938.5999999999</v>
      </c>
    </row>
    <row r="121" spans="2:13" x14ac:dyDescent="0.15">
      <c r="B121" s="13" t="s">
        <v>551</v>
      </c>
      <c r="C121" s="14" t="s">
        <v>57</v>
      </c>
      <c r="D121" s="15" t="s">
        <v>68</v>
      </c>
      <c r="E121" s="15" t="s">
        <v>625</v>
      </c>
      <c r="F121" s="16">
        <v>562</v>
      </c>
      <c r="G121" s="17">
        <v>15317.68</v>
      </c>
      <c r="H121" s="17">
        <v>4424.41</v>
      </c>
      <c r="I121" s="17">
        <v>8608536.1600000001</v>
      </c>
      <c r="J121" s="15" t="s">
        <v>22</v>
      </c>
      <c r="K121" s="15" t="s">
        <v>18</v>
      </c>
      <c r="L121" s="9">
        <f>YEAR(E121)</f>
        <v>2023</v>
      </c>
      <c r="M121">
        <f t="shared" si="1"/>
        <v>2486518.42</v>
      </c>
    </row>
    <row r="122" spans="2:13" x14ac:dyDescent="0.15">
      <c r="B122" s="13" t="s">
        <v>551</v>
      </c>
      <c r="C122" s="14" t="s">
        <v>19</v>
      </c>
      <c r="D122" s="15" t="s">
        <v>68</v>
      </c>
      <c r="E122" s="15" t="s">
        <v>385</v>
      </c>
      <c r="F122" s="16">
        <v>309</v>
      </c>
      <c r="G122" s="17">
        <v>43808.94</v>
      </c>
      <c r="H122" s="17">
        <v>3213.71</v>
      </c>
      <c r="I122" s="17">
        <v>13536962.460000001</v>
      </c>
      <c r="J122" s="15" t="s">
        <v>17</v>
      </c>
      <c r="K122" s="15" t="s">
        <v>18</v>
      </c>
      <c r="L122" s="9">
        <f>YEAR(E122)</f>
        <v>2023</v>
      </c>
      <c r="M122">
        <f t="shared" si="1"/>
        <v>993036.39</v>
      </c>
    </row>
    <row r="123" spans="2:13" x14ac:dyDescent="0.15">
      <c r="B123" s="13" t="s">
        <v>551</v>
      </c>
      <c r="C123" s="14" t="s">
        <v>14</v>
      </c>
      <c r="D123" s="15" t="s">
        <v>26</v>
      </c>
      <c r="E123" s="15" t="s">
        <v>232</v>
      </c>
      <c r="F123" s="16">
        <v>188</v>
      </c>
      <c r="G123" s="17">
        <v>41952.09</v>
      </c>
      <c r="H123" s="17">
        <v>9861.73</v>
      </c>
      <c r="I123" s="17">
        <v>7886992.9199999999</v>
      </c>
      <c r="J123" s="15" t="s">
        <v>17</v>
      </c>
      <c r="K123" s="15" t="s">
        <v>18</v>
      </c>
      <c r="L123" s="9">
        <f>YEAR(E123)</f>
        <v>2023</v>
      </c>
      <c r="M123">
        <f t="shared" si="1"/>
        <v>1854005.24</v>
      </c>
    </row>
    <row r="124" spans="2:13" ht="14" thickBot="1" x14ac:dyDescent="0.2">
      <c r="B124" s="21" t="s">
        <v>551</v>
      </c>
      <c r="C124" s="22" t="s">
        <v>23</v>
      </c>
      <c r="D124" s="23" t="s">
        <v>26</v>
      </c>
      <c r="E124" s="23" t="s">
        <v>232</v>
      </c>
      <c r="F124" s="24">
        <v>507</v>
      </c>
      <c r="G124" s="25">
        <v>38930.959999999999</v>
      </c>
      <c r="H124" s="27">
        <v>9986.2000000000007</v>
      </c>
      <c r="I124" s="25">
        <v>19737996.719999999</v>
      </c>
      <c r="J124" s="23" t="s">
        <v>28</v>
      </c>
      <c r="K124" s="23" t="s">
        <v>18</v>
      </c>
      <c r="L124" s="9">
        <f>YEAR(E124)</f>
        <v>2023</v>
      </c>
      <c r="M124">
        <f t="shared" si="1"/>
        <v>5063003.4000000004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1A390B-68CF-664B-8A52-9E08EA6C0AD5}">
  <dimension ref="A2:T126"/>
  <sheetViews>
    <sheetView topLeftCell="D17" workbookViewId="0">
      <selection activeCell="P54" sqref="P54"/>
    </sheetView>
  </sheetViews>
  <sheetFormatPr baseColWidth="10" defaultRowHeight="13" x14ac:dyDescent="0.15"/>
  <cols>
    <col min="9" max="9" width="11.6640625" bestFit="1" customWidth="1"/>
    <col min="16" max="16" width="12.5" bestFit="1" customWidth="1"/>
    <col min="17" max="17" width="11" bestFit="1" customWidth="1"/>
    <col min="18" max="20" width="11.6640625" bestFit="1" customWidth="1"/>
  </cols>
  <sheetData>
    <row r="2" spans="1:20" ht="15" thickBot="1" x14ac:dyDescent="0.2">
      <c r="A2" s="20" t="s">
        <v>461</v>
      </c>
      <c r="B2" s="68" t="s">
        <v>2</v>
      </c>
      <c r="C2" s="69" t="s">
        <v>3</v>
      </c>
      <c r="D2" s="69" t="s">
        <v>4</v>
      </c>
      <c r="E2" s="69" t="s">
        <v>5</v>
      </c>
      <c r="F2" s="69" t="s">
        <v>6</v>
      </c>
      <c r="G2" s="69" t="s">
        <v>7</v>
      </c>
      <c r="H2" s="69" t="s">
        <v>8</v>
      </c>
      <c r="I2" s="69" t="s">
        <v>9</v>
      </c>
      <c r="J2" s="69" t="s">
        <v>10</v>
      </c>
      <c r="K2" s="69" t="s">
        <v>11</v>
      </c>
      <c r="L2" s="71" t="s">
        <v>12</v>
      </c>
      <c r="M2" s="70" t="s">
        <v>793</v>
      </c>
    </row>
    <row r="3" spans="1:20" x14ac:dyDescent="0.15">
      <c r="A3" s="29"/>
      <c r="B3" s="6" t="s">
        <v>461</v>
      </c>
      <c r="C3" s="7" t="s">
        <v>57</v>
      </c>
      <c r="D3" s="8" t="s">
        <v>114</v>
      </c>
      <c r="E3" s="8" t="s">
        <v>162</v>
      </c>
      <c r="F3" s="9">
        <v>246</v>
      </c>
      <c r="G3" s="10">
        <v>28229.09</v>
      </c>
      <c r="H3" s="10">
        <v>2527.7600000000002</v>
      </c>
      <c r="I3" s="10">
        <v>6944356.1399999997</v>
      </c>
      <c r="J3" s="8" t="s">
        <v>17</v>
      </c>
      <c r="K3" s="8" t="s">
        <v>18</v>
      </c>
      <c r="L3" s="9">
        <f>YEAR(E3)</f>
        <v>2020</v>
      </c>
      <c r="M3">
        <f>H3*F3</f>
        <v>621828.96000000008</v>
      </c>
      <c r="P3" s="73" t="s">
        <v>12</v>
      </c>
      <c r="Q3" s="73" t="s">
        <v>792</v>
      </c>
      <c r="R3" s="73" t="s">
        <v>793</v>
      </c>
    </row>
    <row r="4" spans="1:20" x14ac:dyDescent="0.15">
      <c r="A4" s="5"/>
      <c r="B4" s="13" t="s">
        <v>461</v>
      </c>
      <c r="C4" s="14" t="s">
        <v>57</v>
      </c>
      <c r="D4" s="15" t="s">
        <v>15</v>
      </c>
      <c r="E4" s="15" t="s">
        <v>469</v>
      </c>
      <c r="F4" s="16">
        <v>595</v>
      </c>
      <c r="G4" s="17">
        <v>30005.57</v>
      </c>
      <c r="H4" s="17">
        <v>7039.46</v>
      </c>
      <c r="I4" s="17">
        <v>17853314.149999999</v>
      </c>
      <c r="J4" s="15" t="s">
        <v>17</v>
      </c>
      <c r="K4" s="15" t="s">
        <v>18</v>
      </c>
      <c r="L4" s="9">
        <f>YEAR(E4)</f>
        <v>2020</v>
      </c>
      <c r="M4">
        <f t="shared" ref="M4:M67" si="0">H4*F4</f>
        <v>4188478.7</v>
      </c>
      <c r="P4" s="74">
        <v>2020</v>
      </c>
      <c r="Q4" s="74">
        <f>ROUND(SUMIF(L3:L126,P4,F3:F126),0)</f>
        <v>16495</v>
      </c>
      <c r="R4" s="74">
        <f>ROUND(SUMIF(L3:L126,P4, M3:M126),0)</f>
        <v>99332206</v>
      </c>
      <c r="S4" s="73"/>
    </row>
    <row r="5" spans="1:20" x14ac:dyDescent="0.15">
      <c r="A5" s="12"/>
      <c r="B5" s="13" t="s">
        <v>461</v>
      </c>
      <c r="C5" s="14" t="s">
        <v>35</v>
      </c>
      <c r="D5" s="15" t="s">
        <v>15</v>
      </c>
      <c r="E5" s="15" t="s">
        <v>472</v>
      </c>
      <c r="F5" s="16">
        <v>617</v>
      </c>
      <c r="G5" s="17">
        <v>10920.48</v>
      </c>
      <c r="H5" s="17">
        <v>7123.67</v>
      </c>
      <c r="I5" s="17">
        <v>6737936.1600000001</v>
      </c>
      <c r="J5" s="15" t="s">
        <v>22</v>
      </c>
      <c r="K5" s="15" t="s">
        <v>18</v>
      </c>
      <c r="L5" s="9">
        <f>YEAR(E5)</f>
        <v>2020</v>
      </c>
      <c r="M5">
        <f t="shared" si="0"/>
        <v>4395304.3899999997</v>
      </c>
      <c r="P5" s="74">
        <v>2021</v>
      </c>
      <c r="Q5" s="74">
        <f>ROUND(SUMIF(L3:L126,P5,F3:F126),0)</f>
        <v>17786</v>
      </c>
      <c r="R5" s="74">
        <f>ROUND(SUMIF(L3:L126,P5, M3:M126),0)</f>
        <v>106594646</v>
      </c>
      <c r="S5" s="74"/>
    </row>
    <row r="6" spans="1:20" x14ac:dyDescent="0.15">
      <c r="A6" s="12"/>
      <c r="B6" s="13" t="s">
        <v>461</v>
      </c>
      <c r="C6" s="14" t="s">
        <v>31</v>
      </c>
      <c r="D6" s="15" t="s">
        <v>15</v>
      </c>
      <c r="E6" s="15" t="s">
        <v>473</v>
      </c>
      <c r="F6" s="16">
        <v>322</v>
      </c>
      <c r="G6" s="17">
        <v>44206.36</v>
      </c>
      <c r="H6" s="17">
        <v>2884.76</v>
      </c>
      <c r="I6" s="17">
        <v>14234447.92</v>
      </c>
      <c r="J6" s="15" t="s">
        <v>17</v>
      </c>
      <c r="K6" s="15" t="s">
        <v>18</v>
      </c>
      <c r="L6" s="9">
        <f>YEAR(E6)</f>
        <v>2020</v>
      </c>
      <c r="M6">
        <f t="shared" si="0"/>
        <v>928892.72000000009</v>
      </c>
      <c r="P6" s="74">
        <v>2022</v>
      </c>
      <c r="Q6" s="74">
        <f>ROUND(SUMIF(L3:L126,P6,F3:F126),0)</f>
        <v>12574</v>
      </c>
      <c r="R6" s="74">
        <f>ROUND(SUMIF(L3:L126,P6, M3:M126),0)</f>
        <v>72912791</v>
      </c>
      <c r="S6" s="74"/>
    </row>
    <row r="7" spans="1:20" x14ac:dyDescent="0.15">
      <c r="A7" s="12"/>
      <c r="B7" s="13" t="s">
        <v>461</v>
      </c>
      <c r="C7" s="14" t="s">
        <v>31</v>
      </c>
      <c r="D7" s="15" t="s">
        <v>15</v>
      </c>
      <c r="E7" s="15" t="s">
        <v>474</v>
      </c>
      <c r="F7" s="16">
        <v>316</v>
      </c>
      <c r="G7" s="17">
        <v>17819.75</v>
      </c>
      <c r="H7" s="19">
        <v>9927.7999999999993</v>
      </c>
      <c r="I7" s="16">
        <v>5631041</v>
      </c>
      <c r="J7" s="15" t="s">
        <v>17</v>
      </c>
      <c r="K7" s="15" t="s">
        <v>18</v>
      </c>
      <c r="L7" s="9">
        <f>YEAR(E7)</f>
        <v>2020</v>
      </c>
      <c r="M7">
        <f t="shared" si="0"/>
        <v>3137184.8</v>
      </c>
      <c r="P7" s="74">
        <v>2023</v>
      </c>
      <c r="Q7" s="74">
        <f>ROUND(SUMIF(L3:L126,P7,F3:F126),0)</f>
        <v>17024</v>
      </c>
      <c r="R7" s="74">
        <f>ROUND(SUMIF(L3:L126,P7, M3:M126),0)</f>
        <v>106552468</v>
      </c>
      <c r="S7" s="74"/>
    </row>
    <row r="8" spans="1:20" ht="14" x14ac:dyDescent="0.15">
      <c r="A8" s="12"/>
      <c r="B8" s="13" t="s">
        <v>461</v>
      </c>
      <c r="C8" s="14" t="s">
        <v>25</v>
      </c>
      <c r="D8" s="15" t="s">
        <v>15</v>
      </c>
      <c r="E8" s="15" t="s">
        <v>477</v>
      </c>
      <c r="F8" s="16">
        <v>988</v>
      </c>
      <c r="G8" s="17">
        <v>41728.32</v>
      </c>
      <c r="H8" s="19">
        <v>4505.7</v>
      </c>
      <c r="I8" s="17">
        <v>41227580.159999996</v>
      </c>
      <c r="J8" s="15" t="s">
        <v>17</v>
      </c>
      <c r="K8" s="15" t="s">
        <v>18</v>
      </c>
      <c r="L8" s="9">
        <f>YEAR(E8)</f>
        <v>2020</v>
      </c>
      <c r="M8">
        <f t="shared" si="0"/>
        <v>4451631.5999999996</v>
      </c>
      <c r="P8" s="70" t="s">
        <v>795</v>
      </c>
      <c r="Q8" s="70">
        <f>SUM(Q1:Q7)</f>
        <v>63879</v>
      </c>
      <c r="R8" s="70">
        <f>SUM(R4:R7)</f>
        <v>385392111</v>
      </c>
      <c r="S8" s="74"/>
    </row>
    <row r="9" spans="1:20" x14ac:dyDescent="0.15">
      <c r="A9" s="12"/>
      <c r="B9" s="13" t="s">
        <v>461</v>
      </c>
      <c r="C9" s="14" t="s">
        <v>35</v>
      </c>
      <c r="D9" s="15" t="s">
        <v>15</v>
      </c>
      <c r="E9" s="15" t="s">
        <v>478</v>
      </c>
      <c r="F9" s="16">
        <v>390</v>
      </c>
      <c r="G9" s="17">
        <v>42865.760000000002</v>
      </c>
      <c r="H9" s="17">
        <v>8235.34</v>
      </c>
      <c r="I9" s="19">
        <v>16717646.4</v>
      </c>
      <c r="J9" s="15" t="s">
        <v>17</v>
      </c>
      <c r="K9" s="15" t="s">
        <v>18</v>
      </c>
      <c r="L9" s="9">
        <f>YEAR(E9)</f>
        <v>2020</v>
      </c>
      <c r="M9">
        <f t="shared" si="0"/>
        <v>3211782.6</v>
      </c>
      <c r="Q9" s="74"/>
      <c r="R9" s="74"/>
      <c r="S9" s="74"/>
    </row>
    <row r="10" spans="1:20" x14ac:dyDescent="0.15">
      <c r="A10" s="12"/>
      <c r="B10" s="13" t="s">
        <v>461</v>
      </c>
      <c r="C10" s="14" t="s">
        <v>14</v>
      </c>
      <c r="D10" s="15" t="s">
        <v>70</v>
      </c>
      <c r="E10" s="15" t="s">
        <v>483</v>
      </c>
      <c r="F10" s="16">
        <v>698</v>
      </c>
      <c r="G10" s="17">
        <v>36248.769999999997</v>
      </c>
      <c r="H10" s="17">
        <v>3758.47</v>
      </c>
      <c r="I10" s="17">
        <v>25301641.460000001</v>
      </c>
      <c r="J10" s="15" t="s">
        <v>17</v>
      </c>
      <c r="K10" s="15" t="s">
        <v>18</v>
      </c>
      <c r="L10" s="9">
        <f>YEAR(E10)</f>
        <v>2020</v>
      </c>
      <c r="M10">
        <f t="shared" si="0"/>
        <v>2623412.06</v>
      </c>
    </row>
    <row r="11" spans="1:20" x14ac:dyDescent="0.15">
      <c r="A11" s="12"/>
      <c r="B11" s="13" t="s">
        <v>461</v>
      </c>
      <c r="C11" s="14" t="s">
        <v>57</v>
      </c>
      <c r="D11" s="15" t="s">
        <v>70</v>
      </c>
      <c r="E11" s="15" t="s">
        <v>136</v>
      </c>
      <c r="F11" s="16">
        <v>579</v>
      </c>
      <c r="G11" s="17">
        <v>24022.55</v>
      </c>
      <c r="H11" s="17">
        <v>4183.58</v>
      </c>
      <c r="I11" s="17">
        <v>13909056.449999999</v>
      </c>
      <c r="J11" s="15" t="s">
        <v>22</v>
      </c>
      <c r="K11" s="15" t="s">
        <v>18</v>
      </c>
      <c r="L11" s="9">
        <f>YEAR(E11)</f>
        <v>2020</v>
      </c>
      <c r="M11">
        <f t="shared" si="0"/>
        <v>2422292.8199999998</v>
      </c>
    </row>
    <row r="12" spans="1:20" ht="28" x14ac:dyDescent="0.15">
      <c r="A12" s="12"/>
      <c r="B12" s="13" t="s">
        <v>461</v>
      </c>
      <c r="C12" s="14" t="s">
        <v>43</v>
      </c>
      <c r="D12" s="15" t="s">
        <v>70</v>
      </c>
      <c r="E12" s="15" t="s">
        <v>487</v>
      </c>
      <c r="F12" s="16">
        <v>851</v>
      </c>
      <c r="G12" s="17">
        <v>33435.72</v>
      </c>
      <c r="H12" s="17">
        <v>7910.73</v>
      </c>
      <c r="I12" s="17">
        <v>28453797.719999999</v>
      </c>
      <c r="J12" s="15" t="s">
        <v>17</v>
      </c>
      <c r="K12" s="15" t="s">
        <v>18</v>
      </c>
      <c r="L12" s="9">
        <f>YEAR(E12)</f>
        <v>2020</v>
      </c>
      <c r="M12">
        <f t="shared" si="0"/>
        <v>6732031.2299999995</v>
      </c>
      <c r="P12" s="36" t="s">
        <v>787</v>
      </c>
      <c r="Q12" s="32" t="s">
        <v>785</v>
      </c>
      <c r="R12" s="37" t="s">
        <v>797</v>
      </c>
      <c r="S12" s="37" t="s">
        <v>790</v>
      </c>
      <c r="T12" s="59" t="s">
        <v>796</v>
      </c>
    </row>
    <row r="13" spans="1:20" ht="14" x14ac:dyDescent="0.15">
      <c r="A13" s="12"/>
      <c r="B13" s="13" t="s">
        <v>461</v>
      </c>
      <c r="C13" s="14" t="s">
        <v>14</v>
      </c>
      <c r="D13" s="15" t="s">
        <v>89</v>
      </c>
      <c r="E13" s="15" t="s">
        <v>487</v>
      </c>
      <c r="F13" s="16">
        <v>258</v>
      </c>
      <c r="G13" s="17">
        <v>38709.410000000003</v>
      </c>
      <c r="H13" s="17">
        <v>6434.73</v>
      </c>
      <c r="I13" s="17">
        <v>9987027.7799999993</v>
      </c>
      <c r="J13" s="15" t="s">
        <v>17</v>
      </c>
      <c r="K13" s="15" t="s">
        <v>18</v>
      </c>
      <c r="L13" s="9">
        <f>YEAR(E13)</f>
        <v>2020</v>
      </c>
      <c r="M13">
        <f t="shared" si="0"/>
        <v>1660160.3399999999</v>
      </c>
      <c r="P13" s="80" t="s">
        <v>89</v>
      </c>
      <c r="Q13" s="81">
        <v>5352</v>
      </c>
      <c r="R13" s="82">
        <v>28117.809090909086</v>
      </c>
      <c r="S13" s="82">
        <v>154734630.22999999</v>
      </c>
      <c r="T13" s="83">
        <v>37328784.030000001</v>
      </c>
    </row>
    <row r="14" spans="1:20" ht="14" x14ac:dyDescent="0.15">
      <c r="A14" s="12"/>
      <c r="B14" s="13" t="s">
        <v>461</v>
      </c>
      <c r="C14" s="14" t="s">
        <v>57</v>
      </c>
      <c r="D14" s="15" t="s">
        <v>53</v>
      </c>
      <c r="E14" s="15" t="s">
        <v>490</v>
      </c>
      <c r="F14" s="16">
        <v>298</v>
      </c>
      <c r="G14" s="17">
        <v>29848.18</v>
      </c>
      <c r="H14" s="17">
        <v>2491.8200000000002</v>
      </c>
      <c r="I14" s="17">
        <v>8894757.6400000006</v>
      </c>
      <c r="J14" s="15" t="s">
        <v>30</v>
      </c>
      <c r="K14" s="15" t="s">
        <v>18</v>
      </c>
      <c r="L14" s="9">
        <f>YEAR(E14)</f>
        <v>2020</v>
      </c>
      <c r="M14">
        <f t="shared" si="0"/>
        <v>742562.3600000001</v>
      </c>
      <c r="P14" s="80" t="s">
        <v>70</v>
      </c>
      <c r="Q14" s="81">
        <v>6420</v>
      </c>
      <c r="R14" s="82">
        <v>27037.624999999996</v>
      </c>
      <c r="S14" s="82">
        <v>181306923.16</v>
      </c>
      <c r="T14" s="83">
        <v>41694497.019999996</v>
      </c>
    </row>
    <row r="15" spans="1:20" x14ac:dyDescent="0.15">
      <c r="A15" s="12"/>
      <c r="B15" s="13" t="s">
        <v>461</v>
      </c>
      <c r="C15" s="14" t="s">
        <v>25</v>
      </c>
      <c r="D15" s="15" t="s">
        <v>53</v>
      </c>
      <c r="E15" s="15" t="s">
        <v>494</v>
      </c>
      <c r="F15" s="16">
        <v>396</v>
      </c>
      <c r="G15" s="16">
        <v>29664</v>
      </c>
      <c r="H15" s="17">
        <v>6786.45</v>
      </c>
      <c r="I15" s="16">
        <v>11746944</v>
      </c>
      <c r="J15" s="15" t="s">
        <v>22</v>
      </c>
      <c r="K15" s="15" t="s">
        <v>18</v>
      </c>
      <c r="L15" s="9">
        <f>YEAR(E15)</f>
        <v>2020</v>
      </c>
      <c r="M15">
        <f t="shared" si="0"/>
        <v>2687434.1999999997</v>
      </c>
      <c r="P15" s="63">
        <v>2020</v>
      </c>
      <c r="Q15" s="43">
        <v>2128</v>
      </c>
      <c r="R15" s="44">
        <v>31235.679999999997</v>
      </c>
      <c r="S15" s="44">
        <v>67664495.629999995</v>
      </c>
      <c r="T15" s="61">
        <v>11777736.109999999</v>
      </c>
    </row>
    <row r="16" spans="1:20" x14ac:dyDescent="0.15">
      <c r="A16" s="12"/>
      <c r="B16" s="13" t="s">
        <v>461</v>
      </c>
      <c r="C16" s="14" t="s">
        <v>35</v>
      </c>
      <c r="D16" s="15" t="s">
        <v>26</v>
      </c>
      <c r="E16" s="15" t="s">
        <v>494</v>
      </c>
      <c r="F16" s="16">
        <v>663</v>
      </c>
      <c r="G16" s="17">
        <v>11700.02</v>
      </c>
      <c r="H16" s="17">
        <v>5979.08</v>
      </c>
      <c r="I16" s="17">
        <v>7757113.2599999998</v>
      </c>
      <c r="J16" s="15" t="s">
        <v>22</v>
      </c>
      <c r="K16" s="15" t="s">
        <v>18</v>
      </c>
      <c r="L16" s="9">
        <f>YEAR(E16)</f>
        <v>2020</v>
      </c>
      <c r="M16">
        <f t="shared" si="0"/>
        <v>3964130.04</v>
      </c>
      <c r="P16" s="63">
        <v>2021</v>
      </c>
      <c r="Q16" s="43">
        <v>873</v>
      </c>
      <c r="R16" s="44">
        <v>35948.04</v>
      </c>
      <c r="S16" s="44">
        <v>31382638.920000002</v>
      </c>
      <c r="T16" s="61">
        <v>6984785.6999999993</v>
      </c>
    </row>
    <row r="17" spans="1:20" x14ac:dyDescent="0.15">
      <c r="A17" s="12"/>
      <c r="B17" s="13" t="s">
        <v>461</v>
      </c>
      <c r="C17" s="14" t="s">
        <v>14</v>
      </c>
      <c r="D17" s="15" t="s">
        <v>53</v>
      </c>
      <c r="E17" s="15" t="s">
        <v>105</v>
      </c>
      <c r="F17" s="16">
        <v>187</v>
      </c>
      <c r="G17" s="17">
        <v>26876.43</v>
      </c>
      <c r="H17" s="17">
        <v>7122.88</v>
      </c>
      <c r="I17" s="17">
        <v>5025892.41</v>
      </c>
      <c r="J17" s="15" t="s">
        <v>22</v>
      </c>
      <c r="K17" s="15" t="s">
        <v>18</v>
      </c>
      <c r="L17" s="9">
        <f>YEAR(E17)</f>
        <v>2020</v>
      </c>
      <c r="M17">
        <f t="shared" si="0"/>
        <v>1331978.56</v>
      </c>
      <c r="P17" s="63">
        <v>2022</v>
      </c>
      <c r="Q17" s="43">
        <v>984</v>
      </c>
      <c r="R17" s="44">
        <v>20617.493333333332</v>
      </c>
      <c r="S17" s="44">
        <v>20697568.16</v>
      </c>
      <c r="T17" s="61">
        <v>6885390.0899999999</v>
      </c>
    </row>
    <row r="18" spans="1:20" x14ac:dyDescent="0.15">
      <c r="A18" s="12"/>
      <c r="B18" s="13" t="s">
        <v>461</v>
      </c>
      <c r="C18" s="14" t="s">
        <v>14</v>
      </c>
      <c r="D18" s="15" t="s">
        <v>107</v>
      </c>
      <c r="E18" s="15" t="s">
        <v>133</v>
      </c>
      <c r="F18" s="16">
        <v>814</v>
      </c>
      <c r="G18" s="17">
        <v>45418.18</v>
      </c>
      <c r="H18" s="17">
        <v>2352.81</v>
      </c>
      <c r="I18" s="17">
        <v>36970398.520000003</v>
      </c>
      <c r="J18" s="15" t="s">
        <v>17</v>
      </c>
      <c r="K18" s="15" t="s">
        <v>18</v>
      </c>
      <c r="L18" s="9">
        <f>YEAR(E18)</f>
        <v>2020</v>
      </c>
      <c r="M18">
        <f t="shared" si="0"/>
        <v>1915187.3399999999</v>
      </c>
      <c r="P18" s="63">
        <v>2023</v>
      </c>
      <c r="Q18" s="43">
        <v>2435</v>
      </c>
      <c r="R18" s="44">
        <v>26588.788</v>
      </c>
      <c r="S18" s="44">
        <v>61562220.449999988</v>
      </c>
      <c r="T18" s="61">
        <v>16046585.119999999</v>
      </c>
    </row>
    <row r="19" spans="1:20" ht="14" x14ac:dyDescent="0.15">
      <c r="A19" s="12"/>
      <c r="B19" s="13" t="s">
        <v>461</v>
      </c>
      <c r="C19" s="14" t="s">
        <v>23</v>
      </c>
      <c r="D19" s="15" t="s">
        <v>89</v>
      </c>
      <c r="E19" s="15" t="s">
        <v>509</v>
      </c>
      <c r="F19" s="16">
        <v>489</v>
      </c>
      <c r="G19" s="17">
        <v>28847.43</v>
      </c>
      <c r="H19" s="17">
        <v>7921.57</v>
      </c>
      <c r="I19" s="17">
        <v>14106393.27</v>
      </c>
      <c r="J19" s="15" t="s">
        <v>17</v>
      </c>
      <c r="K19" s="15" t="s">
        <v>18</v>
      </c>
      <c r="L19" s="9">
        <f>YEAR(E19)</f>
        <v>2020</v>
      </c>
      <c r="M19">
        <f t="shared" si="0"/>
        <v>3873647.73</v>
      </c>
      <c r="P19" s="76" t="s">
        <v>26</v>
      </c>
      <c r="Q19" s="77">
        <v>9117</v>
      </c>
      <c r="R19" s="78">
        <v>23335.782222222231</v>
      </c>
      <c r="S19" s="78">
        <v>210309043.81</v>
      </c>
      <c r="T19" s="79">
        <v>53316464.120000012</v>
      </c>
    </row>
    <row r="20" spans="1:20" x14ac:dyDescent="0.15">
      <c r="A20" s="12"/>
      <c r="B20" s="13" t="s">
        <v>461</v>
      </c>
      <c r="C20" s="14" t="s">
        <v>19</v>
      </c>
      <c r="D20" s="15" t="s">
        <v>89</v>
      </c>
      <c r="E20" s="15" t="s">
        <v>511</v>
      </c>
      <c r="F20" s="16">
        <v>596</v>
      </c>
      <c r="G20" s="17">
        <v>30068.44</v>
      </c>
      <c r="H20" s="17">
        <v>2819.55</v>
      </c>
      <c r="I20" s="17">
        <v>17920790.239999998</v>
      </c>
      <c r="J20" s="15" t="s">
        <v>17</v>
      </c>
      <c r="K20" s="15" t="s">
        <v>18</v>
      </c>
      <c r="L20" s="9">
        <f>YEAR(E20)</f>
        <v>2020</v>
      </c>
      <c r="M20">
        <f t="shared" si="0"/>
        <v>1680451.8</v>
      </c>
      <c r="P20" s="63">
        <v>2020</v>
      </c>
      <c r="Q20" s="43">
        <v>1302</v>
      </c>
      <c r="R20" s="44">
        <v>20151.893333333333</v>
      </c>
      <c r="S20" s="44">
        <v>24538368.469999999</v>
      </c>
      <c r="T20" s="61">
        <v>6820151.4800000004</v>
      </c>
    </row>
    <row r="21" spans="1:20" x14ac:dyDescent="0.15">
      <c r="A21" s="12"/>
      <c r="B21" s="13" t="s">
        <v>461</v>
      </c>
      <c r="C21" s="14" t="s">
        <v>25</v>
      </c>
      <c r="D21" s="15" t="s">
        <v>89</v>
      </c>
      <c r="E21" s="15" t="s">
        <v>512</v>
      </c>
      <c r="F21" s="16">
        <v>641</v>
      </c>
      <c r="G21" s="17">
        <v>36577.96</v>
      </c>
      <c r="H21" s="17">
        <v>7500.75</v>
      </c>
      <c r="I21" s="17">
        <v>23446472.359999999</v>
      </c>
      <c r="J21" s="15" t="s">
        <v>28</v>
      </c>
      <c r="K21" s="15" t="s">
        <v>18</v>
      </c>
      <c r="L21" s="9">
        <f>YEAR(E21)</f>
        <v>2020</v>
      </c>
      <c r="M21">
        <f t="shared" si="0"/>
        <v>4807980.75</v>
      </c>
      <c r="P21" s="63">
        <v>2021</v>
      </c>
      <c r="Q21" s="43">
        <v>2125</v>
      </c>
      <c r="R21" s="44">
        <v>21071.122499999998</v>
      </c>
      <c r="S21" s="44">
        <v>42681316.329999998</v>
      </c>
      <c r="T21" s="61">
        <v>13635430.440000001</v>
      </c>
    </row>
    <row r="22" spans="1:20" x14ac:dyDescent="0.15">
      <c r="A22" s="12"/>
      <c r="B22" s="13" t="s">
        <v>461</v>
      </c>
      <c r="C22" s="14" t="s">
        <v>25</v>
      </c>
      <c r="D22" s="15" t="s">
        <v>89</v>
      </c>
      <c r="E22" s="15" t="s">
        <v>513</v>
      </c>
      <c r="F22" s="16">
        <v>448</v>
      </c>
      <c r="G22" s="17">
        <v>22088.53</v>
      </c>
      <c r="H22" s="17">
        <v>2968.57</v>
      </c>
      <c r="I22" s="17">
        <v>9895661.4399999995</v>
      </c>
      <c r="J22" s="15" t="s">
        <v>30</v>
      </c>
      <c r="K22" s="15" t="s">
        <v>18</v>
      </c>
      <c r="L22" s="9">
        <f>YEAR(E22)</f>
        <v>2020</v>
      </c>
      <c r="M22">
        <f t="shared" si="0"/>
        <v>1329919.3600000001</v>
      </c>
      <c r="P22" s="63">
        <v>2022</v>
      </c>
      <c r="Q22" s="43">
        <v>2191</v>
      </c>
      <c r="R22" s="44">
        <v>21591.77</v>
      </c>
      <c r="S22" s="44">
        <v>48944923.480000004</v>
      </c>
      <c r="T22" s="61">
        <v>11602451.810000001</v>
      </c>
    </row>
    <row r="23" spans="1:20" x14ac:dyDescent="0.15">
      <c r="A23" s="12"/>
      <c r="B23" s="13" t="s">
        <v>461</v>
      </c>
      <c r="C23" s="14" t="s">
        <v>31</v>
      </c>
      <c r="D23" s="15" t="s">
        <v>89</v>
      </c>
      <c r="E23" s="15" t="s">
        <v>516</v>
      </c>
      <c r="F23" s="16">
        <v>859</v>
      </c>
      <c r="G23" s="17">
        <v>20798.68</v>
      </c>
      <c r="H23" s="17">
        <v>9677.49</v>
      </c>
      <c r="I23" s="17">
        <v>17866066.120000001</v>
      </c>
      <c r="J23" s="15" t="s">
        <v>22</v>
      </c>
      <c r="K23" s="15" t="s">
        <v>18</v>
      </c>
      <c r="L23" s="9">
        <f>YEAR(E23)</f>
        <v>2020</v>
      </c>
      <c r="M23">
        <f t="shared" si="0"/>
        <v>8312963.9100000001</v>
      </c>
      <c r="P23" s="63">
        <v>2023</v>
      </c>
      <c r="Q23" s="43">
        <v>3499</v>
      </c>
      <c r="R23" s="44">
        <v>26990.975714285712</v>
      </c>
      <c r="S23" s="44">
        <v>94144435.530000001</v>
      </c>
      <c r="T23" s="61">
        <v>21258430.390000001</v>
      </c>
    </row>
    <row r="24" spans="1:20" ht="14" x14ac:dyDescent="0.15">
      <c r="A24" s="12"/>
      <c r="B24" s="13" t="s">
        <v>461</v>
      </c>
      <c r="C24" s="14" t="s">
        <v>43</v>
      </c>
      <c r="D24" s="15" t="s">
        <v>139</v>
      </c>
      <c r="E24" s="15" t="s">
        <v>519</v>
      </c>
      <c r="F24" s="16">
        <v>395</v>
      </c>
      <c r="G24" s="19">
        <v>16150.3</v>
      </c>
      <c r="H24" s="17">
        <v>9981.99</v>
      </c>
      <c r="I24" s="19">
        <v>6379368.5</v>
      </c>
      <c r="J24" s="15" t="s">
        <v>17</v>
      </c>
      <c r="K24" s="15" t="s">
        <v>18</v>
      </c>
      <c r="L24" s="9">
        <f>YEAR(E24)</f>
        <v>2020</v>
      </c>
      <c r="M24">
        <f t="shared" si="0"/>
        <v>3942886.05</v>
      </c>
      <c r="P24" s="76" t="s">
        <v>68</v>
      </c>
      <c r="Q24" s="77">
        <v>7838</v>
      </c>
      <c r="R24" s="78">
        <v>32216.328461538458</v>
      </c>
      <c r="S24" s="78">
        <v>255965965.06999999</v>
      </c>
      <c r="T24" s="79">
        <v>45281915.980000004</v>
      </c>
    </row>
    <row r="25" spans="1:20" x14ac:dyDescent="0.15">
      <c r="A25" s="12"/>
      <c r="B25" s="13" t="s">
        <v>461</v>
      </c>
      <c r="C25" s="14" t="s">
        <v>43</v>
      </c>
      <c r="D25" s="15" t="s">
        <v>139</v>
      </c>
      <c r="E25" s="15" t="s">
        <v>522</v>
      </c>
      <c r="F25" s="16">
        <v>783</v>
      </c>
      <c r="G25" s="17">
        <v>46845.94</v>
      </c>
      <c r="H25" s="17">
        <v>7199.79</v>
      </c>
      <c r="I25" s="17">
        <v>36680371.020000003</v>
      </c>
      <c r="J25" s="15" t="s">
        <v>17</v>
      </c>
      <c r="K25" s="15" t="s">
        <v>18</v>
      </c>
      <c r="L25" s="9">
        <f>YEAR(E25)</f>
        <v>2020</v>
      </c>
      <c r="M25">
        <f t="shared" si="0"/>
        <v>5637435.5700000003</v>
      </c>
      <c r="P25" s="63">
        <v>2020</v>
      </c>
      <c r="Q25" s="43">
        <v>2945</v>
      </c>
      <c r="R25" s="44">
        <v>28497.247499999998</v>
      </c>
      <c r="S25" s="44">
        <v>90879229.75999999</v>
      </c>
      <c r="T25" s="61">
        <v>18635489.73</v>
      </c>
    </row>
    <row r="26" spans="1:20" x14ac:dyDescent="0.15">
      <c r="A26" s="12"/>
      <c r="B26" s="13" t="s">
        <v>461</v>
      </c>
      <c r="C26" s="14" t="s">
        <v>43</v>
      </c>
      <c r="D26" s="15" t="s">
        <v>68</v>
      </c>
      <c r="E26" s="15" t="s">
        <v>120</v>
      </c>
      <c r="F26" s="16">
        <v>586</v>
      </c>
      <c r="G26" s="17">
        <v>11765.54</v>
      </c>
      <c r="H26" s="17">
        <v>6000.81</v>
      </c>
      <c r="I26" s="17">
        <v>6894606.4400000004</v>
      </c>
      <c r="J26" s="15" t="s">
        <v>17</v>
      </c>
      <c r="K26" s="15" t="s">
        <v>18</v>
      </c>
      <c r="L26" s="9">
        <f>YEAR(E26)</f>
        <v>2020</v>
      </c>
      <c r="M26">
        <f t="shared" si="0"/>
        <v>3516474.66</v>
      </c>
      <c r="P26" s="63">
        <v>2021</v>
      </c>
      <c r="Q26" s="43">
        <v>2074</v>
      </c>
      <c r="R26" s="44">
        <v>33723.300000000003</v>
      </c>
      <c r="S26" s="44">
        <v>68493182.960000008</v>
      </c>
      <c r="T26" s="61">
        <v>12975890.6</v>
      </c>
    </row>
    <row r="27" spans="1:20" x14ac:dyDescent="0.15">
      <c r="A27" s="12"/>
      <c r="B27" s="13" t="s">
        <v>461</v>
      </c>
      <c r="C27" s="14" t="s">
        <v>19</v>
      </c>
      <c r="D27" s="15" t="s">
        <v>68</v>
      </c>
      <c r="E27" s="15" t="s">
        <v>528</v>
      </c>
      <c r="F27" s="16">
        <v>656</v>
      </c>
      <c r="G27" s="17">
        <v>15181.46</v>
      </c>
      <c r="H27" s="17">
        <v>8490.1200000000008</v>
      </c>
      <c r="I27" s="17">
        <v>9959037.7599999998</v>
      </c>
      <c r="J27" s="15" t="s">
        <v>22</v>
      </c>
      <c r="K27" s="15" t="s">
        <v>18</v>
      </c>
      <c r="L27" s="9">
        <f>YEAR(E27)</f>
        <v>2020</v>
      </c>
      <c r="M27">
        <f t="shared" si="0"/>
        <v>5569518.7200000007</v>
      </c>
      <c r="P27" s="63">
        <v>2022</v>
      </c>
      <c r="Q27" s="43">
        <v>1424</v>
      </c>
      <c r="R27" s="44">
        <v>35763.599999999999</v>
      </c>
      <c r="S27" s="44">
        <v>52753396.219999999</v>
      </c>
      <c r="T27" s="61">
        <v>8535084.2000000011</v>
      </c>
    </row>
    <row r="28" spans="1:20" x14ac:dyDescent="0.15">
      <c r="A28" s="12"/>
      <c r="B28" s="13" t="s">
        <v>461</v>
      </c>
      <c r="C28" s="14" t="s">
        <v>79</v>
      </c>
      <c r="D28" s="15" t="s">
        <v>68</v>
      </c>
      <c r="E28" s="15" t="s">
        <v>532</v>
      </c>
      <c r="F28" s="16">
        <v>906</v>
      </c>
      <c r="G28" s="17">
        <v>42689.17</v>
      </c>
      <c r="H28" s="17">
        <v>3042.07</v>
      </c>
      <c r="I28" s="17">
        <v>38676388.020000003</v>
      </c>
      <c r="J28" s="15" t="s">
        <v>17</v>
      </c>
      <c r="K28" s="15" t="s">
        <v>18</v>
      </c>
      <c r="L28" s="9">
        <f>YEAR(E28)</f>
        <v>2020</v>
      </c>
      <c r="M28">
        <f t="shared" si="0"/>
        <v>2756115.42</v>
      </c>
      <c r="P28" s="63">
        <v>2023</v>
      </c>
      <c r="Q28" s="43">
        <v>1395</v>
      </c>
      <c r="R28" s="44">
        <v>31319.64</v>
      </c>
      <c r="S28" s="44">
        <v>43840156.130000003</v>
      </c>
      <c r="T28" s="61">
        <v>5135451.45</v>
      </c>
    </row>
    <row r="29" spans="1:20" ht="14" x14ac:dyDescent="0.15">
      <c r="A29" s="12"/>
      <c r="B29" s="13" t="s">
        <v>461</v>
      </c>
      <c r="C29" s="14" t="s">
        <v>57</v>
      </c>
      <c r="D29" s="15" t="s">
        <v>68</v>
      </c>
      <c r="E29" s="15" t="s">
        <v>535</v>
      </c>
      <c r="F29" s="16">
        <v>797</v>
      </c>
      <c r="G29" s="17">
        <v>44352.82</v>
      </c>
      <c r="H29" s="17">
        <v>8523.69</v>
      </c>
      <c r="I29" s="17">
        <v>35349197.539999999</v>
      </c>
      <c r="J29" s="15" t="s">
        <v>22</v>
      </c>
      <c r="K29" s="15" t="s">
        <v>18</v>
      </c>
      <c r="L29" s="9">
        <f>YEAR(E29)</f>
        <v>2020</v>
      </c>
      <c r="M29">
        <f t="shared" si="0"/>
        <v>6793380.9300000006</v>
      </c>
      <c r="P29" s="76" t="s">
        <v>114</v>
      </c>
      <c r="Q29" s="77">
        <v>4450</v>
      </c>
      <c r="R29" s="78">
        <v>32669.091111111113</v>
      </c>
      <c r="S29" s="78">
        <v>150770363.01999998</v>
      </c>
      <c r="T29" s="79">
        <v>26127251.039999995</v>
      </c>
    </row>
    <row r="30" spans="1:20" x14ac:dyDescent="0.15">
      <c r="A30" s="12"/>
      <c r="B30" s="13" t="s">
        <v>461</v>
      </c>
      <c r="C30" s="14" t="s">
        <v>35</v>
      </c>
      <c r="D30" s="15" t="s">
        <v>26</v>
      </c>
      <c r="E30" s="15" t="s">
        <v>538</v>
      </c>
      <c r="F30" s="16">
        <v>170</v>
      </c>
      <c r="G30" s="17">
        <v>20351.669999999998</v>
      </c>
      <c r="H30" s="17">
        <v>3702.17</v>
      </c>
      <c r="I30" s="19">
        <v>3459783.9</v>
      </c>
      <c r="J30" s="15" t="s">
        <v>22</v>
      </c>
      <c r="K30" s="15" t="s">
        <v>18</v>
      </c>
      <c r="L30" s="9">
        <f>YEAR(E30)</f>
        <v>2020</v>
      </c>
      <c r="M30">
        <f t="shared" si="0"/>
        <v>629368.9</v>
      </c>
      <c r="P30" s="63">
        <v>2020</v>
      </c>
      <c r="Q30" s="43">
        <v>246</v>
      </c>
      <c r="R30" s="44">
        <v>28229.09</v>
      </c>
      <c r="S30" s="44">
        <v>6944356.1399999997</v>
      </c>
      <c r="T30" s="61">
        <v>621828.96000000008</v>
      </c>
    </row>
    <row r="31" spans="1:20" x14ac:dyDescent="0.15">
      <c r="A31" s="12"/>
      <c r="B31" s="13" t="s">
        <v>461</v>
      </c>
      <c r="C31" s="14" t="s">
        <v>23</v>
      </c>
      <c r="D31" s="15" t="s">
        <v>26</v>
      </c>
      <c r="E31" s="15" t="s">
        <v>540</v>
      </c>
      <c r="F31" s="16">
        <v>469</v>
      </c>
      <c r="G31" s="17">
        <v>28403.99</v>
      </c>
      <c r="H31" s="17">
        <v>4747.66</v>
      </c>
      <c r="I31" s="17">
        <v>13321471.310000001</v>
      </c>
      <c r="J31" s="15" t="s">
        <v>22</v>
      </c>
      <c r="K31" s="15" t="s">
        <v>18</v>
      </c>
      <c r="L31" s="9">
        <f>YEAR(E31)</f>
        <v>2020</v>
      </c>
      <c r="M31">
        <f t="shared" si="0"/>
        <v>2226652.54</v>
      </c>
      <c r="P31" s="63">
        <v>2021</v>
      </c>
      <c r="Q31" s="43">
        <v>2458</v>
      </c>
      <c r="R31" s="44">
        <v>36502.932500000003</v>
      </c>
      <c r="S31" s="44">
        <v>89105103.799999997</v>
      </c>
      <c r="T31" s="61">
        <v>14298691.509999998</v>
      </c>
    </row>
    <row r="32" spans="1:20" x14ac:dyDescent="0.15">
      <c r="A32" s="12"/>
      <c r="B32" s="13" t="s">
        <v>461</v>
      </c>
      <c r="C32" s="14" t="s">
        <v>57</v>
      </c>
      <c r="D32" s="15" t="s">
        <v>153</v>
      </c>
      <c r="E32" s="15" t="s">
        <v>547</v>
      </c>
      <c r="F32" s="16">
        <v>289</v>
      </c>
      <c r="G32" s="17">
        <v>42097.15</v>
      </c>
      <c r="H32" s="17">
        <v>6008.62</v>
      </c>
      <c r="I32" s="17">
        <v>12166076.35</v>
      </c>
      <c r="J32" s="15" t="s">
        <v>17</v>
      </c>
      <c r="K32" s="15" t="s">
        <v>18</v>
      </c>
      <c r="L32" s="9">
        <f>YEAR(E32)</f>
        <v>2020</v>
      </c>
      <c r="M32">
        <f t="shared" si="0"/>
        <v>1736491.18</v>
      </c>
      <c r="P32" s="63">
        <v>2022</v>
      </c>
      <c r="Q32" s="43">
        <v>571</v>
      </c>
      <c r="R32" s="44">
        <v>30747.280000000002</v>
      </c>
      <c r="S32" s="44">
        <v>21069565.190000001</v>
      </c>
      <c r="T32" s="61">
        <v>3131491.36</v>
      </c>
    </row>
    <row r="33" spans="1:20" x14ac:dyDescent="0.15">
      <c r="A33" s="12"/>
      <c r="B33" s="13" t="s">
        <v>461</v>
      </c>
      <c r="C33" s="14" t="s">
        <v>79</v>
      </c>
      <c r="D33" s="15" t="s">
        <v>153</v>
      </c>
      <c r="E33" s="15" t="s">
        <v>549</v>
      </c>
      <c r="F33" s="16">
        <v>193</v>
      </c>
      <c r="G33" s="17">
        <v>31525.279999999999</v>
      </c>
      <c r="H33" s="17">
        <v>7795.99</v>
      </c>
      <c r="I33" s="17">
        <v>6084379.04</v>
      </c>
      <c r="J33" s="15" t="s">
        <v>28</v>
      </c>
      <c r="K33" s="15" t="s">
        <v>18</v>
      </c>
      <c r="L33" s="9">
        <f>YEAR(E33)</f>
        <v>2020</v>
      </c>
      <c r="M33">
        <f t="shared" si="0"/>
        <v>1504626.07</v>
      </c>
      <c r="P33" s="63">
        <v>2023</v>
      </c>
      <c r="Q33" s="43">
        <v>1175</v>
      </c>
      <c r="R33" s="44">
        <v>29143.22</v>
      </c>
      <c r="S33" s="44">
        <v>33651337.890000001</v>
      </c>
      <c r="T33" s="61">
        <v>8075239.209999999</v>
      </c>
    </row>
    <row r="34" spans="1:20" ht="14" x14ac:dyDescent="0.15">
      <c r="A34" s="30"/>
      <c r="B34" s="13" t="s">
        <v>461</v>
      </c>
      <c r="C34" s="14" t="s">
        <v>79</v>
      </c>
      <c r="D34" s="15" t="s">
        <v>114</v>
      </c>
      <c r="E34" s="15" t="s">
        <v>462</v>
      </c>
      <c r="F34" s="16">
        <v>881</v>
      </c>
      <c r="G34" s="17">
        <v>23151.97</v>
      </c>
      <c r="H34" s="17">
        <v>5868.73</v>
      </c>
      <c r="I34" s="17">
        <v>20396885.57</v>
      </c>
      <c r="J34" s="15" t="s">
        <v>17</v>
      </c>
      <c r="K34" s="15" t="s">
        <v>18</v>
      </c>
      <c r="L34" s="9">
        <f>YEAR(E34)</f>
        <v>2021</v>
      </c>
      <c r="M34">
        <f t="shared" si="0"/>
        <v>5170351.13</v>
      </c>
      <c r="P34" s="76" t="s">
        <v>107</v>
      </c>
      <c r="Q34" s="77">
        <v>8589</v>
      </c>
      <c r="R34" s="78">
        <v>37675.914666666664</v>
      </c>
      <c r="S34" s="78">
        <v>329902312.31999993</v>
      </c>
      <c r="T34" s="79">
        <v>48284346.68</v>
      </c>
    </row>
    <row r="35" spans="1:20" x14ac:dyDescent="0.15">
      <c r="A35" s="12"/>
      <c r="B35" s="13" t="s">
        <v>461</v>
      </c>
      <c r="C35" s="14" t="s">
        <v>23</v>
      </c>
      <c r="D35" s="15" t="s">
        <v>15</v>
      </c>
      <c r="E35" s="15" t="s">
        <v>462</v>
      </c>
      <c r="F35" s="16">
        <v>283</v>
      </c>
      <c r="G35" s="17">
        <v>18829.439999999999</v>
      </c>
      <c r="H35" s="17">
        <v>3188.06</v>
      </c>
      <c r="I35" s="17">
        <v>5328731.5199999996</v>
      </c>
      <c r="J35" s="15" t="s">
        <v>17</v>
      </c>
      <c r="K35" s="15" t="s">
        <v>18</v>
      </c>
      <c r="L35" s="9">
        <f>YEAR(E35)</f>
        <v>2021</v>
      </c>
      <c r="M35">
        <f t="shared" si="0"/>
        <v>902220.98</v>
      </c>
      <c r="P35" s="63">
        <v>2020</v>
      </c>
      <c r="Q35" s="43">
        <v>814</v>
      </c>
      <c r="R35" s="44">
        <v>45418.18</v>
      </c>
      <c r="S35" s="44">
        <v>36970398.520000003</v>
      </c>
      <c r="T35" s="61">
        <v>1915187.3399999999</v>
      </c>
    </row>
    <row r="36" spans="1:20" x14ac:dyDescent="0.15">
      <c r="A36" s="12"/>
      <c r="B36" s="13" t="s">
        <v>461</v>
      </c>
      <c r="C36" s="14" t="s">
        <v>35</v>
      </c>
      <c r="D36" s="15" t="s">
        <v>114</v>
      </c>
      <c r="E36" s="15" t="s">
        <v>421</v>
      </c>
      <c r="F36" s="16">
        <v>840</v>
      </c>
      <c r="G36" s="17">
        <v>49351.45</v>
      </c>
      <c r="H36" s="17">
        <v>4574.66</v>
      </c>
      <c r="I36" s="16">
        <v>41455218</v>
      </c>
      <c r="J36" s="15" t="s">
        <v>17</v>
      </c>
      <c r="K36" s="15" t="s">
        <v>18</v>
      </c>
      <c r="L36" s="9">
        <f>YEAR(E36)</f>
        <v>2021</v>
      </c>
      <c r="M36">
        <f t="shared" si="0"/>
        <v>3842714.4</v>
      </c>
      <c r="P36" s="63">
        <v>2021</v>
      </c>
      <c r="Q36" s="43">
        <v>1350</v>
      </c>
      <c r="R36" s="44">
        <v>36972.89</v>
      </c>
      <c r="S36" s="44">
        <v>54172907.699999996</v>
      </c>
      <c r="T36" s="61">
        <v>8340758.2999999998</v>
      </c>
    </row>
    <row r="37" spans="1:20" x14ac:dyDescent="0.15">
      <c r="A37" s="12"/>
      <c r="B37" s="13" t="s">
        <v>461</v>
      </c>
      <c r="C37" s="14" t="s">
        <v>23</v>
      </c>
      <c r="D37" s="15" t="s">
        <v>114</v>
      </c>
      <c r="E37" s="15" t="s">
        <v>465</v>
      </c>
      <c r="F37" s="16">
        <v>568</v>
      </c>
      <c r="G37" s="17">
        <v>37168.160000000003</v>
      </c>
      <c r="H37" s="17">
        <v>8052.61</v>
      </c>
      <c r="I37" s="17">
        <v>21111514.879999999</v>
      </c>
      <c r="J37" s="15" t="s">
        <v>17</v>
      </c>
      <c r="K37" s="15" t="s">
        <v>18</v>
      </c>
      <c r="L37" s="9">
        <f>YEAR(E37)</f>
        <v>2021</v>
      </c>
      <c r="M37">
        <f t="shared" si="0"/>
        <v>4573882.4799999995</v>
      </c>
      <c r="P37" s="63">
        <v>2022</v>
      </c>
      <c r="Q37" s="43">
        <v>3058</v>
      </c>
      <c r="R37" s="44">
        <v>43238.781999999999</v>
      </c>
      <c r="S37" s="44">
        <v>133034166.75</v>
      </c>
      <c r="T37" s="61">
        <v>18288748.219999999</v>
      </c>
    </row>
    <row r="38" spans="1:20" x14ac:dyDescent="0.15">
      <c r="A38" s="12"/>
      <c r="B38" s="13" t="s">
        <v>461</v>
      </c>
      <c r="C38" s="14" t="s">
        <v>14</v>
      </c>
      <c r="D38" s="15" t="s">
        <v>114</v>
      </c>
      <c r="E38" s="15" t="s">
        <v>467</v>
      </c>
      <c r="F38" s="16">
        <v>169</v>
      </c>
      <c r="G38" s="17">
        <v>36340.15</v>
      </c>
      <c r="H38" s="19">
        <v>4211.5</v>
      </c>
      <c r="I38" s="17">
        <v>6141485.3499999996</v>
      </c>
      <c r="J38" s="15" t="s">
        <v>30</v>
      </c>
      <c r="K38" s="15" t="s">
        <v>18</v>
      </c>
      <c r="L38" s="9">
        <f>YEAR(E38)</f>
        <v>2021</v>
      </c>
      <c r="M38">
        <f t="shared" si="0"/>
        <v>711743.5</v>
      </c>
      <c r="P38" s="63">
        <v>2023</v>
      </c>
      <c r="Q38" s="43">
        <v>3367</v>
      </c>
      <c r="R38" s="44">
        <v>32101.32666666666</v>
      </c>
      <c r="S38" s="44">
        <v>105724839.34999999</v>
      </c>
      <c r="T38" s="61">
        <v>19739652.819999997</v>
      </c>
    </row>
    <row r="39" spans="1:20" ht="28" x14ac:dyDescent="0.15">
      <c r="A39" s="12"/>
      <c r="B39" s="13" t="s">
        <v>461</v>
      </c>
      <c r="C39" s="14" t="s">
        <v>23</v>
      </c>
      <c r="D39" s="15" t="s">
        <v>15</v>
      </c>
      <c r="E39" s="15" t="s">
        <v>470</v>
      </c>
      <c r="F39" s="16">
        <v>391</v>
      </c>
      <c r="G39" s="17">
        <v>19901.91</v>
      </c>
      <c r="H39" s="17">
        <v>2594.44</v>
      </c>
      <c r="I39" s="17">
        <v>7781646.8099999996</v>
      </c>
      <c r="J39" s="15" t="s">
        <v>17</v>
      </c>
      <c r="K39" s="15" t="s">
        <v>18</v>
      </c>
      <c r="L39" s="9">
        <f>YEAR(E39)</f>
        <v>2021</v>
      </c>
      <c r="M39">
        <f t="shared" si="0"/>
        <v>1014426.04</v>
      </c>
      <c r="P39" s="76" t="s">
        <v>15</v>
      </c>
      <c r="Q39" s="77">
        <v>6050</v>
      </c>
      <c r="R39" s="78">
        <v>31742.001428571424</v>
      </c>
      <c r="S39" s="78">
        <v>197145093.52000001</v>
      </c>
      <c r="T39" s="79">
        <v>33879629.280000009</v>
      </c>
    </row>
    <row r="40" spans="1:20" x14ac:dyDescent="0.15">
      <c r="A40" s="12"/>
      <c r="B40" s="13" t="s">
        <v>461</v>
      </c>
      <c r="C40" s="14" t="s">
        <v>43</v>
      </c>
      <c r="D40" s="15" t="s">
        <v>15</v>
      </c>
      <c r="E40" s="15" t="s">
        <v>471</v>
      </c>
      <c r="F40" s="16">
        <v>428</v>
      </c>
      <c r="G40" s="17">
        <v>33222.480000000003</v>
      </c>
      <c r="H40" s="17">
        <v>9269.51</v>
      </c>
      <c r="I40" s="17">
        <v>14219221.439999999</v>
      </c>
      <c r="J40" s="15" t="s">
        <v>28</v>
      </c>
      <c r="K40" s="15" t="s">
        <v>18</v>
      </c>
      <c r="L40" s="9">
        <f>YEAR(E40)</f>
        <v>2021</v>
      </c>
      <c r="M40">
        <f t="shared" si="0"/>
        <v>3967350.2800000003</v>
      </c>
      <c r="P40" s="63">
        <v>2020</v>
      </c>
      <c r="Q40" s="43">
        <v>3228</v>
      </c>
      <c r="R40" s="44">
        <v>31257.706666666669</v>
      </c>
      <c r="S40" s="44">
        <v>102401965.78999999</v>
      </c>
      <c r="T40" s="61">
        <v>20313274.810000002</v>
      </c>
    </row>
    <row r="41" spans="1:20" x14ac:dyDescent="0.15">
      <c r="A41" s="12"/>
      <c r="B41" s="13" t="s">
        <v>461</v>
      </c>
      <c r="C41" s="14" t="s">
        <v>25</v>
      </c>
      <c r="D41" s="15" t="s">
        <v>15</v>
      </c>
      <c r="E41" s="15" t="s">
        <v>475</v>
      </c>
      <c r="F41" s="16">
        <v>375</v>
      </c>
      <c r="G41" s="17">
        <v>47026.19</v>
      </c>
      <c r="H41" s="17">
        <v>3721.51</v>
      </c>
      <c r="I41" s="17">
        <v>17634821.25</v>
      </c>
      <c r="J41" s="15" t="s">
        <v>28</v>
      </c>
      <c r="K41" s="15" t="s">
        <v>18</v>
      </c>
      <c r="L41" s="9">
        <f>YEAR(E41)</f>
        <v>2021</v>
      </c>
      <c r="M41">
        <f t="shared" si="0"/>
        <v>1395566.25</v>
      </c>
      <c r="P41" s="63">
        <v>2021</v>
      </c>
      <c r="Q41" s="43">
        <v>2318</v>
      </c>
      <c r="R41" s="44">
        <v>35510.845000000001</v>
      </c>
      <c r="S41" s="44">
        <v>83736246.170000002</v>
      </c>
      <c r="T41" s="61">
        <v>11164832.270000001</v>
      </c>
    </row>
    <row r="42" spans="1:20" x14ac:dyDescent="0.15">
      <c r="A42" s="12"/>
      <c r="B42" s="13" t="s">
        <v>461</v>
      </c>
      <c r="C42" s="14" t="s">
        <v>14</v>
      </c>
      <c r="D42" s="15" t="s">
        <v>15</v>
      </c>
      <c r="E42" s="15" t="s">
        <v>428</v>
      </c>
      <c r="F42" s="16">
        <v>593</v>
      </c>
      <c r="G42" s="17">
        <v>44749.95</v>
      </c>
      <c r="H42" s="17">
        <v>4498.4799999999996</v>
      </c>
      <c r="I42" s="17">
        <v>26536720.350000001</v>
      </c>
      <c r="J42" s="15" t="s">
        <v>17</v>
      </c>
      <c r="K42" s="15" t="s">
        <v>18</v>
      </c>
      <c r="L42" s="9">
        <f>YEAR(E42)</f>
        <v>2021</v>
      </c>
      <c r="M42">
        <f t="shared" si="0"/>
        <v>2667598.6399999997</v>
      </c>
      <c r="P42" s="63">
        <v>2022</v>
      </c>
      <c r="Q42" s="43">
        <v>324</v>
      </c>
      <c r="R42" s="44">
        <v>21715.79</v>
      </c>
      <c r="S42" s="44">
        <v>7035915.96</v>
      </c>
      <c r="T42" s="61">
        <v>1821933</v>
      </c>
    </row>
    <row r="43" spans="1:20" x14ac:dyDescent="0.15">
      <c r="A43" s="12"/>
      <c r="B43" s="13" t="s">
        <v>461</v>
      </c>
      <c r="C43" s="14" t="s">
        <v>79</v>
      </c>
      <c r="D43" s="15" t="s">
        <v>15</v>
      </c>
      <c r="E43" s="15" t="s">
        <v>479</v>
      </c>
      <c r="F43" s="16">
        <v>248</v>
      </c>
      <c r="G43" s="19">
        <v>49335.1</v>
      </c>
      <c r="H43" s="17">
        <v>4909.96</v>
      </c>
      <c r="I43" s="19">
        <v>12235104.800000001</v>
      </c>
      <c r="J43" s="15" t="s">
        <v>17</v>
      </c>
      <c r="K43" s="15" t="s">
        <v>18</v>
      </c>
      <c r="L43" s="9">
        <f>YEAR(E43)</f>
        <v>2021</v>
      </c>
      <c r="M43">
        <f t="shared" si="0"/>
        <v>1217670.08</v>
      </c>
      <c r="P43" s="63">
        <v>2023</v>
      </c>
      <c r="Q43" s="43">
        <v>180</v>
      </c>
      <c r="R43" s="44">
        <v>22060.92</v>
      </c>
      <c r="S43" s="44">
        <v>3970965.6</v>
      </c>
      <c r="T43" s="61">
        <v>579589.19999999995</v>
      </c>
    </row>
    <row r="44" spans="1:20" ht="14" x14ac:dyDescent="0.15">
      <c r="A44" s="12"/>
      <c r="B44" s="13" t="s">
        <v>461</v>
      </c>
      <c r="C44" s="14" t="s">
        <v>19</v>
      </c>
      <c r="D44" s="15" t="s">
        <v>70</v>
      </c>
      <c r="E44" s="15" t="s">
        <v>481</v>
      </c>
      <c r="F44" s="16">
        <v>873</v>
      </c>
      <c r="G44" s="17">
        <v>35948.04</v>
      </c>
      <c r="H44" s="19">
        <v>8000.9</v>
      </c>
      <c r="I44" s="17">
        <v>31382638.920000002</v>
      </c>
      <c r="J44" s="15" t="s">
        <v>17</v>
      </c>
      <c r="K44" s="15" t="s">
        <v>18</v>
      </c>
      <c r="L44" s="9">
        <f>YEAR(E44)</f>
        <v>2021</v>
      </c>
      <c r="M44">
        <f t="shared" si="0"/>
        <v>6984785.6999999993</v>
      </c>
      <c r="P44" s="76" t="s">
        <v>139</v>
      </c>
      <c r="Q44" s="77">
        <v>7209</v>
      </c>
      <c r="R44" s="78">
        <v>30069.8325</v>
      </c>
      <c r="S44" s="78">
        <v>235865675.03000003</v>
      </c>
      <c r="T44" s="79">
        <v>53625060.890000001</v>
      </c>
    </row>
    <row r="45" spans="1:20" x14ac:dyDescent="0.15">
      <c r="A45" s="12"/>
      <c r="B45" s="13" t="s">
        <v>461</v>
      </c>
      <c r="C45" s="14" t="s">
        <v>35</v>
      </c>
      <c r="D45" s="15" t="s">
        <v>53</v>
      </c>
      <c r="E45" s="15" t="s">
        <v>489</v>
      </c>
      <c r="F45" s="16">
        <v>726</v>
      </c>
      <c r="G45" s="17">
        <v>24759.94</v>
      </c>
      <c r="H45" s="17">
        <v>3878.78</v>
      </c>
      <c r="I45" s="17">
        <v>17975716.440000001</v>
      </c>
      <c r="J45" s="15" t="s">
        <v>17</v>
      </c>
      <c r="K45" s="15" t="s">
        <v>18</v>
      </c>
      <c r="L45" s="9">
        <f>YEAR(E45)</f>
        <v>2021</v>
      </c>
      <c r="M45">
        <f t="shared" si="0"/>
        <v>2815994.2800000003</v>
      </c>
      <c r="P45" s="63">
        <v>2020</v>
      </c>
      <c r="Q45" s="43">
        <v>1178</v>
      </c>
      <c r="R45" s="44">
        <v>31498.120000000003</v>
      </c>
      <c r="S45" s="44">
        <v>43059739.520000003</v>
      </c>
      <c r="T45" s="61">
        <v>9580321.620000001</v>
      </c>
    </row>
    <row r="46" spans="1:20" x14ac:dyDescent="0.15">
      <c r="A46" s="12"/>
      <c r="B46" s="13" t="s">
        <v>461</v>
      </c>
      <c r="C46" s="14" t="s">
        <v>79</v>
      </c>
      <c r="D46" s="15" t="s">
        <v>53</v>
      </c>
      <c r="E46" s="15" t="s">
        <v>492</v>
      </c>
      <c r="F46" s="16">
        <v>397</v>
      </c>
      <c r="G46" s="17">
        <v>22969.040000000001</v>
      </c>
      <c r="H46" s="17">
        <v>2260.4499999999998</v>
      </c>
      <c r="I46" s="17">
        <v>9118708.8800000008</v>
      </c>
      <c r="J46" s="15" t="s">
        <v>17</v>
      </c>
      <c r="K46" s="15" t="s">
        <v>18</v>
      </c>
      <c r="L46" s="9">
        <f>YEAR(E46)</f>
        <v>2021</v>
      </c>
      <c r="M46">
        <f t="shared" si="0"/>
        <v>897398.64999999991</v>
      </c>
      <c r="P46" s="63">
        <v>2021</v>
      </c>
      <c r="Q46" s="43">
        <v>2097</v>
      </c>
      <c r="R46" s="44">
        <v>31352.564999999999</v>
      </c>
      <c r="S46" s="44">
        <v>66840981.269999996</v>
      </c>
      <c r="T46" s="61">
        <v>15568175.49</v>
      </c>
    </row>
    <row r="47" spans="1:20" x14ac:dyDescent="0.15">
      <c r="A47" s="12"/>
      <c r="B47" s="13" t="s">
        <v>461</v>
      </c>
      <c r="C47" s="14" t="s">
        <v>79</v>
      </c>
      <c r="D47" s="15" t="s">
        <v>53</v>
      </c>
      <c r="E47" s="15" t="s">
        <v>493</v>
      </c>
      <c r="F47" s="16">
        <v>676</v>
      </c>
      <c r="G47" s="17">
        <v>22251.72</v>
      </c>
      <c r="H47" s="17">
        <v>5992.39</v>
      </c>
      <c r="I47" s="17">
        <v>15042162.720000001</v>
      </c>
      <c r="J47" s="15" t="s">
        <v>17</v>
      </c>
      <c r="K47" s="15" t="s">
        <v>18</v>
      </c>
      <c r="L47" s="9">
        <f>YEAR(E47)</f>
        <v>2021</v>
      </c>
      <c r="M47">
        <f t="shared" si="0"/>
        <v>4050855.64</v>
      </c>
      <c r="P47" s="63">
        <v>2022</v>
      </c>
      <c r="Q47" s="43">
        <v>1193</v>
      </c>
      <c r="R47" s="44">
        <v>33221.755000000005</v>
      </c>
      <c r="S47" s="44">
        <v>42324009.689999998</v>
      </c>
      <c r="T47" s="61">
        <v>5796104.8300000001</v>
      </c>
    </row>
    <row r="48" spans="1:20" x14ac:dyDescent="0.15">
      <c r="A48" s="12"/>
      <c r="B48" s="13" t="s">
        <v>461</v>
      </c>
      <c r="C48" s="14" t="s">
        <v>43</v>
      </c>
      <c r="D48" s="15" t="s">
        <v>107</v>
      </c>
      <c r="E48" s="15" t="s">
        <v>497</v>
      </c>
      <c r="F48" s="16">
        <v>537</v>
      </c>
      <c r="G48" s="17">
        <v>48105.59</v>
      </c>
      <c r="H48" s="17">
        <v>5191.38</v>
      </c>
      <c r="I48" s="17">
        <v>25832701.829999998</v>
      </c>
      <c r="J48" s="15" t="s">
        <v>17</v>
      </c>
      <c r="K48" s="15" t="s">
        <v>18</v>
      </c>
      <c r="L48" s="9">
        <f>YEAR(E48)</f>
        <v>2021</v>
      </c>
      <c r="M48">
        <f t="shared" si="0"/>
        <v>2787771.06</v>
      </c>
      <c r="P48" s="63">
        <v>2023</v>
      </c>
      <c r="Q48" s="43">
        <v>2741</v>
      </c>
      <c r="R48" s="44">
        <v>26496.995000000003</v>
      </c>
      <c r="S48" s="44">
        <v>83640944.549999997</v>
      </c>
      <c r="T48" s="61">
        <v>22680458.949999999</v>
      </c>
    </row>
    <row r="49" spans="1:20" ht="14" x14ac:dyDescent="0.15">
      <c r="A49" s="12"/>
      <c r="B49" s="13" t="s">
        <v>461</v>
      </c>
      <c r="C49" s="14" t="s">
        <v>35</v>
      </c>
      <c r="D49" s="15" t="s">
        <v>107</v>
      </c>
      <c r="E49" s="15" t="s">
        <v>499</v>
      </c>
      <c r="F49" s="16">
        <v>487</v>
      </c>
      <c r="G49" s="17">
        <v>48839.39</v>
      </c>
      <c r="H49" s="17">
        <v>6529.26</v>
      </c>
      <c r="I49" s="17">
        <v>23784782.93</v>
      </c>
      <c r="J49" s="15" t="s">
        <v>30</v>
      </c>
      <c r="K49" s="15" t="s">
        <v>18</v>
      </c>
      <c r="L49" s="9">
        <f>YEAR(E49)</f>
        <v>2021</v>
      </c>
      <c r="M49">
        <f t="shared" si="0"/>
        <v>3179749.62</v>
      </c>
      <c r="P49" s="76" t="s">
        <v>53</v>
      </c>
      <c r="Q49" s="77">
        <v>5578</v>
      </c>
      <c r="R49" s="78">
        <v>28266.297499999997</v>
      </c>
      <c r="S49" s="78">
        <v>155520781.60000002</v>
      </c>
      <c r="T49" s="79">
        <v>29848980.109999996</v>
      </c>
    </row>
    <row r="50" spans="1:20" x14ac:dyDescent="0.15">
      <c r="A50" s="12"/>
      <c r="B50" s="13" t="s">
        <v>461</v>
      </c>
      <c r="C50" s="14" t="s">
        <v>23</v>
      </c>
      <c r="D50" s="15" t="s">
        <v>107</v>
      </c>
      <c r="E50" s="15" t="s">
        <v>502</v>
      </c>
      <c r="F50" s="16">
        <v>326</v>
      </c>
      <c r="G50" s="17">
        <v>13973.69</v>
      </c>
      <c r="H50" s="17">
        <v>7279.87</v>
      </c>
      <c r="I50" s="17">
        <v>4555422.9400000004</v>
      </c>
      <c r="J50" s="15" t="s">
        <v>17</v>
      </c>
      <c r="K50" s="15" t="s">
        <v>18</v>
      </c>
      <c r="L50" s="9">
        <f>YEAR(E50)</f>
        <v>2021</v>
      </c>
      <c r="M50">
        <f t="shared" si="0"/>
        <v>2373237.62</v>
      </c>
      <c r="P50" s="63">
        <v>2020</v>
      </c>
      <c r="Q50" s="43">
        <v>881</v>
      </c>
      <c r="R50" s="44">
        <v>28796.203333333335</v>
      </c>
      <c r="S50" s="44">
        <v>25667594.050000001</v>
      </c>
      <c r="T50" s="61">
        <v>4761975.1199999992</v>
      </c>
    </row>
    <row r="51" spans="1:20" x14ac:dyDescent="0.15">
      <c r="A51" s="12"/>
      <c r="B51" s="13" t="s">
        <v>461</v>
      </c>
      <c r="C51" s="14" t="s">
        <v>35</v>
      </c>
      <c r="D51" s="15" t="s">
        <v>89</v>
      </c>
      <c r="E51" s="15" t="s">
        <v>514</v>
      </c>
      <c r="F51" s="16">
        <v>292</v>
      </c>
      <c r="G51" s="17">
        <v>27482.77</v>
      </c>
      <c r="H51" s="17">
        <v>3727.66</v>
      </c>
      <c r="I51" s="17">
        <v>8024968.8399999999</v>
      </c>
      <c r="J51" s="15" t="s">
        <v>17</v>
      </c>
      <c r="K51" s="15" t="s">
        <v>18</v>
      </c>
      <c r="L51" s="9">
        <f>YEAR(E51)</f>
        <v>2021</v>
      </c>
      <c r="M51">
        <f t="shared" si="0"/>
        <v>1088476.72</v>
      </c>
      <c r="P51" s="63">
        <v>2021</v>
      </c>
      <c r="Q51" s="43">
        <v>1799</v>
      </c>
      <c r="R51" s="44">
        <v>23326.899999999998</v>
      </c>
      <c r="S51" s="44">
        <v>42136588.039999999</v>
      </c>
      <c r="T51" s="61">
        <v>7764248.5700000003</v>
      </c>
    </row>
    <row r="52" spans="1:20" x14ac:dyDescent="0.15">
      <c r="A52" s="12"/>
      <c r="B52" s="13" t="s">
        <v>461</v>
      </c>
      <c r="C52" s="14" t="s">
        <v>14</v>
      </c>
      <c r="D52" s="15" t="s">
        <v>89</v>
      </c>
      <c r="E52" s="15" t="s">
        <v>515</v>
      </c>
      <c r="F52" s="16">
        <v>586</v>
      </c>
      <c r="G52" s="17">
        <v>24919.56</v>
      </c>
      <c r="H52" s="17">
        <v>9611.18</v>
      </c>
      <c r="I52" s="17">
        <v>14602862.16</v>
      </c>
      <c r="J52" s="15" t="s">
        <v>28</v>
      </c>
      <c r="K52" s="15" t="s">
        <v>18</v>
      </c>
      <c r="L52" s="9">
        <f>YEAR(E52)</f>
        <v>2021</v>
      </c>
      <c r="M52">
        <f t="shared" si="0"/>
        <v>5632151.4800000004</v>
      </c>
      <c r="P52" s="63">
        <v>2022</v>
      </c>
      <c r="Q52" s="43">
        <v>1338</v>
      </c>
      <c r="R52" s="44">
        <v>29519.589999999997</v>
      </c>
      <c r="S52" s="44">
        <v>40724309.130000003</v>
      </c>
      <c r="T52" s="61">
        <v>9248937.2199999988</v>
      </c>
    </row>
    <row r="53" spans="1:20" x14ac:dyDescent="0.15">
      <c r="A53" s="12"/>
      <c r="B53" s="13" t="s">
        <v>461</v>
      </c>
      <c r="C53" s="14" t="s">
        <v>38</v>
      </c>
      <c r="D53" s="15" t="s">
        <v>89</v>
      </c>
      <c r="E53" s="15" t="s">
        <v>517</v>
      </c>
      <c r="F53" s="16">
        <v>655</v>
      </c>
      <c r="G53" s="17">
        <v>45931.66</v>
      </c>
      <c r="H53" s="17">
        <v>6251.45</v>
      </c>
      <c r="I53" s="19">
        <v>30085237.300000001</v>
      </c>
      <c r="J53" s="15" t="s">
        <v>17</v>
      </c>
      <c r="K53" s="15" t="s">
        <v>18</v>
      </c>
      <c r="L53" s="9">
        <f>YEAR(E53)</f>
        <v>2021</v>
      </c>
      <c r="M53">
        <f t="shared" si="0"/>
        <v>4094699.75</v>
      </c>
      <c r="P53" s="63">
        <v>2023</v>
      </c>
      <c r="Q53" s="43">
        <v>1560</v>
      </c>
      <c r="R53" s="44">
        <v>31422.496666666662</v>
      </c>
      <c r="S53" s="44">
        <v>46992290.380000003</v>
      </c>
      <c r="T53" s="61">
        <v>8073819.2000000002</v>
      </c>
    </row>
    <row r="54" spans="1:20" ht="28" x14ac:dyDescent="0.15">
      <c r="A54" s="12"/>
      <c r="B54" s="13" t="s">
        <v>461</v>
      </c>
      <c r="C54" s="14" t="s">
        <v>31</v>
      </c>
      <c r="D54" s="15" t="s">
        <v>139</v>
      </c>
      <c r="E54" s="15" t="s">
        <v>521</v>
      </c>
      <c r="F54" s="16">
        <v>795</v>
      </c>
      <c r="G54" s="17">
        <v>39866.44</v>
      </c>
      <c r="H54" s="17">
        <v>8970.09</v>
      </c>
      <c r="I54" s="19">
        <v>31693819.800000001</v>
      </c>
      <c r="J54" s="15" t="s">
        <v>22</v>
      </c>
      <c r="K54" s="15" t="s">
        <v>18</v>
      </c>
      <c r="L54" s="9">
        <f>YEAR(E54)</f>
        <v>2021</v>
      </c>
      <c r="M54">
        <f t="shared" si="0"/>
        <v>7131221.5499999998</v>
      </c>
      <c r="P54" s="76" t="s">
        <v>153</v>
      </c>
      <c r="Q54" s="77">
        <v>3276</v>
      </c>
      <c r="R54" s="78">
        <v>32435.010000000002</v>
      </c>
      <c r="S54" s="78">
        <v>103064744.17</v>
      </c>
      <c r="T54" s="79">
        <v>16005181.59</v>
      </c>
    </row>
    <row r="55" spans="1:20" x14ac:dyDescent="0.15">
      <c r="A55" s="12"/>
      <c r="B55" s="13" t="s">
        <v>461</v>
      </c>
      <c r="C55" s="14" t="s">
        <v>25</v>
      </c>
      <c r="D55" s="15" t="s">
        <v>139</v>
      </c>
      <c r="E55" s="15" t="s">
        <v>524</v>
      </c>
      <c r="F55" s="16">
        <v>498</v>
      </c>
      <c r="G55" s="17">
        <v>10454.43</v>
      </c>
      <c r="H55" s="19">
        <v>7341.9</v>
      </c>
      <c r="I55" s="17">
        <v>5206306.1399999997</v>
      </c>
      <c r="J55" s="15" t="s">
        <v>17</v>
      </c>
      <c r="K55" s="15" t="s">
        <v>18</v>
      </c>
      <c r="L55" s="9">
        <f>YEAR(E55)</f>
        <v>2021</v>
      </c>
      <c r="M55">
        <f t="shared" si="0"/>
        <v>3656266.1999999997</v>
      </c>
      <c r="P55" s="63">
        <v>2020</v>
      </c>
      <c r="Q55" s="43">
        <v>482</v>
      </c>
      <c r="R55" s="44">
        <v>36811.214999999997</v>
      </c>
      <c r="S55" s="44">
        <v>18250455.390000001</v>
      </c>
      <c r="T55" s="61">
        <v>3241117.25</v>
      </c>
    </row>
    <row r="56" spans="1:20" x14ac:dyDescent="0.15">
      <c r="A56" s="12"/>
      <c r="B56" s="13" t="s">
        <v>461</v>
      </c>
      <c r="C56" s="14" t="s">
        <v>43</v>
      </c>
      <c r="D56" s="15" t="s">
        <v>139</v>
      </c>
      <c r="E56" s="15" t="s">
        <v>525</v>
      </c>
      <c r="F56" s="16">
        <v>437</v>
      </c>
      <c r="G56" s="17">
        <v>34043.56</v>
      </c>
      <c r="H56" s="17">
        <v>9211.58</v>
      </c>
      <c r="I56" s="17">
        <v>14877035.720000001</v>
      </c>
      <c r="J56" s="15" t="s">
        <v>17</v>
      </c>
      <c r="K56" s="15" t="s">
        <v>18</v>
      </c>
      <c r="L56" s="9">
        <f>YEAR(E56)</f>
        <v>2021</v>
      </c>
      <c r="M56">
        <f t="shared" si="0"/>
        <v>4025460.46</v>
      </c>
      <c r="P56" s="63">
        <v>2021</v>
      </c>
      <c r="Q56" s="43">
        <v>1159</v>
      </c>
      <c r="R56" s="44">
        <v>28479.190000000002</v>
      </c>
      <c r="S56" s="44">
        <v>30920947.579999998</v>
      </c>
      <c r="T56" s="61">
        <v>5046505.08</v>
      </c>
    </row>
    <row r="57" spans="1:20" x14ac:dyDescent="0.15">
      <c r="A57" s="12"/>
      <c r="B57" s="13" t="s">
        <v>461</v>
      </c>
      <c r="C57" s="14" t="s">
        <v>57</v>
      </c>
      <c r="D57" s="15" t="s">
        <v>139</v>
      </c>
      <c r="E57" s="15" t="s">
        <v>449</v>
      </c>
      <c r="F57" s="16">
        <v>367</v>
      </c>
      <c r="G57" s="17">
        <v>41045.83</v>
      </c>
      <c r="H57" s="17">
        <v>2057.84</v>
      </c>
      <c r="I57" s="17">
        <v>15063819.609999999</v>
      </c>
      <c r="J57" s="15" t="s">
        <v>22</v>
      </c>
      <c r="K57" s="15" t="s">
        <v>18</v>
      </c>
      <c r="L57" s="9">
        <f>YEAR(E57)</f>
        <v>2021</v>
      </c>
      <c r="M57">
        <f t="shared" si="0"/>
        <v>755227.28</v>
      </c>
      <c r="P57" s="63">
        <v>2022</v>
      </c>
      <c r="Q57" s="43">
        <v>1190</v>
      </c>
      <c r="R57" s="44">
        <v>23163.105</v>
      </c>
      <c r="S57" s="44">
        <v>36809573.369999997</v>
      </c>
      <c r="T57" s="61">
        <v>4808960.42</v>
      </c>
    </row>
    <row r="58" spans="1:20" x14ac:dyDescent="0.15">
      <c r="A58" s="12"/>
      <c r="B58" s="13" t="s">
        <v>461</v>
      </c>
      <c r="C58" s="14" t="s">
        <v>38</v>
      </c>
      <c r="D58" s="15" t="s">
        <v>68</v>
      </c>
      <c r="E58" s="15" t="s">
        <v>92</v>
      </c>
      <c r="F58" s="16">
        <v>535</v>
      </c>
      <c r="G58" s="17">
        <v>48301.99</v>
      </c>
      <c r="H58" s="17">
        <v>9496.39</v>
      </c>
      <c r="I58" s="17">
        <v>25841564.649999999</v>
      </c>
      <c r="J58" s="15" t="s">
        <v>30</v>
      </c>
      <c r="K58" s="15" t="s">
        <v>18</v>
      </c>
      <c r="L58" s="9">
        <f>YEAR(E58)</f>
        <v>2021</v>
      </c>
      <c r="M58">
        <f t="shared" si="0"/>
        <v>5080568.6499999994</v>
      </c>
      <c r="P58" s="63">
        <v>2023</v>
      </c>
      <c r="Q58" s="43">
        <v>445</v>
      </c>
      <c r="R58" s="44">
        <v>41286.53</v>
      </c>
      <c r="S58" s="44">
        <v>17083767.830000002</v>
      </c>
      <c r="T58" s="61">
        <v>2908598.84</v>
      </c>
    </row>
    <row r="59" spans="1:20" ht="14" x14ac:dyDescent="0.15">
      <c r="A59" s="12"/>
      <c r="B59" s="13" t="s">
        <v>461</v>
      </c>
      <c r="C59" s="14" t="s">
        <v>19</v>
      </c>
      <c r="D59" s="15" t="s">
        <v>68</v>
      </c>
      <c r="E59" s="15" t="s">
        <v>530</v>
      </c>
      <c r="F59" s="16">
        <v>323</v>
      </c>
      <c r="G59" s="17">
        <v>17650.490000000002</v>
      </c>
      <c r="H59" s="17">
        <v>7102.23</v>
      </c>
      <c r="I59" s="17">
        <v>5701108.2699999996</v>
      </c>
      <c r="J59" s="15" t="s">
        <v>17</v>
      </c>
      <c r="K59" s="15" t="s">
        <v>18</v>
      </c>
      <c r="L59" s="9">
        <f>YEAR(E59)</f>
        <v>2021</v>
      </c>
      <c r="M59">
        <f t="shared" si="0"/>
        <v>2294020.29</v>
      </c>
      <c r="P59" s="46" t="s">
        <v>789</v>
      </c>
      <c r="Q59" s="47">
        <v>63879</v>
      </c>
      <c r="R59" s="48">
        <v>30126.338306451609</v>
      </c>
      <c r="S59" s="48">
        <v>1974585531.9300003</v>
      </c>
      <c r="T59" s="62">
        <v>385392110.73999995</v>
      </c>
    </row>
    <row r="60" spans="1:20" x14ac:dyDescent="0.15">
      <c r="A60" s="12"/>
      <c r="B60" s="13" t="s">
        <v>461</v>
      </c>
      <c r="C60" s="14" t="s">
        <v>43</v>
      </c>
      <c r="D60" s="15" t="s">
        <v>68</v>
      </c>
      <c r="E60" s="15" t="s">
        <v>531</v>
      </c>
      <c r="F60" s="16">
        <v>809</v>
      </c>
      <c r="G60" s="19">
        <v>22118.5</v>
      </c>
      <c r="H60" s="17">
        <v>3485.39</v>
      </c>
      <c r="I60" s="19">
        <v>17893866.5</v>
      </c>
      <c r="J60" s="15" t="s">
        <v>22</v>
      </c>
      <c r="K60" s="15" t="s">
        <v>18</v>
      </c>
      <c r="L60" s="9">
        <f>YEAR(E60)</f>
        <v>2021</v>
      </c>
      <c r="M60">
        <f t="shared" si="0"/>
        <v>2819680.51</v>
      </c>
    </row>
    <row r="61" spans="1:20" x14ac:dyDescent="0.15">
      <c r="A61" s="12"/>
      <c r="B61" s="13" t="s">
        <v>461</v>
      </c>
      <c r="C61" s="14" t="s">
        <v>31</v>
      </c>
      <c r="D61" s="15" t="s">
        <v>68</v>
      </c>
      <c r="E61" s="15" t="s">
        <v>536</v>
      </c>
      <c r="F61" s="16">
        <v>407</v>
      </c>
      <c r="G61" s="17">
        <v>46822.22</v>
      </c>
      <c r="H61" s="17">
        <v>6834.45</v>
      </c>
      <c r="I61" s="17">
        <v>19056643.539999999</v>
      </c>
      <c r="J61" s="15" t="s">
        <v>30</v>
      </c>
      <c r="K61" s="15" t="s">
        <v>18</v>
      </c>
      <c r="L61" s="9">
        <f>YEAR(E61)</f>
        <v>2021</v>
      </c>
      <c r="M61">
        <f t="shared" si="0"/>
        <v>2781621.15</v>
      </c>
    </row>
    <row r="62" spans="1:20" x14ac:dyDescent="0.15">
      <c r="A62" s="12"/>
      <c r="B62" s="13" t="s">
        <v>461</v>
      </c>
      <c r="C62" s="14" t="s">
        <v>25</v>
      </c>
      <c r="D62" s="15" t="s">
        <v>26</v>
      </c>
      <c r="E62" s="15" t="s">
        <v>45</v>
      </c>
      <c r="F62" s="16">
        <v>517</v>
      </c>
      <c r="G62" s="17">
        <v>35729.89</v>
      </c>
      <c r="H62" s="17">
        <v>7932.64</v>
      </c>
      <c r="I62" s="17">
        <v>18472353.129999999</v>
      </c>
      <c r="J62" s="15" t="s">
        <v>17</v>
      </c>
      <c r="K62" s="15" t="s">
        <v>18</v>
      </c>
      <c r="L62" s="9">
        <f>YEAR(E62)</f>
        <v>2021</v>
      </c>
      <c r="M62">
        <f t="shared" si="0"/>
        <v>4101174.8800000004</v>
      </c>
    </row>
    <row r="63" spans="1:20" x14ac:dyDescent="0.15">
      <c r="A63" s="12"/>
      <c r="B63" s="13" t="s">
        <v>461</v>
      </c>
      <c r="C63" s="14" t="s">
        <v>57</v>
      </c>
      <c r="D63" s="15" t="s">
        <v>26</v>
      </c>
      <c r="E63" s="15" t="s">
        <v>543</v>
      </c>
      <c r="F63" s="16">
        <v>919</v>
      </c>
      <c r="G63" s="17">
        <v>12736.81</v>
      </c>
      <c r="H63" s="17">
        <v>5369.17</v>
      </c>
      <c r="I63" s="17">
        <v>11705128.390000001</v>
      </c>
      <c r="J63" s="15" t="s">
        <v>17</v>
      </c>
      <c r="K63" s="15" t="s">
        <v>18</v>
      </c>
      <c r="L63" s="9">
        <f>YEAR(E63)</f>
        <v>2021</v>
      </c>
      <c r="M63">
        <f t="shared" si="0"/>
        <v>4934267.2300000004</v>
      </c>
    </row>
    <row r="64" spans="1:20" x14ac:dyDescent="0.15">
      <c r="A64" s="12"/>
      <c r="B64" s="13" t="s">
        <v>461</v>
      </c>
      <c r="C64" s="14" t="s">
        <v>23</v>
      </c>
      <c r="D64" s="15" t="s">
        <v>26</v>
      </c>
      <c r="E64" s="15" t="s">
        <v>400</v>
      </c>
      <c r="F64" s="16">
        <v>215</v>
      </c>
      <c r="G64" s="17">
        <v>17273.349999999999</v>
      </c>
      <c r="H64" s="17">
        <v>8601.77</v>
      </c>
      <c r="I64" s="17">
        <v>3713770.25</v>
      </c>
      <c r="J64" s="15" t="s">
        <v>17</v>
      </c>
      <c r="K64" s="15" t="s">
        <v>18</v>
      </c>
      <c r="L64" s="9">
        <f>YEAR(E64)</f>
        <v>2021</v>
      </c>
      <c r="M64">
        <f t="shared" si="0"/>
        <v>1849380.55</v>
      </c>
    </row>
    <row r="65" spans="1:13" x14ac:dyDescent="0.15">
      <c r="A65" s="12"/>
      <c r="B65" s="13" t="s">
        <v>461</v>
      </c>
      <c r="C65" s="14" t="s">
        <v>57</v>
      </c>
      <c r="D65" s="15" t="s">
        <v>26</v>
      </c>
      <c r="E65" s="15" t="s">
        <v>545</v>
      </c>
      <c r="F65" s="16">
        <v>474</v>
      </c>
      <c r="G65" s="17">
        <v>18544.439999999999</v>
      </c>
      <c r="H65" s="17">
        <v>5802.97</v>
      </c>
      <c r="I65" s="17">
        <v>8790064.5600000005</v>
      </c>
      <c r="J65" s="15" t="s">
        <v>17</v>
      </c>
      <c r="K65" s="15" t="s">
        <v>18</v>
      </c>
      <c r="L65" s="9">
        <f>YEAR(E65)</f>
        <v>2021</v>
      </c>
      <c r="M65">
        <f t="shared" si="0"/>
        <v>2750607.7800000003</v>
      </c>
    </row>
    <row r="66" spans="1:13" x14ac:dyDescent="0.15">
      <c r="A66" s="12"/>
      <c r="B66" s="13" t="s">
        <v>461</v>
      </c>
      <c r="C66" s="14" t="s">
        <v>43</v>
      </c>
      <c r="D66" s="15" t="s">
        <v>153</v>
      </c>
      <c r="E66" s="15" t="s">
        <v>188</v>
      </c>
      <c r="F66" s="16">
        <v>666</v>
      </c>
      <c r="G66" s="17">
        <v>16418.88</v>
      </c>
      <c r="H66" s="17">
        <v>5763.85</v>
      </c>
      <c r="I66" s="17">
        <v>10934974.08</v>
      </c>
      <c r="J66" s="15" t="s">
        <v>17</v>
      </c>
      <c r="K66" s="15" t="s">
        <v>18</v>
      </c>
      <c r="L66" s="9">
        <f>YEAR(E66)</f>
        <v>2021</v>
      </c>
      <c r="M66">
        <f t="shared" si="0"/>
        <v>3838724.1</v>
      </c>
    </row>
    <row r="67" spans="1:13" x14ac:dyDescent="0.15">
      <c r="A67" s="12"/>
      <c r="B67" s="13" t="s">
        <v>461</v>
      </c>
      <c r="C67" s="14" t="s">
        <v>35</v>
      </c>
      <c r="D67" s="15" t="s">
        <v>153</v>
      </c>
      <c r="E67" s="15" t="s">
        <v>550</v>
      </c>
      <c r="F67" s="16">
        <v>493</v>
      </c>
      <c r="G67" s="19">
        <v>40539.5</v>
      </c>
      <c r="H67" s="17">
        <v>2449.86</v>
      </c>
      <c r="I67" s="19">
        <v>19985973.5</v>
      </c>
      <c r="J67" s="15" t="s">
        <v>17</v>
      </c>
      <c r="K67" s="15" t="s">
        <v>18</v>
      </c>
      <c r="L67" s="9">
        <f>YEAR(E67)</f>
        <v>2021</v>
      </c>
      <c r="M67">
        <f t="shared" si="0"/>
        <v>1207780.98</v>
      </c>
    </row>
    <row r="68" spans="1:13" x14ac:dyDescent="0.15">
      <c r="A68" s="12"/>
      <c r="B68" s="13" t="s">
        <v>461</v>
      </c>
      <c r="C68" s="14" t="s">
        <v>31</v>
      </c>
      <c r="D68" s="15" t="s">
        <v>114</v>
      </c>
      <c r="E68" s="15" t="s">
        <v>463</v>
      </c>
      <c r="F68" s="16">
        <v>184</v>
      </c>
      <c r="G68" s="17">
        <v>13442.51</v>
      </c>
      <c r="H68" s="17">
        <v>6666.22</v>
      </c>
      <c r="I68" s="17">
        <v>2473421.84</v>
      </c>
      <c r="J68" s="15" t="s">
        <v>17</v>
      </c>
      <c r="K68" s="15" t="s">
        <v>18</v>
      </c>
      <c r="L68" s="9">
        <f>YEAR(E68)</f>
        <v>2022</v>
      </c>
      <c r="M68">
        <f t="shared" ref="M68:M126" si="1">H68*F68</f>
        <v>1226584.48</v>
      </c>
    </row>
    <row r="69" spans="1:13" x14ac:dyDescent="0.15">
      <c r="A69" s="12"/>
      <c r="B69" s="13" t="s">
        <v>461</v>
      </c>
      <c r="C69" s="14" t="s">
        <v>79</v>
      </c>
      <c r="D69" s="15" t="s">
        <v>114</v>
      </c>
      <c r="E69" s="15" t="s">
        <v>464</v>
      </c>
      <c r="F69" s="16">
        <v>387</v>
      </c>
      <c r="G69" s="17">
        <v>48052.05</v>
      </c>
      <c r="H69" s="17">
        <v>4922.24</v>
      </c>
      <c r="I69" s="17">
        <v>18596143.350000001</v>
      </c>
      <c r="J69" s="15" t="s">
        <v>28</v>
      </c>
      <c r="K69" s="15" t="s">
        <v>18</v>
      </c>
      <c r="L69" s="9">
        <f>YEAR(E69)</f>
        <v>2022</v>
      </c>
      <c r="M69">
        <f t="shared" si="1"/>
        <v>1904906.88</v>
      </c>
    </row>
    <row r="70" spans="1:13" x14ac:dyDescent="0.15">
      <c r="A70" s="12"/>
      <c r="B70" s="13" t="s">
        <v>461</v>
      </c>
      <c r="C70" s="14" t="s">
        <v>31</v>
      </c>
      <c r="D70" s="15" t="s">
        <v>15</v>
      </c>
      <c r="E70" s="15" t="s">
        <v>476</v>
      </c>
      <c r="F70" s="16">
        <v>324</v>
      </c>
      <c r="G70" s="17">
        <v>21715.79</v>
      </c>
      <c r="H70" s="17">
        <v>5623.25</v>
      </c>
      <c r="I70" s="17">
        <v>7035915.96</v>
      </c>
      <c r="J70" s="15" t="s">
        <v>28</v>
      </c>
      <c r="K70" s="15" t="s">
        <v>18</v>
      </c>
      <c r="L70" s="9">
        <f>YEAR(E70)</f>
        <v>2022</v>
      </c>
      <c r="M70">
        <f t="shared" si="1"/>
        <v>1821933</v>
      </c>
    </row>
    <row r="71" spans="1:13" x14ac:dyDescent="0.15">
      <c r="A71" s="12"/>
      <c r="B71" s="13" t="s">
        <v>461</v>
      </c>
      <c r="C71" s="14" t="s">
        <v>14</v>
      </c>
      <c r="D71" s="15" t="s">
        <v>70</v>
      </c>
      <c r="E71" s="15" t="s">
        <v>476</v>
      </c>
      <c r="F71" s="16">
        <v>305</v>
      </c>
      <c r="G71" s="17">
        <v>11804.84</v>
      </c>
      <c r="H71" s="17">
        <v>5226.45</v>
      </c>
      <c r="I71" s="19">
        <v>3600476.2</v>
      </c>
      <c r="J71" s="15" t="s">
        <v>17</v>
      </c>
      <c r="K71" s="15" t="s">
        <v>18</v>
      </c>
      <c r="L71" s="9">
        <f>YEAR(E71)</f>
        <v>2022</v>
      </c>
      <c r="M71">
        <f t="shared" si="1"/>
        <v>1594067.25</v>
      </c>
    </row>
    <row r="72" spans="1:13" x14ac:dyDescent="0.15">
      <c r="A72" s="12"/>
      <c r="B72" s="13" t="s">
        <v>461</v>
      </c>
      <c r="C72" s="14" t="s">
        <v>79</v>
      </c>
      <c r="D72" s="15" t="s">
        <v>70</v>
      </c>
      <c r="E72" s="15" t="s">
        <v>485</v>
      </c>
      <c r="F72" s="16">
        <v>485</v>
      </c>
      <c r="G72" s="19">
        <v>25387.8</v>
      </c>
      <c r="H72" s="17">
        <v>8532.36</v>
      </c>
      <c r="I72" s="16">
        <v>12313083</v>
      </c>
      <c r="J72" s="15" t="s">
        <v>17</v>
      </c>
      <c r="K72" s="15" t="s">
        <v>18</v>
      </c>
      <c r="L72" s="9">
        <f>YEAR(E72)</f>
        <v>2022</v>
      </c>
      <c r="M72">
        <f t="shared" si="1"/>
        <v>4138194.6</v>
      </c>
    </row>
    <row r="73" spans="1:13" x14ac:dyDescent="0.15">
      <c r="A73" s="12"/>
      <c r="B73" s="13" t="s">
        <v>461</v>
      </c>
      <c r="C73" s="14" t="s">
        <v>57</v>
      </c>
      <c r="D73" s="15" t="s">
        <v>70</v>
      </c>
      <c r="E73" s="15" t="s">
        <v>486</v>
      </c>
      <c r="F73" s="16">
        <v>194</v>
      </c>
      <c r="G73" s="17">
        <v>24659.84</v>
      </c>
      <c r="H73" s="17">
        <v>5943.96</v>
      </c>
      <c r="I73" s="17">
        <v>4784008.96</v>
      </c>
      <c r="J73" s="15" t="s">
        <v>22</v>
      </c>
      <c r="K73" s="15" t="s">
        <v>18</v>
      </c>
      <c r="L73" s="9">
        <f>YEAR(E73)</f>
        <v>2022</v>
      </c>
      <c r="M73">
        <f t="shared" si="1"/>
        <v>1153128.24</v>
      </c>
    </row>
    <row r="74" spans="1:13" x14ac:dyDescent="0.15">
      <c r="A74" s="12"/>
      <c r="B74" s="13" t="s">
        <v>461</v>
      </c>
      <c r="C74" s="14" t="s">
        <v>23</v>
      </c>
      <c r="D74" s="15" t="s">
        <v>53</v>
      </c>
      <c r="E74" s="15" t="s">
        <v>491</v>
      </c>
      <c r="F74" s="16">
        <v>421</v>
      </c>
      <c r="G74" s="17">
        <v>30096.76</v>
      </c>
      <c r="H74" s="17">
        <v>2841.69</v>
      </c>
      <c r="I74" s="17">
        <v>12670735.960000001</v>
      </c>
      <c r="J74" s="15" t="s">
        <v>17</v>
      </c>
      <c r="K74" s="15" t="s">
        <v>18</v>
      </c>
      <c r="L74" s="9">
        <f>YEAR(E74)</f>
        <v>2022</v>
      </c>
      <c r="M74">
        <f t="shared" si="1"/>
        <v>1196351.49</v>
      </c>
    </row>
    <row r="75" spans="1:13" x14ac:dyDescent="0.15">
      <c r="A75" s="12"/>
      <c r="B75" s="13" t="s">
        <v>461</v>
      </c>
      <c r="C75" s="14" t="s">
        <v>57</v>
      </c>
      <c r="D75" s="15" t="s">
        <v>53</v>
      </c>
      <c r="E75" s="15" t="s">
        <v>287</v>
      </c>
      <c r="F75" s="16">
        <v>322</v>
      </c>
      <c r="G75" s="17">
        <v>24656.86</v>
      </c>
      <c r="H75" s="17">
        <v>9823.39</v>
      </c>
      <c r="I75" s="17">
        <v>7939508.9199999999</v>
      </c>
      <c r="J75" s="15" t="s">
        <v>17</v>
      </c>
      <c r="K75" s="15" t="s">
        <v>18</v>
      </c>
      <c r="L75" s="9">
        <f>YEAR(E75)</f>
        <v>2022</v>
      </c>
      <c r="M75">
        <f t="shared" si="1"/>
        <v>3163131.5799999996</v>
      </c>
    </row>
    <row r="76" spans="1:13" x14ac:dyDescent="0.15">
      <c r="A76" s="12"/>
      <c r="B76" s="13" t="s">
        <v>461</v>
      </c>
      <c r="C76" s="14" t="s">
        <v>43</v>
      </c>
      <c r="D76" s="15" t="s">
        <v>53</v>
      </c>
      <c r="E76" s="15" t="s">
        <v>496</v>
      </c>
      <c r="F76" s="16">
        <v>595</v>
      </c>
      <c r="G76" s="17">
        <v>33805.15</v>
      </c>
      <c r="H76" s="17">
        <v>8217.57</v>
      </c>
      <c r="I76" s="17">
        <v>20114064.25</v>
      </c>
      <c r="J76" s="15" t="s">
        <v>17</v>
      </c>
      <c r="K76" s="15" t="s">
        <v>18</v>
      </c>
      <c r="L76" s="9">
        <f>YEAR(E76)</f>
        <v>2022</v>
      </c>
      <c r="M76">
        <f t="shared" si="1"/>
        <v>4889454.1499999994</v>
      </c>
    </row>
    <row r="77" spans="1:13" x14ac:dyDescent="0.15">
      <c r="A77" s="12"/>
      <c r="B77" s="13" t="s">
        <v>461</v>
      </c>
      <c r="C77" s="14" t="s">
        <v>31</v>
      </c>
      <c r="D77" s="15" t="s">
        <v>107</v>
      </c>
      <c r="E77" s="15" t="s">
        <v>498</v>
      </c>
      <c r="F77" s="16">
        <v>565</v>
      </c>
      <c r="G77" s="19">
        <v>39969.300000000003</v>
      </c>
      <c r="H77" s="17">
        <v>7847.11</v>
      </c>
      <c r="I77" s="19">
        <v>22582654.5</v>
      </c>
      <c r="J77" s="15" t="s">
        <v>17</v>
      </c>
      <c r="K77" s="15" t="s">
        <v>18</v>
      </c>
      <c r="L77" s="9">
        <f>YEAR(E77)</f>
        <v>2022</v>
      </c>
      <c r="M77">
        <f t="shared" si="1"/>
        <v>4433617.1499999994</v>
      </c>
    </row>
    <row r="78" spans="1:13" x14ac:dyDescent="0.15">
      <c r="A78" s="12"/>
      <c r="B78" s="13" t="s">
        <v>461</v>
      </c>
      <c r="C78" s="14" t="s">
        <v>43</v>
      </c>
      <c r="D78" s="15" t="s">
        <v>107</v>
      </c>
      <c r="E78" s="15" t="s">
        <v>182</v>
      </c>
      <c r="F78" s="16">
        <v>922</v>
      </c>
      <c r="G78" s="17">
        <v>41854.17</v>
      </c>
      <c r="H78" s="17">
        <v>4970.7299999999996</v>
      </c>
      <c r="I78" s="17">
        <v>38589544.740000002</v>
      </c>
      <c r="J78" s="15" t="s">
        <v>17</v>
      </c>
      <c r="K78" s="15" t="s">
        <v>18</v>
      </c>
      <c r="L78" s="9">
        <f>YEAR(E78)</f>
        <v>2022</v>
      </c>
      <c r="M78">
        <f t="shared" si="1"/>
        <v>4583013.0599999996</v>
      </c>
    </row>
    <row r="79" spans="1:13" x14ac:dyDescent="0.15">
      <c r="A79" s="12"/>
      <c r="B79" s="13" t="s">
        <v>461</v>
      </c>
      <c r="C79" s="14" t="s">
        <v>19</v>
      </c>
      <c r="D79" s="15" t="s">
        <v>107</v>
      </c>
      <c r="E79" s="15" t="s">
        <v>505</v>
      </c>
      <c r="F79" s="16">
        <v>493</v>
      </c>
      <c r="G79" s="17">
        <v>39934.19</v>
      </c>
      <c r="H79" s="17">
        <v>4981.33</v>
      </c>
      <c r="I79" s="17">
        <v>19687555.670000002</v>
      </c>
      <c r="J79" s="15" t="s">
        <v>30</v>
      </c>
      <c r="K79" s="15" t="s">
        <v>18</v>
      </c>
      <c r="L79" s="9">
        <f>YEAR(E79)</f>
        <v>2022</v>
      </c>
      <c r="M79">
        <f t="shared" si="1"/>
        <v>2455795.69</v>
      </c>
    </row>
    <row r="80" spans="1:13" x14ac:dyDescent="0.15">
      <c r="A80" s="12"/>
      <c r="B80" s="13" t="s">
        <v>461</v>
      </c>
      <c r="C80" s="14" t="s">
        <v>35</v>
      </c>
      <c r="D80" s="15" t="s">
        <v>107</v>
      </c>
      <c r="E80" s="15" t="s">
        <v>316</v>
      </c>
      <c r="F80" s="16">
        <v>282</v>
      </c>
      <c r="G80" s="17">
        <v>44740.94</v>
      </c>
      <c r="H80" s="17">
        <v>5574.34</v>
      </c>
      <c r="I80" s="17">
        <v>12616945.08</v>
      </c>
      <c r="J80" s="15" t="s">
        <v>17</v>
      </c>
      <c r="K80" s="15" t="s">
        <v>18</v>
      </c>
      <c r="L80" s="9">
        <f>YEAR(E80)</f>
        <v>2022</v>
      </c>
      <c r="M80">
        <f t="shared" si="1"/>
        <v>1571963.8800000001</v>
      </c>
    </row>
    <row r="81" spans="1:13" x14ac:dyDescent="0.15">
      <c r="A81" s="12"/>
      <c r="B81" s="13" t="s">
        <v>461</v>
      </c>
      <c r="C81" s="14" t="s">
        <v>79</v>
      </c>
      <c r="D81" s="15" t="s">
        <v>107</v>
      </c>
      <c r="E81" s="15" t="s">
        <v>508</v>
      </c>
      <c r="F81" s="16">
        <v>796</v>
      </c>
      <c r="G81" s="17">
        <v>49695.31</v>
      </c>
      <c r="H81" s="17">
        <v>6588.39</v>
      </c>
      <c r="I81" s="17">
        <v>39557466.759999998</v>
      </c>
      <c r="J81" s="15" t="s">
        <v>28</v>
      </c>
      <c r="K81" s="15" t="s">
        <v>18</v>
      </c>
      <c r="L81" s="9">
        <f>YEAR(E81)</f>
        <v>2022</v>
      </c>
      <c r="M81">
        <f t="shared" si="1"/>
        <v>5244358.4400000004</v>
      </c>
    </row>
    <row r="82" spans="1:13" x14ac:dyDescent="0.15">
      <c r="A82" s="12"/>
      <c r="B82" s="13" t="s">
        <v>461</v>
      </c>
      <c r="C82" s="14" t="s">
        <v>35</v>
      </c>
      <c r="D82" s="15" t="s">
        <v>89</v>
      </c>
      <c r="E82" s="15" t="s">
        <v>510</v>
      </c>
      <c r="F82" s="16">
        <v>301</v>
      </c>
      <c r="G82" s="17">
        <v>15004.45</v>
      </c>
      <c r="H82" s="17">
        <v>9281.36</v>
      </c>
      <c r="I82" s="17">
        <v>4516339.45</v>
      </c>
      <c r="J82" s="15" t="s">
        <v>17</v>
      </c>
      <c r="K82" s="15" t="s">
        <v>18</v>
      </c>
      <c r="L82" s="9">
        <f>YEAR(E82)</f>
        <v>2022</v>
      </c>
      <c r="M82">
        <f t="shared" si="1"/>
        <v>2793689.3600000003</v>
      </c>
    </row>
    <row r="83" spans="1:13" x14ac:dyDescent="0.15">
      <c r="A83" s="12"/>
      <c r="B83" s="13" t="s">
        <v>461</v>
      </c>
      <c r="C83" s="14" t="s">
        <v>14</v>
      </c>
      <c r="D83" s="15" t="s">
        <v>139</v>
      </c>
      <c r="E83" s="15" t="s">
        <v>520</v>
      </c>
      <c r="F83" s="16">
        <v>485</v>
      </c>
      <c r="G83" s="17">
        <v>21156.93</v>
      </c>
      <c r="H83" s="17">
        <v>3688.43</v>
      </c>
      <c r="I83" s="17">
        <v>10261111.050000001</v>
      </c>
      <c r="J83" s="15" t="s">
        <v>30</v>
      </c>
      <c r="K83" s="15" t="s">
        <v>18</v>
      </c>
      <c r="L83" s="9">
        <f>YEAR(E83)</f>
        <v>2022</v>
      </c>
      <c r="M83">
        <f t="shared" si="1"/>
        <v>1788888.5499999998</v>
      </c>
    </row>
    <row r="84" spans="1:13" x14ac:dyDescent="0.15">
      <c r="A84" s="12"/>
      <c r="B84" s="13" t="s">
        <v>461</v>
      </c>
      <c r="C84" s="14" t="s">
        <v>19</v>
      </c>
      <c r="D84" s="15" t="s">
        <v>139</v>
      </c>
      <c r="E84" s="15" t="s">
        <v>526</v>
      </c>
      <c r="F84" s="16">
        <v>708</v>
      </c>
      <c r="G84" s="17">
        <v>45286.58</v>
      </c>
      <c r="H84" s="17">
        <v>5659.91</v>
      </c>
      <c r="I84" s="17">
        <v>32062898.640000001</v>
      </c>
      <c r="J84" s="15" t="s">
        <v>17</v>
      </c>
      <c r="K84" s="15" t="s">
        <v>18</v>
      </c>
      <c r="L84" s="9">
        <f>YEAR(E84)</f>
        <v>2022</v>
      </c>
      <c r="M84">
        <f t="shared" si="1"/>
        <v>4007216.28</v>
      </c>
    </row>
    <row r="85" spans="1:13" x14ac:dyDescent="0.15">
      <c r="A85" s="12"/>
      <c r="B85" s="13" t="s">
        <v>461</v>
      </c>
      <c r="C85" s="14" t="s">
        <v>79</v>
      </c>
      <c r="D85" s="15" t="s">
        <v>68</v>
      </c>
      <c r="E85" s="15" t="s">
        <v>527</v>
      </c>
      <c r="F85" s="16">
        <v>304</v>
      </c>
      <c r="G85" s="17">
        <v>41022.879999999997</v>
      </c>
      <c r="H85" s="17">
        <v>3565.88</v>
      </c>
      <c r="I85" s="17">
        <v>12470955.52</v>
      </c>
      <c r="J85" s="15" t="s">
        <v>22</v>
      </c>
      <c r="K85" s="15" t="s">
        <v>18</v>
      </c>
      <c r="L85" s="9">
        <f>YEAR(E85)</f>
        <v>2022</v>
      </c>
      <c r="M85">
        <f t="shared" si="1"/>
        <v>1084027.52</v>
      </c>
    </row>
    <row r="86" spans="1:13" x14ac:dyDescent="0.15">
      <c r="A86" s="12"/>
      <c r="B86" s="13" t="s">
        <v>461</v>
      </c>
      <c r="C86" s="14" t="s">
        <v>38</v>
      </c>
      <c r="D86" s="15" t="s">
        <v>68</v>
      </c>
      <c r="E86" s="15" t="s">
        <v>529</v>
      </c>
      <c r="F86" s="16">
        <v>461</v>
      </c>
      <c r="G86" s="17">
        <v>17111.71</v>
      </c>
      <c r="H86" s="17">
        <v>4498.67</v>
      </c>
      <c r="I86" s="17">
        <v>7888498.3099999996</v>
      </c>
      <c r="J86" s="15" t="s">
        <v>17</v>
      </c>
      <c r="K86" s="15" t="s">
        <v>18</v>
      </c>
      <c r="L86" s="9">
        <f>YEAR(E86)</f>
        <v>2022</v>
      </c>
      <c r="M86">
        <f t="shared" si="1"/>
        <v>2073886.87</v>
      </c>
    </row>
    <row r="87" spans="1:13" x14ac:dyDescent="0.15">
      <c r="A87" s="12"/>
      <c r="B87" s="13" t="s">
        <v>461</v>
      </c>
      <c r="C87" s="14" t="s">
        <v>31</v>
      </c>
      <c r="D87" s="15" t="s">
        <v>68</v>
      </c>
      <c r="E87" s="15" t="s">
        <v>534</v>
      </c>
      <c r="F87" s="16">
        <v>659</v>
      </c>
      <c r="G87" s="17">
        <v>49156.21</v>
      </c>
      <c r="H87" s="17">
        <v>8159.59</v>
      </c>
      <c r="I87" s="17">
        <v>32393942.390000001</v>
      </c>
      <c r="J87" s="15" t="s">
        <v>17</v>
      </c>
      <c r="K87" s="15" t="s">
        <v>18</v>
      </c>
      <c r="L87" s="9">
        <f>YEAR(E87)</f>
        <v>2022</v>
      </c>
      <c r="M87">
        <f t="shared" si="1"/>
        <v>5377169.8100000005</v>
      </c>
    </row>
    <row r="88" spans="1:13" x14ac:dyDescent="0.15">
      <c r="A88" s="12"/>
      <c r="B88" s="13" t="s">
        <v>461</v>
      </c>
      <c r="C88" s="14" t="s">
        <v>31</v>
      </c>
      <c r="D88" s="15" t="s">
        <v>26</v>
      </c>
      <c r="E88" s="15" t="s">
        <v>158</v>
      </c>
      <c r="F88" s="16">
        <v>807</v>
      </c>
      <c r="G88" s="17">
        <v>26045.19</v>
      </c>
      <c r="H88" s="17">
        <v>3752.77</v>
      </c>
      <c r="I88" s="17">
        <v>21018468.329999998</v>
      </c>
      <c r="J88" s="15" t="s">
        <v>17</v>
      </c>
      <c r="K88" s="15" t="s">
        <v>18</v>
      </c>
      <c r="L88" s="9">
        <f>YEAR(E88)</f>
        <v>2022</v>
      </c>
      <c r="M88">
        <f t="shared" si="1"/>
        <v>3028485.39</v>
      </c>
    </row>
    <row r="89" spans="1:13" x14ac:dyDescent="0.15">
      <c r="A89" s="12"/>
      <c r="B89" s="13" t="s">
        <v>461</v>
      </c>
      <c r="C89" s="14" t="s">
        <v>19</v>
      </c>
      <c r="D89" s="15" t="s">
        <v>26</v>
      </c>
      <c r="E89" s="15" t="s">
        <v>158</v>
      </c>
      <c r="F89" s="16">
        <v>519</v>
      </c>
      <c r="G89" s="17">
        <v>10348.61</v>
      </c>
      <c r="H89" s="17">
        <v>4190.3100000000004</v>
      </c>
      <c r="I89" s="17">
        <v>5370928.5899999999</v>
      </c>
      <c r="J89" s="15" t="s">
        <v>17</v>
      </c>
      <c r="K89" s="15" t="s">
        <v>18</v>
      </c>
      <c r="L89" s="9">
        <f>YEAR(E89)</f>
        <v>2022</v>
      </c>
      <c r="M89">
        <f t="shared" si="1"/>
        <v>2174770.89</v>
      </c>
    </row>
    <row r="90" spans="1:13" x14ac:dyDescent="0.15">
      <c r="A90" s="12"/>
      <c r="B90" s="13" t="s">
        <v>461</v>
      </c>
      <c r="C90" s="14" t="s">
        <v>19</v>
      </c>
      <c r="D90" s="15" t="s">
        <v>26</v>
      </c>
      <c r="E90" s="15" t="s">
        <v>178</v>
      </c>
      <c r="F90" s="16">
        <v>357</v>
      </c>
      <c r="G90" s="17">
        <v>18747.68</v>
      </c>
      <c r="H90" s="17">
        <v>6313.93</v>
      </c>
      <c r="I90" s="17">
        <v>6692921.7599999998</v>
      </c>
      <c r="J90" s="15" t="s">
        <v>17</v>
      </c>
      <c r="K90" s="15" t="s">
        <v>18</v>
      </c>
      <c r="L90" s="9">
        <f>YEAR(E90)</f>
        <v>2022</v>
      </c>
      <c r="M90">
        <f t="shared" si="1"/>
        <v>2254073.0100000002</v>
      </c>
    </row>
    <row r="91" spans="1:13" x14ac:dyDescent="0.15">
      <c r="A91" s="12"/>
      <c r="B91" s="13" t="s">
        <v>461</v>
      </c>
      <c r="C91" s="14" t="s">
        <v>23</v>
      </c>
      <c r="D91" s="15" t="s">
        <v>26</v>
      </c>
      <c r="E91" s="15" t="s">
        <v>541</v>
      </c>
      <c r="F91" s="16">
        <v>508</v>
      </c>
      <c r="G91" s="19">
        <v>31225.599999999999</v>
      </c>
      <c r="H91" s="17">
        <v>8159.69</v>
      </c>
      <c r="I91" s="19">
        <v>15862604.800000001</v>
      </c>
      <c r="J91" s="15" t="s">
        <v>28</v>
      </c>
      <c r="K91" s="15" t="s">
        <v>18</v>
      </c>
      <c r="L91" s="9">
        <f>YEAR(E91)</f>
        <v>2022</v>
      </c>
      <c r="M91">
        <f t="shared" si="1"/>
        <v>4145122.52</v>
      </c>
    </row>
    <row r="92" spans="1:13" x14ac:dyDescent="0.15">
      <c r="A92" s="12"/>
      <c r="B92" s="13" t="s">
        <v>461</v>
      </c>
      <c r="C92" s="14" t="s">
        <v>25</v>
      </c>
      <c r="D92" s="15" t="s">
        <v>153</v>
      </c>
      <c r="E92" s="15" t="s">
        <v>422</v>
      </c>
      <c r="F92" s="16">
        <v>961</v>
      </c>
      <c r="G92" s="17">
        <v>35793.54</v>
      </c>
      <c r="H92" s="17">
        <v>2956.63</v>
      </c>
      <c r="I92" s="17">
        <v>34397591.939999998</v>
      </c>
      <c r="J92" s="15" t="s">
        <v>17</v>
      </c>
      <c r="K92" s="15" t="s">
        <v>18</v>
      </c>
      <c r="L92" s="9">
        <f>YEAR(E92)</f>
        <v>2022</v>
      </c>
      <c r="M92">
        <f t="shared" si="1"/>
        <v>2841321.43</v>
      </c>
    </row>
    <row r="93" spans="1:13" x14ac:dyDescent="0.15">
      <c r="A93" s="12"/>
      <c r="B93" s="13" t="s">
        <v>461</v>
      </c>
      <c r="C93" s="14" t="s">
        <v>38</v>
      </c>
      <c r="D93" s="15" t="s">
        <v>153</v>
      </c>
      <c r="E93" s="15" t="s">
        <v>266</v>
      </c>
      <c r="F93" s="16">
        <v>229</v>
      </c>
      <c r="G93" s="17">
        <v>10532.67</v>
      </c>
      <c r="H93" s="17">
        <v>8592.31</v>
      </c>
      <c r="I93" s="17">
        <v>2411981.4300000002</v>
      </c>
      <c r="J93" s="15" t="s">
        <v>17</v>
      </c>
      <c r="K93" s="15" t="s">
        <v>18</v>
      </c>
      <c r="L93" s="9">
        <f>YEAR(E93)</f>
        <v>2022</v>
      </c>
      <c r="M93">
        <f t="shared" si="1"/>
        <v>1967638.99</v>
      </c>
    </row>
    <row r="94" spans="1:13" x14ac:dyDescent="0.15">
      <c r="A94" s="12"/>
      <c r="B94" s="13" t="s">
        <v>461</v>
      </c>
      <c r="C94" s="14" t="s">
        <v>79</v>
      </c>
      <c r="D94" s="15" t="s">
        <v>114</v>
      </c>
      <c r="E94" s="15" t="s">
        <v>466</v>
      </c>
      <c r="F94" s="16">
        <v>569</v>
      </c>
      <c r="G94" s="17">
        <v>45141.75</v>
      </c>
      <c r="H94" s="17">
        <v>8810.6299999999992</v>
      </c>
      <c r="I94" s="17">
        <v>25685655.75</v>
      </c>
      <c r="J94" s="15" t="s">
        <v>22</v>
      </c>
      <c r="K94" s="15" t="s">
        <v>18</v>
      </c>
      <c r="L94" s="9">
        <f>YEAR(E94)</f>
        <v>2023</v>
      </c>
      <c r="M94">
        <f t="shared" si="1"/>
        <v>5013248.47</v>
      </c>
    </row>
    <row r="95" spans="1:13" x14ac:dyDescent="0.15">
      <c r="A95" s="12"/>
      <c r="B95" s="13" t="s">
        <v>461</v>
      </c>
      <c r="C95" s="14" t="s">
        <v>14</v>
      </c>
      <c r="D95" s="15" t="s">
        <v>114</v>
      </c>
      <c r="E95" s="15" t="s">
        <v>468</v>
      </c>
      <c r="F95" s="16">
        <v>606</v>
      </c>
      <c r="G95" s="17">
        <v>13144.69</v>
      </c>
      <c r="H95" s="17">
        <v>5052.79</v>
      </c>
      <c r="I95" s="17">
        <v>7965682.1399999997</v>
      </c>
      <c r="J95" s="15" t="s">
        <v>17</v>
      </c>
      <c r="K95" s="15" t="s">
        <v>18</v>
      </c>
      <c r="L95" s="9">
        <f>YEAR(E95)</f>
        <v>2023</v>
      </c>
      <c r="M95">
        <f t="shared" si="1"/>
        <v>3061990.7399999998</v>
      </c>
    </row>
    <row r="96" spans="1:13" x14ac:dyDescent="0.15">
      <c r="A96" s="12"/>
      <c r="B96" s="13" t="s">
        <v>461</v>
      </c>
      <c r="C96" s="14" t="s">
        <v>38</v>
      </c>
      <c r="D96" s="15" t="s">
        <v>15</v>
      </c>
      <c r="E96" s="15" t="s">
        <v>313</v>
      </c>
      <c r="F96" s="16">
        <v>180</v>
      </c>
      <c r="G96" s="17">
        <v>22060.92</v>
      </c>
      <c r="H96" s="17">
        <v>3219.94</v>
      </c>
      <c r="I96" s="19">
        <v>3970965.6</v>
      </c>
      <c r="J96" s="15" t="s">
        <v>28</v>
      </c>
      <c r="K96" s="15" t="s">
        <v>18</v>
      </c>
      <c r="L96" s="9">
        <f>YEAR(E96)</f>
        <v>2023</v>
      </c>
      <c r="M96">
        <f t="shared" si="1"/>
        <v>579589.19999999995</v>
      </c>
    </row>
    <row r="97" spans="1:13" x14ac:dyDescent="0.15">
      <c r="A97" s="12"/>
      <c r="B97" s="13" t="s">
        <v>461</v>
      </c>
      <c r="C97" s="14" t="s">
        <v>23</v>
      </c>
      <c r="D97" s="15" t="s">
        <v>70</v>
      </c>
      <c r="E97" s="15" t="s">
        <v>201</v>
      </c>
      <c r="F97" s="16">
        <v>420</v>
      </c>
      <c r="G97" s="17">
        <v>28193.75</v>
      </c>
      <c r="H97" s="17">
        <v>6419.32</v>
      </c>
      <c r="I97" s="16">
        <v>11841375</v>
      </c>
      <c r="J97" s="15" t="s">
        <v>28</v>
      </c>
      <c r="K97" s="15" t="s">
        <v>18</v>
      </c>
      <c r="L97" s="9">
        <f>YEAR(E97)</f>
        <v>2023</v>
      </c>
      <c r="M97">
        <f t="shared" si="1"/>
        <v>2696114.4</v>
      </c>
    </row>
    <row r="98" spans="1:13" x14ac:dyDescent="0.15">
      <c r="A98" s="12"/>
      <c r="B98" s="13" t="s">
        <v>461</v>
      </c>
      <c r="C98" s="14" t="s">
        <v>31</v>
      </c>
      <c r="D98" s="15" t="s">
        <v>70</v>
      </c>
      <c r="E98" s="15" t="s">
        <v>480</v>
      </c>
      <c r="F98" s="16">
        <v>936</v>
      </c>
      <c r="G98" s="17">
        <v>17721.41</v>
      </c>
      <c r="H98" s="17">
        <v>9564.42</v>
      </c>
      <c r="I98" s="17">
        <v>16587239.76</v>
      </c>
      <c r="J98" s="15" t="s">
        <v>17</v>
      </c>
      <c r="K98" s="15" t="s">
        <v>18</v>
      </c>
      <c r="L98" s="9">
        <f>YEAR(E98)</f>
        <v>2023</v>
      </c>
      <c r="M98">
        <f t="shared" si="1"/>
        <v>8952297.1199999992</v>
      </c>
    </row>
    <row r="99" spans="1:13" x14ac:dyDescent="0.15">
      <c r="A99" s="12"/>
      <c r="B99" s="13" t="s">
        <v>461</v>
      </c>
      <c r="C99" s="14" t="s">
        <v>38</v>
      </c>
      <c r="D99" s="15" t="s">
        <v>70</v>
      </c>
      <c r="E99" s="15" t="s">
        <v>161</v>
      </c>
      <c r="F99" s="16">
        <v>567</v>
      </c>
      <c r="G99" s="17">
        <v>35646.93</v>
      </c>
      <c r="H99" s="17">
        <v>2499.84</v>
      </c>
      <c r="I99" s="17">
        <v>20211809.309999999</v>
      </c>
      <c r="J99" s="15" t="s">
        <v>17</v>
      </c>
      <c r="K99" s="15" t="s">
        <v>18</v>
      </c>
      <c r="L99" s="9">
        <f>YEAR(E99)</f>
        <v>2023</v>
      </c>
      <c r="M99">
        <f t="shared" si="1"/>
        <v>1417409.28</v>
      </c>
    </row>
    <row r="100" spans="1:13" x14ac:dyDescent="0.15">
      <c r="A100" s="12"/>
      <c r="B100" s="13" t="s">
        <v>461</v>
      </c>
      <c r="C100" s="14" t="s">
        <v>31</v>
      </c>
      <c r="D100" s="15" t="s">
        <v>70</v>
      </c>
      <c r="E100" s="15" t="s">
        <v>482</v>
      </c>
      <c r="F100" s="16">
        <v>234</v>
      </c>
      <c r="G100" s="17">
        <v>30962.68</v>
      </c>
      <c r="H100" s="17">
        <v>6008.63</v>
      </c>
      <c r="I100" s="17">
        <v>7245267.1200000001</v>
      </c>
      <c r="J100" s="15" t="s">
        <v>22</v>
      </c>
      <c r="K100" s="15" t="s">
        <v>18</v>
      </c>
      <c r="L100" s="9">
        <f>YEAR(E100)</f>
        <v>2023</v>
      </c>
      <c r="M100">
        <f t="shared" si="1"/>
        <v>1406019.42</v>
      </c>
    </row>
    <row r="101" spans="1:13" x14ac:dyDescent="0.15">
      <c r="A101" s="12"/>
      <c r="B101" s="13" t="s">
        <v>461</v>
      </c>
      <c r="C101" s="14" t="s">
        <v>14</v>
      </c>
      <c r="D101" s="15" t="s">
        <v>26</v>
      </c>
      <c r="E101" s="15" t="s">
        <v>482</v>
      </c>
      <c r="F101" s="16">
        <v>474</v>
      </c>
      <c r="G101" s="17">
        <v>30841.13</v>
      </c>
      <c r="H101" s="17">
        <v>4757.91</v>
      </c>
      <c r="I101" s="17">
        <v>14618695.619999999</v>
      </c>
      <c r="J101" s="15" t="s">
        <v>28</v>
      </c>
      <c r="K101" s="15" t="s">
        <v>18</v>
      </c>
      <c r="L101" s="9">
        <f>YEAR(E101)</f>
        <v>2023</v>
      </c>
      <c r="M101">
        <f t="shared" si="1"/>
        <v>2255249.34</v>
      </c>
    </row>
    <row r="102" spans="1:13" x14ac:dyDescent="0.15">
      <c r="A102" s="12"/>
      <c r="B102" s="13" t="s">
        <v>461</v>
      </c>
      <c r="C102" s="14" t="s">
        <v>43</v>
      </c>
      <c r="D102" s="15" t="s">
        <v>70</v>
      </c>
      <c r="E102" s="15" t="s">
        <v>484</v>
      </c>
      <c r="F102" s="16">
        <v>278</v>
      </c>
      <c r="G102" s="17">
        <v>20419.169999999998</v>
      </c>
      <c r="H102" s="17">
        <v>5664.55</v>
      </c>
      <c r="I102" s="17">
        <v>5676529.2599999998</v>
      </c>
      <c r="J102" s="15" t="s">
        <v>28</v>
      </c>
      <c r="K102" s="15" t="s">
        <v>18</v>
      </c>
      <c r="L102" s="9">
        <f>YEAR(E102)</f>
        <v>2023</v>
      </c>
      <c r="M102">
        <f t="shared" si="1"/>
        <v>1574744.9000000001</v>
      </c>
    </row>
    <row r="103" spans="1:13" x14ac:dyDescent="0.15">
      <c r="A103" s="12"/>
      <c r="B103" s="13" t="s">
        <v>461</v>
      </c>
      <c r="C103" s="14" t="s">
        <v>23</v>
      </c>
      <c r="D103" s="15" t="s">
        <v>53</v>
      </c>
      <c r="E103" s="15" t="s">
        <v>484</v>
      </c>
      <c r="F103" s="16">
        <v>354</v>
      </c>
      <c r="G103" s="17">
        <v>31027.21</v>
      </c>
      <c r="H103" s="17">
        <v>9520.25</v>
      </c>
      <c r="I103" s="17">
        <v>10983632.34</v>
      </c>
      <c r="J103" s="15" t="s">
        <v>28</v>
      </c>
      <c r="K103" s="15" t="s">
        <v>18</v>
      </c>
      <c r="L103" s="9">
        <f>YEAR(E103)</f>
        <v>2023</v>
      </c>
      <c r="M103">
        <f t="shared" si="1"/>
        <v>3370168.5</v>
      </c>
    </row>
    <row r="104" spans="1:13" x14ac:dyDescent="0.15">
      <c r="A104" s="12"/>
      <c r="B104" s="13" t="s">
        <v>461</v>
      </c>
      <c r="C104" s="14" t="s">
        <v>79</v>
      </c>
      <c r="D104" s="15" t="s">
        <v>53</v>
      </c>
      <c r="E104" s="15" t="s">
        <v>488</v>
      </c>
      <c r="F104" s="16">
        <v>988</v>
      </c>
      <c r="G104" s="19">
        <v>28860.1</v>
      </c>
      <c r="H104" s="17">
        <v>3599.16</v>
      </c>
      <c r="I104" s="19">
        <v>28513778.800000001</v>
      </c>
      <c r="J104" s="15" t="s">
        <v>22</v>
      </c>
      <c r="K104" s="15" t="s">
        <v>18</v>
      </c>
      <c r="L104" s="9">
        <f>YEAR(E104)</f>
        <v>2023</v>
      </c>
      <c r="M104">
        <f t="shared" si="1"/>
        <v>3555970.08</v>
      </c>
    </row>
    <row r="105" spans="1:13" x14ac:dyDescent="0.15">
      <c r="A105" s="12"/>
      <c r="B105" s="13" t="s">
        <v>461</v>
      </c>
      <c r="C105" s="14" t="s">
        <v>57</v>
      </c>
      <c r="D105" s="15" t="s">
        <v>53</v>
      </c>
      <c r="E105" s="15" t="s">
        <v>495</v>
      </c>
      <c r="F105" s="16">
        <v>218</v>
      </c>
      <c r="G105" s="17">
        <v>34380.18</v>
      </c>
      <c r="H105" s="17">
        <v>5264.59</v>
      </c>
      <c r="I105" s="17">
        <v>7494879.2400000002</v>
      </c>
      <c r="J105" s="15" t="s">
        <v>17</v>
      </c>
      <c r="K105" s="15" t="s">
        <v>18</v>
      </c>
      <c r="L105" s="9">
        <f>YEAR(E105)</f>
        <v>2023</v>
      </c>
      <c r="M105">
        <f t="shared" si="1"/>
        <v>1147680.6200000001</v>
      </c>
    </row>
    <row r="106" spans="1:13" x14ac:dyDescent="0.15">
      <c r="A106" s="12"/>
      <c r="B106" s="13" t="s">
        <v>461</v>
      </c>
      <c r="C106" s="14" t="s">
        <v>38</v>
      </c>
      <c r="D106" s="15" t="s">
        <v>107</v>
      </c>
      <c r="E106" s="15" t="s">
        <v>500</v>
      </c>
      <c r="F106" s="16">
        <v>610</v>
      </c>
      <c r="G106" s="17">
        <v>39943.949999999997</v>
      </c>
      <c r="H106" s="19">
        <v>7608.7</v>
      </c>
      <c r="I106" s="19">
        <v>24365809.5</v>
      </c>
      <c r="J106" s="15" t="s">
        <v>17</v>
      </c>
      <c r="K106" s="15" t="s">
        <v>18</v>
      </c>
      <c r="L106" s="9">
        <f>YEAR(E106)</f>
        <v>2023</v>
      </c>
      <c r="M106">
        <f t="shared" si="1"/>
        <v>4641307</v>
      </c>
    </row>
    <row r="107" spans="1:13" x14ac:dyDescent="0.15">
      <c r="A107" s="12"/>
      <c r="B107" s="13" t="s">
        <v>461</v>
      </c>
      <c r="C107" s="14" t="s">
        <v>25</v>
      </c>
      <c r="D107" s="15" t="s">
        <v>107</v>
      </c>
      <c r="E107" s="15" t="s">
        <v>501</v>
      </c>
      <c r="F107" s="16">
        <v>147</v>
      </c>
      <c r="G107" s="17">
        <v>21580.37</v>
      </c>
      <c r="H107" s="17">
        <v>5867.99</v>
      </c>
      <c r="I107" s="17">
        <v>3172314.39</v>
      </c>
      <c r="J107" s="15" t="s">
        <v>17</v>
      </c>
      <c r="K107" s="15" t="s">
        <v>18</v>
      </c>
      <c r="L107" s="9">
        <f>YEAR(E107)</f>
        <v>2023</v>
      </c>
      <c r="M107">
        <f t="shared" si="1"/>
        <v>862594.52999999991</v>
      </c>
    </row>
    <row r="108" spans="1:13" x14ac:dyDescent="0.15">
      <c r="A108" s="12"/>
      <c r="B108" s="13" t="s">
        <v>461</v>
      </c>
      <c r="C108" s="14" t="s">
        <v>23</v>
      </c>
      <c r="D108" s="15" t="s">
        <v>107</v>
      </c>
      <c r="E108" s="15" t="s">
        <v>503</v>
      </c>
      <c r="F108" s="16">
        <v>671</v>
      </c>
      <c r="G108" s="17">
        <v>28843.84</v>
      </c>
      <c r="H108" s="17">
        <v>8442.44</v>
      </c>
      <c r="I108" s="17">
        <v>19354216.640000001</v>
      </c>
      <c r="J108" s="15" t="s">
        <v>17</v>
      </c>
      <c r="K108" s="15" t="s">
        <v>18</v>
      </c>
      <c r="L108" s="9">
        <f>YEAR(E108)</f>
        <v>2023</v>
      </c>
      <c r="M108">
        <f t="shared" si="1"/>
        <v>5664877.2400000002</v>
      </c>
    </row>
    <row r="109" spans="1:13" x14ac:dyDescent="0.15">
      <c r="A109" s="12"/>
      <c r="B109" s="13" t="s">
        <v>461</v>
      </c>
      <c r="C109" s="14" t="s">
        <v>25</v>
      </c>
      <c r="D109" s="15" t="s">
        <v>153</v>
      </c>
      <c r="E109" s="15" t="s">
        <v>503</v>
      </c>
      <c r="F109" s="16">
        <v>109</v>
      </c>
      <c r="G109" s="17">
        <v>46963.79</v>
      </c>
      <c r="H109" s="17">
        <v>2316.44</v>
      </c>
      <c r="I109" s="17">
        <v>5119053.1100000003</v>
      </c>
      <c r="J109" s="15" t="s">
        <v>22</v>
      </c>
      <c r="K109" s="15" t="s">
        <v>18</v>
      </c>
      <c r="L109" s="9">
        <f>YEAR(E109)</f>
        <v>2023</v>
      </c>
      <c r="M109">
        <f t="shared" si="1"/>
        <v>252491.96</v>
      </c>
    </row>
    <row r="110" spans="1:13" x14ac:dyDescent="0.15">
      <c r="A110" s="12"/>
      <c r="B110" s="13" t="s">
        <v>461</v>
      </c>
      <c r="C110" s="14" t="s">
        <v>35</v>
      </c>
      <c r="D110" s="15" t="s">
        <v>107</v>
      </c>
      <c r="E110" s="15" t="s">
        <v>504</v>
      </c>
      <c r="F110" s="16">
        <v>883</v>
      </c>
      <c r="G110" s="17">
        <v>14518.98</v>
      </c>
      <c r="H110" s="17">
        <v>2316.41</v>
      </c>
      <c r="I110" s="17">
        <v>12820259.34</v>
      </c>
      <c r="J110" s="15" t="s">
        <v>28</v>
      </c>
      <c r="K110" s="15" t="s">
        <v>18</v>
      </c>
      <c r="L110" s="9">
        <f>YEAR(E110)</f>
        <v>2023</v>
      </c>
      <c r="M110">
        <f t="shared" si="1"/>
        <v>2045390.0299999998</v>
      </c>
    </row>
    <row r="111" spans="1:13" x14ac:dyDescent="0.15">
      <c r="A111" s="12"/>
      <c r="B111" s="13" t="s">
        <v>461</v>
      </c>
      <c r="C111" s="14" t="s">
        <v>19</v>
      </c>
      <c r="D111" s="15" t="s">
        <v>107</v>
      </c>
      <c r="E111" s="15" t="s">
        <v>506</v>
      </c>
      <c r="F111" s="16">
        <v>459</v>
      </c>
      <c r="G111" s="17">
        <v>46065.87</v>
      </c>
      <c r="H111" s="17">
        <v>9128.74</v>
      </c>
      <c r="I111" s="17">
        <v>21144234.329999998</v>
      </c>
      <c r="J111" s="15" t="s">
        <v>17</v>
      </c>
      <c r="K111" s="15" t="s">
        <v>18</v>
      </c>
      <c r="L111" s="9">
        <f>YEAR(E111)</f>
        <v>2023</v>
      </c>
      <c r="M111">
        <f t="shared" si="1"/>
        <v>4190091.6599999997</v>
      </c>
    </row>
    <row r="112" spans="1:13" x14ac:dyDescent="0.15">
      <c r="A112" s="12"/>
      <c r="B112" s="13" t="s">
        <v>461</v>
      </c>
      <c r="C112" s="14" t="s">
        <v>43</v>
      </c>
      <c r="D112" s="15" t="s">
        <v>107</v>
      </c>
      <c r="E112" s="15" t="s">
        <v>507</v>
      </c>
      <c r="F112" s="16">
        <v>597</v>
      </c>
      <c r="G112" s="17">
        <v>41654.949999999997</v>
      </c>
      <c r="H112" s="17">
        <v>3911.88</v>
      </c>
      <c r="I112" s="17">
        <v>24868005.149999999</v>
      </c>
      <c r="J112" s="15" t="s">
        <v>17</v>
      </c>
      <c r="K112" s="15" t="s">
        <v>18</v>
      </c>
      <c r="L112" s="9">
        <f>YEAR(E112)</f>
        <v>2023</v>
      </c>
      <c r="M112">
        <f t="shared" si="1"/>
        <v>2335392.36</v>
      </c>
    </row>
    <row r="113" spans="1:13" x14ac:dyDescent="0.15">
      <c r="A113" s="12"/>
      <c r="B113" s="13" t="s">
        <v>461</v>
      </c>
      <c r="C113" s="14" t="s">
        <v>57</v>
      </c>
      <c r="D113" s="15" t="s">
        <v>139</v>
      </c>
      <c r="E113" s="15" t="s">
        <v>507</v>
      </c>
      <c r="F113" s="16">
        <v>863</v>
      </c>
      <c r="G113" s="17">
        <v>49549.96</v>
      </c>
      <c r="H113" s="17">
        <v>4979.97</v>
      </c>
      <c r="I113" s="17">
        <v>42761615.479999997</v>
      </c>
      <c r="J113" s="15" t="s">
        <v>17</v>
      </c>
      <c r="K113" s="15" t="s">
        <v>18</v>
      </c>
      <c r="L113" s="9">
        <f>YEAR(E113)</f>
        <v>2023</v>
      </c>
      <c r="M113">
        <f t="shared" si="1"/>
        <v>4297714.1100000003</v>
      </c>
    </row>
    <row r="114" spans="1:13" x14ac:dyDescent="0.15">
      <c r="A114" s="12"/>
      <c r="B114" s="13" t="s">
        <v>461</v>
      </c>
      <c r="C114" s="14" t="s">
        <v>25</v>
      </c>
      <c r="D114" s="15" t="s">
        <v>89</v>
      </c>
      <c r="E114" s="15" t="s">
        <v>518</v>
      </c>
      <c r="F114" s="16">
        <v>227</v>
      </c>
      <c r="G114" s="17">
        <v>18867.009999999998</v>
      </c>
      <c r="H114" s="17">
        <v>9051.2900000000009</v>
      </c>
      <c r="I114" s="17">
        <v>4282811.2699999996</v>
      </c>
      <c r="J114" s="15" t="s">
        <v>17</v>
      </c>
      <c r="K114" s="15" t="s">
        <v>18</v>
      </c>
      <c r="L114" s="9">
        <f>YEAR(E114)</f>
        <v>2023</v>
      </c>
      <c r="M114">
        <f t="shared" si="1"/>
        <v>2054642.8300000003</v>
      </c>
    </row>
    <row r="115" spans="1:13" x14ac:dyDescent="0.15">
      <c r="A115" s="12"/>
      <c r="B115" s="13" t="s">
        <v>461</v>
      </c>
      <c r="C115" s="14" t="s">
        <v>35</v>
      </c>
      <c r="D115" s="15" t="s">
        <v>139</v>
      </c>
      <c r="E115" s="15" t="s">
        <v>280</v>
      </c>
      <c r="F115" s="16">
        <v>627</v>
      </c>
      <c r="G115" s="17">
        <v>15178.04</v>
      </c>
      <c r="H115" s="17">
        <v>9884.25</v>
      </c>
      <c r="I115" s="17">
        <v>9516631.0800000001</v>
      </c>
      <c r="J115" s="15" t="s">
        <v>22</v>
      </c>
      <c r="K115" s="15" t="s">
        <v>18</v>
      </c>
      <c r="L115" s="9">
        <f>YEAR(E115)</f>
        <v>2023</v>
      </c>
      <c r="M115">
        <f t="shared" si="1"/>
        <v>6197424.75</v>
      </c>
    </row>
    <row r="116" spans="1:13" x14ac:dyDescent="0.15">
      <c r="A116" s="12"/>
      <c r="B116" s="13" t="s">
        <v>461</v>
      </c>
      <c r="C116" s="14" t="s">
        <v>38</v>
      </c>
      <c r="D116" s="15" t="s">
        <v>139</v>
      </c>
      <c r="E116" s="15" t="s">
        <v>523</v>
      </c>
      <c r="F116" s="16">
        <v>913</v>
      </c>
      <c r="G116" s="17">
        <v>30290.13</v>
      </c>
      <c r="H116" s="17">
        <v>9751.19</v>
      </c>
      <c r="I116" s="17">
        <v>27654888.690000001</v>
      </c>
      <c r="J116" s="15" t="s">
        <v>17</v>
      </c>
      <c r="K116" s="15" t="s">
        <v>18</v>
      </c>
      <c r="L116" s="9">
        <f>YEAR(E116)</f>
        <v>2023</v>
      </c>
      <c r="M116">
        <f t="shared" si="1"/>
        <v>8902836.4700000007</v>
      </c>
    </row>
    <row r="117" spans="1:13" x14ac:dyDescent="0.15">
      <c r="A117" s="12"/>
      <c r="B117" s="13" t="s">
        <v>461</v>
      </c>
      <c r="C117" s="14" t="s">
        <v>31</v>
      </c>
      <c r="D117" s="15" t="s">
        <v>139</v>
      </c>
      <c r="E117" s="15" t="s">
        <v>247</v>
      </c>
      <c r="F117" s="16">
        <v>338</v>
      </c>
      <c r="G117" s="17">
        <v>10969.85</v>
      </c>
      <c r="H117" s="17">
        <v>9711.49</v>
      </c>
      <c r="I117" s="19">
        <v>3707809.3</v>
      </c>
      <c r="J117" s="15" t="s">
        <v>30</v>
      </c>
      <c r="K117" s="15" t="s">
        <v>18</v>
      </c>
      <c r="L117" s="9">
        <f>YEAR(E117)</f>
        <v>2023</v>
      </c>
      <c r="M117">
        <f t="shared" si="1"/>
        <v>3282483.62</v>
      </c>
    </row>
    <row r="118" spans="1:13" x14ac:dyDescent="0.15">
      <c r="A118" s="12"/>
      <c r="B118" s="13" t="s">
        <v>461</v>
      </c>
      <c r="C118" s="14" t="s">
        <v>31</v>
      </c>
      <c r="D118" s="15" t="s">
        <v>68</v>
      </c>
      <c r="E118" s="15" t="s">
        <v>533</v>
      </c>
      <c r="F118" s="16">
        <v>733</v>
      </c>
      <c r="G118" s="17">
        <v>33421.870000000003</v>
      </c>
      <c r="H118" s="17">
        <v>2554.29</v>
      </c>
      <c r="I118" s="17">
        <v>24498230.710000001</v>
      </c>
      <c r="J118" s="15" t="s">
        <v>22</v>
      </c>
      <c r="K118" s="15" t="s">
        <v>18</v>
      </c>
      <c r="L118" s="9">
        <f>YEAR(E118)</f>
        <v>2023</v>
      </c>
      <c r="M118">
        <f t="shared" si="1"/>
        <v>1872294.57</v>
      </c>
    </row>
    <row r="119" spans="1:13" x14ac:dyDescent="0.15">
      <c r="A119" s="12"/>
      <c r="B119" s="13" t="s">
        <v>461</v>
      </c>
      <c r="C119" s="14" t="s">
        <v>14</v>
      </c>
      <c r="D119" s="15" t="s">
        <v>68</v>
      </c>
      <c r="E119" s="15" t="s">
        <v>537</v>
      </c>
      <c r="F119" s="16">
        <v>662</v>
      </c>
      <c r="G119" s="17">
        <v>29217.41</v>
      </c>
      <c r="H119" s="17">
        <v>4929.24</v>
      </c>
      <c r="I119" s="17">
        <v>19341925.420000002</v>
      </c>
      <c r="J119" s="15" t="s">
        <v>28</v>
      </c>
      <c r="K119" s="15" t="s">
        <v>18</v>
      </c>
      <c r="L119" s="9">
        <f>YEAR(E119)</f>
        <v>2023</v>
      </c>
      <c r="M119">
        <f t="shared" si="1"/>
        <v>3263156.88</v>
      </c>
    </row>
    <row r="120" spans="1:13" x14ac:dyDescent="0.15">
      <c r="A120" s="12"/>
      <c r="B120" s="13" t="s">
        <v>461</v>
      </c>
      <c r="C120" s="14" t="s">
        <v>25</v>
      </c>
      <c r="D120" s="15" t="s">
        <v>26</v>
      </c>
      <c r="E120" s="15" t="s">
        <v>375</v>
      </c>
      <c r="F120" s="16">
        <v>530</v>
      </c>
      <c r="G120" s="17">
        <v>14332.67</v>
      </c>
      <c r="H120" s="17">
        <v>8759.32</v>
      </c>
      <c r="I120" s="19">
        <v>7596315.0999999996</v>
      </c>
      <c r="J120" s="15" t="s">
        <v>17</v>
      </c>
      <c r="K120" s="15" t="s">
        <v>18</v>
      </c>
      <c r="L120" s="9">
        <f>YEAR(E120)</f>
        <v>2023</v>
      </c>
      <c r="M120">
        <f t="shared" si="1"/>
        <v>4642439.5999999996</v>
      </c>
    </row>
    <row r="121" spans="1:13" x14ac:dyDescent="0.15">
      <c r="A121" s="12"/>
      <c r="B121" s="13" t="s">
        <v>461</v>
      </c>
      <c r="C121" s="14" t="s">
        <v>38</v>
      </c>
      <c r="D121" s="15" t="s">
        <v>26</v>
      </c>
      <c r="E121" s="15" t="s">
        <v>539</v>
      </c>
      <c r="F121" s="16">
        <v>869</v>
      </c>
      <c r="G121" s="17">
        <v>25911.15</v>
      </c>
      <c r="H121" s="19">
        <v>6977.8</v>
      </c>
      <c r="I121" s="17">
        <v>22516789.350000001</v>
      </c>
      <c r="J121" s="15" t="s">
        <v>30</v>
      </c>
      <c r="K121" s="15" t="s">
        <v>18</v>
      </c>
      <c r="L121" s="9">
        <f>YEAR(E121)</f>
        <v>2023</v>
      </c>
      <c r="M121">
        <f t="shared" si="1"/>
        <v>6063708.2000000002</v>
      </c>
    </row>
    <row r="122" spans="1:13" x14ac:dyDescent="0.15">
      <c r="A122" s="12"/>
      <c r="B122" s="13" t="s">
        <v>461</v>
      </c>
      <c r="C122" s="14" t="s">
        <v>79</v>
      </c>
      <c r="D122" s="15" t="s">
        <v>26</v>
      </c>
      <c r="E122" s="15" t="s">
        <v>542</v>
      </c>
      <c r="F122" s="16">
        <v>315</v>
      </c>
      <c r="G122" s="17">
        <v>41679.019999999997</v>
      </c>
      <c r="H122" s="17">
        <v>9014.24</v>
      </c>
      <c r="I122" s="19">
        <v>13128891.300000001</v>
      </c>
      <c r="J122" s="15" t="s">
        <v>28</v>
      </c>
      <c r="K122" s="15" t="s">
        <v>18</v>
      </c>
      <c r="L122" s="9">
        <f>YEAR(E122)</f>
        <v>2023</v>
      </c>
      <c r="M122">
        <f t="shared" si="1"/>
        <v>2839485.6</v>
      </c>
    </row>
    <row r="123" spans="1:13" x14ac:dyDescent="0.15">
      <c r="A123" s="12"/>
      <c r="B123" s="13" t="s">
        <v>461</v>
      </c>
      <c r="C123" s="14" t="s">
        <v>31</v>
      </c>
      <c r="D123" s="15" t="s">
        <v>26</v>
      </c>
      <c r="E123" s="15" t="s">
        <v>544</v>
      </c>
      <c r="F123" s="16">
        <v>211</v>
      </c>
      <c r="G123" s="19">
        <v>16085.4</v>
      </c>
      <c r="H123" s="17">
        <v>7668.27</v>
      </c>
      <c r="I123" s="19">
        <v>3394019.4</v>
      </c>
      <c r="J123" s="15" t="s">
        <v>22</v>
      </c>
      <c r="K123" s="15" t="s">
        <v>18</v>
      </c>
      <c r="L123" s="9">
        <f>YEAR(E123)</f>
        <v>2023</v>
      </c>
      <c r="M123">
        <f t="shared" si="1"/>
        <v>1618004.9700000002</v>
      </c>
    </row>
    <row r="124" spans="1:13" x14ac:dyDescent="0.15">
      <c r="A124" s="12"/>
      <c r="B124" s="13" t="s">
        <v>461</v>
      </c>
      <c r="C124" s="14" t="s">
        <v>57</v>
      </c>
      <c r="D124" s="15" t="s">
        <v>26</v>
      </c>
      <c r="E124" s="15" t="s">
        <v>211</v>
      </c>
      <c r="F124" s="16">
        <v>486</v>
      </c>
      <c r="G124" s="17">
        <v>31281.06</v>
      </c>
      <c r="H124" s="17">
        <v>3986.65</v>
      </c>
      <c r="I124" s="17">
        <v>15202595.16</v>
      </c>
      <c r="J124" s="15" t="s">
        <v>17</v>
      </c>
      <c r="K124" s="15" t="s">
        <v>18</v>
      </c>
      <c r="L124" s="9">
        <f>YEAR(E124)</f>
        <v>2023</v>
      </c>
      <c r="M124">
        <f t="shared" si="1"/>
        <v>1937511.9000000001</v>
      </c>
    </row>
    <row r="125" spans="1:13" x14ac:dyDescent="0.15">
      <c r="A125" s="12"/>
      <c r="B125" s="13" t="s">
        <v>461</v>
      </c>
      <c r="C125" s="14" t="s">
        <v>25</v>
      </c>
      <c r="D125" s="15" t="s">
        <v>26</v>
      </c>
      <c r="E125" s="15" t="s">
        <v>546</v>
      </c>
      <c r="F125" s="16">
        <v>614</v>
      </c>
      <c r="G125" s="19">
        <v>28806.400000000001</v>
      </c>
      <c r="H125" s="17">
        <v>3097.77</v>
      </c>
      <c r="I125" s="19">
        <v>17687129.600000001</v>
      </c>
      <c r="J125" s="15" t="s">
        <v>17</v>
      </c>
      <c r="K125" s="15" t="s">
        <v>18</v>
      </c>
      <c r="L125" s="9">
        <f>YEAR(E125)</f>
        <v>2023</v>
      </c>
      <c r="M125">
        <f t="shared" si="1"/>
        <v>1902030.78</v>
      </c>
    </row>
    <row r="126" spans="1:13" ht="14" thickBot="1" x14ac:dyDescent="0.2">
      <c r="A126" s="12"/>
      <c r="B126" s="21" t="s">
        <v>461</v>
      </c>
      <c r="C126" s="22" t="s">
        <v>38</v>
      </c>
      <c r="D126" s="23" t="s">
        <v>153</v>
      </c>
      <c r="E126" s="23" t="s">
        <v>548</v>
      </c>
      <c r="F126" s="24">
        <v>336</v>
      </c>
      <c r="G126" s="25">
        <v>35609.269999999997</v>
      </c>
      <c r="H126" s="25">
        <v>7905.08</v>
      </c>
      <c r="I126" s="25">
        <v>11964714.720000001</v>
      </c>
      <c r="J126" s="23" t="s">
        <v>22</v>
      </c>
      <c r="K126" s="23" t="s">
        <v>18</v>
      </c>
      <c r="L126" s="9">
        <f>YEAR(E126)</f>
        <v>2023</v>
      </c>
      <c r="M126">
        <f t="shared" si="1"/>
        <v>2656106.88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59925-3DE9-FC40-ADA4-4E9F7A5E6485}">
  <dimension ref="A2:T127"/>
  <sheetViews>
    <sheetView topLeftCell="E1" workbookViewId="0">
      <selection activeCell="Q44" sqref="Q44"/>
    </sheetView>
  </sheetViews>
  <sheetFormatPr baseColWidth="10" defaultRowHeight="13" x14ac:dyDescent="0.15"/>
  <cols>
    <col min="9" max="9" width="11.6640625" bestFit="1" customWidth="1"/>
    <col min="16" max="16" width="12.5" bestFit="1" customWidth="1"/>
    <col min="17" max="17" width="14.83203125" bestFit="1" customWidth="1"/>
    <col min="18" max="18" width="14.33203125" bestFit="1" customWidth="1"/>
    <col min="19" max="19" width="16.6640625" bestFit="1" customWidth="1"/>
    <col min="20" max="20" width="15.1640625" bestFit="1" customWidth="1"/>
    <col min="21" max="135" width="4.1640625" bestFit="1" customWidth="1"/>
    <col min="136" max="136" width="10" bestFit="1" customWidth="1"/>
  </cols>
  <sheetData>
    <row r="2" spans="1:20" ht="15" thickBot="1" x14ac:dyDescent="0.2">
      <c r="A2" s="20" t="s">
        <v>632</v>
      </c>
      <c r="B2" s="68" t="s">
        <v>2</v>
      </c>
      <c r="C2" s="69" t="s">
        <v>3</v>
      </c>
      <c r="D2" s="69" t="s">
        <v>4</v>
      </c>
      <c r="E2" s="69" t="s">
        <v>5</v>
      </c>
      <c r="F2" s="69" t="s">
        <v>6</v>
      </c>
      <c r="G2" s="69" t="s">
        <v>7</v>
      </c>
      <c r="H2" s="69" t="s">
        <v>8</v>
      </c>
      <c r="I2" s="69" t="s">
        <v>9</v>
      </c>
      <c r="J2" s="69" t="s">
        <v>10</v>
      </c>
      <c r="K2" s="69" t="s">
        <v>11</v>
      </c>
      <c r="L2" s="58" t="s">
        <v>12</v>
      </c>
      <c r="M2" s="70" t="s">
        <v>793</v>
      </c>
      <c r="O2" s="73"/>
      <c r="P2" s="73"/>
      <c r="Q2" s="73"/>
    </row>
    <row r="3" spans="1:20" x14ac:dyDescent="0.15">
      <c r="A3" s="29"/>
      <c r="B3" s="6" t="s">
        <v>632</v>
      </c>
      <c r="C3" s="7" t="s">
        <v>38</v>
      </c>
      <c r="D3" s="8" t="s">
        <v>89</v>
      </c>
      <c r="E3" s="8" t="s">
        <v>176</v>
      </c>
      <c r="F3" s="9">
        <v>342</v>
      </c>
      <c r="G3" s="10">
        <v>32818.79</v>
      </c>
      <c r="H3" s="10">
        <v>3272.06</v>
      </c>
      <c r="I3" s="10">
        <v>11224026.18</v>
      </c>
      <c r="J3" s="8" t="s">
        <v>28</v>
      </c>
      <c r="K3" s="8" t="s">
        <v>18</v>
      </c>
      <c r="L3" s="9">
        <f>YEAR(E3)</f>
        <v>2020</v>
      </c>
      <c r="M3">
        <f>H3*F3</f>
        <v>1119044.52</v>
      </c>
      <c r="O3" s="74"/>
      <c r="P3" s="73" t="s">
        <v>12</v>
      </c>
      <c r="Q3" s="73" t="s">
        <v>792</v>
      </c>
      <c r="R3" s="73" t="s">
        <v>793</v>
      </c>
    </row>
    <row r="4" spans="1:20" x14ac:dyDescent="0.15">
      <c r="A4" s="5"/>
      <c r="B4" s="13" t="s">
        <v>632</v>
      </c>
      <c r="C4" s="14" t="s">
        <v>79</v>
      </c>
      <c r="D4" s="15" t="s">
        <v>89</v>
      </c>
      <c r="E4" s="15" t="s">
        <v>635</v>
      </c>
      <c r="F4" s="16">
        <v>615</v>
      </c>
      <c r="G4" s="17">
        <v>28067.85</v>
      </c>
      <c r="H4" s="17">
        <v>6284.55</v>
      </c>
      <c r="I4" s="17">
        <v>17261727.75</v>
      </c>
      <c r="J4" s="15" t="s">
        <v>22</v>
      </c>
      <c r="K4" s="15" t="s">
        <v>18</v>
      </c>
      <c r="L4" s="9">
        <f>YEAR(E4)</f>
        <v>2020</v>
      </c>
      <c r="M4">
        <f t="shared" ref="M4:M67" si="0">H4*F4</f>
        <v>3864998.25</v>
      </c>
      <c r="O4" s="74"/>
      <c r="P4" s="74">
        <v>2020</v>
      </c>
      <c r="Q4" s="74">
        <f>ROUND(SUMIF(L3:L127,P4,F3:F127),0)</f>
        <v>16230</v>
      </c>
      <c r="R4" s="74">
        <f>ROUND(SUMIF(L3:L127,P4, M3:M127),0)</f>
        <v>97232906</v>
      </c>
    </row>
    <row r="5" spans="1:20" x14ac:dyDescent="0.15">
      <c r="A5" s="12"/>
      <c r="B5" s="13" t="s">
        <v>632</v>
      </c>
      <c r="C5" s="14" t="s">
        <v>38</v>
      </c>
      <c r="D5" s="15" t="s">
        <v>70</v>
      </c>
      <c r="E5" s="15" t="s">
        <v>643</v>
      </c>
      <c r="F5" s="16">
        <v>558</v>
      </c>
      <c r="G5" s="17">
        <v>36199.919999999998</v>
      </c>
      <c r="H5" s="17">
        <v>5054.37</v>
      </c>
      <c r="I5" s="17">
        <v>20199555.359999999</v>
      </c>
      <c r="J5" s="15" t="s">
        <v>22</v>
      </c>
      <c r="K5" s="15" t="s">
        <v>18</v>
      </c>
      <c r="L5" s="9">
        <f>YEAR(E5)</f>
        <v>2020</v>
      </c>
      <c r="M5">
        <f t="shared" si="0"/>
        <v>2820338.46</v>
      </c>
      <c r="O5" s="74"/>
      <c r="P5" s="74">
        <v>2021</v>
      </c>
      <c r="Q5" s="74">
        <f>ROUND(SUMIF(L3:L127,P5,F3:F127),0)</f>
        <v>18749</v>
      </c>
      <c r="R5" s="74">
        <f>ROUND(SUMIF(L3:L127,P5, M3:M127),0)</f>
        <v>104923992</v>
      </c>
    </row>
    <row r="6" spans="1:20" x14ac:dyDescent="0.15">
      <c r="A6" s="12"/>
      <c r="B6" s="13" t="s">
        <v>632</v>
      </c>
      <c r="C6" s="14" t="s">
        <v>19</v>
      </c>
      <c r="D6" s="15" t="s">
        <v>70</v>
      </c>
      <c r="E6" s="15" t="s">
        <v>647</v>
      </c>
      <c r="F6" s="16">
        <v>227</v>
      </c>
      <c r="G6" s="17">
        <v>14985.53</v>
      </c>
      <c r="H6" s="17">
        <v>2169.04</v>
      </c>
      <c r="I6" s="17">
        <v>3401715.31</v>
      </c>
      <c r="J6" s="15" t="s">
        <v>17</v>
      </c>
      <c r="K6" s="15" t="s">
        <v>18</v>
      </c>
      <c r="L6" s="9">
        <f>YEAR(E6)</f>
        <v>2020</v>
      </c>
      <c r="M6">
        <f t="shared" si="0"/>
        <v>492372.08</v>
      </c>
      <c r="O6" s="74"/>
      <c r="P6" s="74">
        <v>2022</v>
      </c>
      <c r="Q6" s="74">
        <f>ROUND(SUMIF(L3:L127,P6,F3:F127),0)</f>
        <v>17357</v>
      </c>
      <c r="R6" s="74">
        <f>ROUND(SUMIF(L3:L127,P6, M3:M127),0)</f>
        <v>112464433</v>
      </c>
    </row>
    <row r="7" spans="1:20" x14ac:dyDescent="0.15">
      <c r="A7" s="12"/>
      <c r="B7" s="13" t="s">
        <v>632</v>
      </c>
      <c r="C7" s="14" t="s">
        <v>79</v>
      </c>
      <c r="D7" s="15" t="s">
        <v>26</v>
      </c>
      <c r="E7" s="15" t="s">
        <v>56</v>
      </c>
      <c r="F7" s="16">
        <v>938</v>
      </c>
      <c r="G7" s="19">
        <v>42349.4</v>
      </c>
      <c r="H7" s="17">
        <v>5636.58</v>
      </c>
      <c r="I7" s="19">
        <v>39723737.200000003</v>
      </c>
      <c r="J7" s="15" t="s">
        <v>22</v>
      </c>
      <c r="K7" s="15" t="s">
        <v>18</v>
      </c>
      <c r="L7" s="9">
        <f>YEAR(E7)</f>
        <v>2020</v>
      </c>
      <c r="M7">
        <f t="shared" si="0"/>
        <v>5287112.04</v>
      </c>
      <c r="O7" s="74"/>
      <c r="P7" s="74">
        <v>2023</v>
      </c>
      <c r="Q7" s="74">
        <f>ROUND(SUMIF(L3:L127,P7,F3:F127),0)</f>
        <v>14305</v>
      </c>
      <c r="R7" s="74">
        <f>ROUND(SUMIF(L3:L127,P7, M3:M127),0)</f>
        <v>81110008</v>
      </c>
    </row>
    <row r="8" spans="1:20" ht="14" x14ac:dyDescent="0.15">
      <c r="A8" s="12"/>
      <c r="B8" s="13" t="s">
        <v>632</v>
      </c>
      <c r="C8" s="14" t="s">
        <v>38</v>
      </c>
      <c r="D8" s="15" t="s">
        <v>26</v>
      </c>
      <c r="E8" s="15" t="s">
        <v>650</v>
      </c>
      <c r="F8" s="16">
        <v>712</v>
      </c>
      <c r="G8" s="17">
        <v>46468.26</v>
      </c>
      <c r="H8" s="17">
        <v>4600.33</v>
      </c>
      <c r="I8" s="17">
        <v>33085401.120000001</v>
      </c>
      <c r="J8" s="15" t="s">
        <v>17</v>
      </c>
      <c r="K8" s="15" t="s">
        <v>18</v>
      </c>
      <c r="L8" s="9">
        <f>YEAR(E8)</f>
        <v>2020</v>
      </c>
      <c r="M8">
        <f t="shared" si="0"/>
        <v>3275434.96</v>
      </c>
      <c r="P8" s="70" t="s">
        <v>795</v>
      </c>
      <c r="Q8" s="70">
        <f>SUM(Q4:Q7)</f>
        <v>66641</v>
      </c>
      <c r="R8" s="70">
        <f>SUM(R4:R7)</f>
        <v>395731339</v>
      </c>
    </row>
    <row r="9" spans="1:20" x14ac:dyDescent="0.15">
      <c r="A9" s="12"/>
      <c r="B9" s="13" t="s">
        <v>632</v>
      </c>
      <c r="C9" s="14" t="s">
        <v>57</v>
      </c>
      <c r="D9" s="15" t="s">
        <v>153</v>
      </c>
      <c r="E9" s="15" t="s">
        <v>157</v>
      </c>
      <c r="F9" s="16">
        <v>504</v>
      </c>
      <c r="G9" s="17">
        <v>37053.01</v>
      </c>
      <c r="H9" s="17">
        <v>4393.6499999999996</v>
      </c>
      <c r="I9" s="17">
        <v>18674717.039999999</v>
      </c>
      <c r="J9" s="15" t="s">
        <v>17</v>
      </c>
      <c r="K9" s="15" t="s">
        <v>18</v>
      </c>
      <c r="L9" s="9">
        <f>YEAR(E9)</f>
        <v>2020</v>
      </c>
      <c r="M9">
        <f t="shared" si="0"/>
        <v>2214399.5999999996</v>
      </c>
    </row>
    <row r="10" spans="1:20" x14ac:dyDescent="0.15">
      <c r="A10" s="12"/>
      <c r="B10" s="13" t="s">
        <v>632</v>
      </c>
      <c r="C10" s="14" t="s">
        <v>38</v>
      </c>
      <c r="D10" s="15" t="s">
        <v>53</v>
      </c>
      <c r="E10" s="15" t="s">
        <v>151</v>
      </c>
      <c r="F10" s="16">
        <v>670</v>
      </c>
      <c r="G10" s="17">
        <v>20355.66</v>
      </c>
      <c r="H10" s="16">
        <v>7635</v>
      </c>
      <c r="I10" s="19">
        <v>13638292.199999999</v>
      </c>
      <c r="J10" s="15" t="s">
        <v>17</v>
      </c>
      <c r="K10" s="15" t="s">
        <v>18</v>
      </c>
      <c r="L10" s="9">
        <f>YEAR(E10)</f>
        <v>2020</v>
      </c>
      <c r="M10">
        <f t="shared" si="0"/>
        <v>5115450</v>
      </c>
    </row>
    <row r="11" spans="1:20" x14ac:dyDescent="0.15">
      <c r="A11" s="12"/>
      <c r="B11" s="13" t="s">
        <v>632</v>
      </c>
      <c r="C11" s="14" t="s">
        <v>35</v>
      </c>
      <c r="D11" s="15" t="s">
        <v>53</v>
      </c>
      <c r="E11" s="15" t="s">
        <v>487</v>
      </c>
      <c r="F11" s="16">
        <v>567</v>
      </c>
      <c r="G11" s="17">
        <v>20951.060000000001</v>
      </c>
      <c r="H11" s="17">
        <v>4547.67</v>
      </c>
      <c r="I11" s="17">
        <v>11879251.02</v>
      </c>
      <c r="J11" s="15" t="s">
        <v>17</v>
      </c>
      <c r="K11" s="15" t="s">
        <v>18</v>
      </c>
      <c r="L11" s="9">
        <f>YEAR(E11)</f>
        <v>2020</v>
      </c>
      <c r="M11">
        <f t="shared" si="0"/>
        <v>2578528.89</v>
      </c>
    </row>
    <row r="12" spans="1:20" x14ac:dyDescent="0.15">
      <c r="A12" s="12"/>
      <c r="B12" s="13" t="s">
        <v>632</v>
      </c>
      <c r="C12" s="14" t="s">
        <v>14</v>
      </c>
      <c r="D12" s="15" t="s">
        <v>15</v>
      </c>
      <c r="E12" s="15" t="s">
        <v>671</v>
      </c>
      <c r="F12" s="16">
        <v>924</v>
      </c>
      <c r="G12" s="17">
        <v>12339.82</v>
      </c>
      <c r="H12" s="17">
        <v>6441.71</v>
      </c>
      <c r="I12" s="17">
        <v>11401993.68</v>
      </c>
      <c r="J12" s="15" t="s">
        <v>30</v>
      </c>
      <c r="K12" s="15" t="s">
        <v>18</v>
      </c>
      <c r="L12" s="9">
        <f>YEAR(E12)</f>
        <v>2020</v>
      </c>
      <c r="M12">
        <f t="shared" si="0"/>
        <v>5952140.04</v>
      </c>
    </row>
    <row r="13" spans="1:20" ht="16" customHeight="1" x14ac:dyDescent="0.15">
      <c r="A13" s="12"/>
      <c r="B13" s="13" t="s">
        <v>632</v>
      </c>
      <c r="C13" s="14" t="s">
        <v>14</v>
      </c>
      <c r="D13" s="15" t="s">
        <v>15</v>
      </c>
      <c r="E13" s="15" t="s">
        <v>672</v>
      </c>
      <c r="F13" s="16">
        <v>491</v>
      </c>
      <c r="G13" s="17">
        <v>45962.15</v>
      </c>
      <c r="H13" s="17">
        <v>6370.54</v>
      </c>
      <c r="I13" s="17">
        <v>22567415.649999999</v>
      </c>
      <c r="J13" s="15" t="s">
        <v>17</v>
      </c>
      <c r="K13" s="15" t="s">
        <v>18</v>
      </c>
      <c r="L13" s="9">
        <f>YEAR(E13)</f>
        <v>2020</v>
      </c>
      <c r="M13">
        <f t="shared" si="0"/>
        <v>3127935.14</v>
      </c>
      <c r="P13" s="36" t="s">
        <v>787</v>
      </c>
      <c r="Q13" s="32" t="s">
        <v>785</v>
      </c>
      <c r="R13" s="37" t="s">
        <v>791</v>
      </c>
      <c r="S13" s="37" t="s">
        <v>790</v>
      </c>
      <c r="T13" s="59" t="s">
        <v>796</v>
      </c>
    </row>
    <row r="14" spans="1:20" ht="14" x14ac:dyDescent="0.15">
      <c r="A14" s="12"/>
      <c r="B14" s="13" t="s">
        <v>632</v>
      </c>
      <c r="C14" s="14" t="s">
        <v>19</v>
      </c>
      <c r="D14" s="15" t="s">
        <v>15</v>
      </c>
      <c r="E14" s="15" t="s">
        <v>203</v>
      </c>
      <c r="F14" s="16">
        <v>684</v>
      </c>
      <c r="G14" s="17">
        <v>22639.19</v>
      </c>
      <c r="H14" s="17">
        <v>9105.1200000000008</v>
      </c>
      <c r="I14" s="17">
        <v>15485205.960000001</v>
      </c>
      <c r="J14" s="15" t="s">
        <v>28</v>
      </c>
      <c r="K14" s="15" t="s">
        <v>18</v>
      </c>
      <c r="L14" s="9">
        <f>YEAR(E14)</f>
        <v>2020</v>
      </c>
      <c r="M14">
        <f t="shared" si="0"/>
        <v>6227902.080000001</v>
      </c>
      <c r="P14" s="80" t="s">
        <v>89</v>
      </c>
      <c r="Q14" s="81">
        <v>3378</v>
      </c>
      <c r="R14" s="82">
        <v>248318.4</v>
      </c>
      <c r="S14" s="82">
        <v>115974300.45999999</v>
      </c>
      <c r="T14" s="83">
        <v>22602608.73</v>
      </c>
    </row>
    <row r="15" spans="1:20" ht="14" x14ac:dyDescent="0.15">
      <c r="A15" s="12"/>
      <c r="B15" s="13" t="s">
        <v>632</v>
      </c>
      <c r="C15" s="14" t="s">
        <v>19</v>
      </c>
      <c r="D15" s="15" t="s">
        <v>15</v>
      </c>
      <c r="E15" s="15" t="s">
        <v>675</v>
      </c>
      <c r="F15" s="16">
        <v>794</v>
      </c>
      <c r="G15" s="17">
        <v>34804.99</v>
      </c>
      <c r="H15" s="17">
        <v>8456.36</v>
      </c>
      <c r="I15" s="17">
        <v>27635162.059999999</v>
      </c>
      <c r="J15" s="15" t="s">
        <v>30</v>
      </c>
      <c r="K15" s="15" t="s">
        <v>18</v>
      </c>
      <c r="L15" s="9">
        <f>YEAR(E15)</f>
        <v>2020</v>
      </c>
      <c r="M15">
        <f t="shared" si="0"/>
        <v>6714349.8400000008</v>
      </c>
      <c r="P15" s="80" t="s">
        <v>70</v>
      </c>
      <c r="Q15" s="81">
        <v>7247</v>
      </c>
      <c r="R15" s="82">
        <v>471999.99</v>
      </c>
      <c r="S15" s="82">
        <v>236126242.63999999</v>
      </c>
      <c r="T15" s="83">
        <v>40930138.550000004</v>
      </c>
    </row>
    <row r="16" spans="1:20" ht="14" x14ac:dyDescent="0.15">
      <c r="A16" s="12"/>
      <c r="B16" s="13" t="s">
        <v>632</v>
      </c>
      <c r="C16" s="14" t="s">
        <v>43</v>
      </c>
      <c r="D16" s="15" t="s">
        <v>139</v>
      </c>
      <c r="E16" s="15" t="s">
        <v>675</v>
      </c>
      <c r="F16" s="16">
        <v>673</v>
      </c>
      <c r="G16" s="17">
        <v>20247.87</v>
      </c>
      <c r="H16" s="17">
        <v>6035.27</v>
      </c>
      <c r="I16" s="17">
        <v>13626816.51</v>
      </c>
      <c r="J16" s="15" t="s">
        <v>28</v>
      </c>
      <c r="K16" s="15" t="s">
        <v>18</v>
      </c>
      <c r="L16" s="9">
        <f>YEAR(E16)</f>
        <v>2020</v>
      </c>
      <c r="M16">
        <f t="shared" si="0"/>
        <v>4061736.7100000004</v>
      </c>
      <c r="P16" s="80" t="s">
        <v>26</v>
      </c>
      <c r="Q16" s="81">
        <v>7869</v>
      </c>
      <c r="R16" s="82">
        <v>444676.78</v>
      </c>
      <c r="S16" s="82">
        <v>275974031.54999995</v>
      </c>
      <c r="T16" s="83">
        <v>45874996.200000003</v>
      </c>
    </row>
    <row r="17" spans="1:20" ht="14" x14ac:dyDescent="0.15">
      <c r="A17" s="12"/>
      <c r="B17" s="13" t="s">
        <v>632</v>
      </c>
      <c r="C17" s="14" t="s">
        <v>57</v>
      </c>
      <c r="D17" s="15" t="s">
        <v>15</v>
      </c>
      <c r="E17" s="15" t="s">
        <v>401</v>
      </c>
      <c r="F17" s="16">
        <v>340</v>
      </c>
      <c r="G17" s="17">
        <v>12752.48</v>
      </c>
      <c r="H17" s="17">
        <v>2678.21</v>
      </c>
      <c r="I17" s="19">
        <v>4335843.2</v>
      </c>
      <c r="J17" s="15" t="s">
        <v>17</v>
      </c>
      <c r="K17" s="15" t="s">
        <v>18</v>
      </c>
      <c r="L17" s="9">
        <f>YEAR(E17)</f>
        <v>2020</v>
      </c>
      <c r="M17">
        <f t="shared" si="0"/>
        <v>910591.4</v>
      </c>
      <c r="P17" s="80" t="s">
        <v>68</v>
      </c>
      <c r="Q17" s="81">
        <v>3278</v>
      </c>
      <c r="R17" s="82">
        <v>230925.49000000005</v>
      </c>
      <c r="S17" s="82">
        <v>92864742.390000001</v>
      </c>
      <c r="T17" s="83">
        <v>15567143.630000001</v>
      </c>
    </row>
    <row r="18" spans="1:20" ht="14" x14ac:dyDescent="0.15">
      <c r="A18" s="12"/>
      <c r="B18" s="13" t="s">
        <v>632</v>
      </c>
      <c r="C18" s="14" t="s">
        <v>38</v>
      </c>
      <c r="D18" s="15" t="s">
        <v>139</v>
      </c>
      <c r="E18" s="15" t="s">
        <v>440</v>
      </c>
      <c r="F18" s="16">
        <v>143</v>
      </c>
      <c r="G18" s="17">
        <v>16022.18</v>
      </c>
      <c r="H18" s="17">
        <v>6105.63</v>
      </c>
      <c r="I18" s="17">
        <v>2291171.7400000002</v>
      </c>
      <c r="J18" s="15" t="s">
        <v>30</v>
      </c>
      <c r="K18" s="15" t="s">
        <v>18</v>
      </c>
      <c r="L18" s="9">
        <f>YEAR(E18)</f>
        <v>2020</v>
      </c>
      <c r="M18">
        <f t="shared" si="0"/>
        <v>873105.09</v>
      </c>
      <c r="P18" s="80" t="s">
        <v>114</v>
      </c>
      <c r="Q18" s="81">
        <v>6524</v>
      </c>
      <c r="R18" s="82">
        <v>474653.10000000003</v>
      </c>
      <c r="S18" s="82">
        <v>242619589.84999999</v>
      </c>
      <c r="T18" s="83">
        <v>33589975.439999998</v>
      </c>
    </row>
    <row r="19" spans="1:20" ht="14" x14ac:dyDescent="0.15">
      <c r="A19" s="12"/>
      <c r="B19" s="13" t="s">
        <v>632</v>
      </c>
      <c r="C19" s="14" t="s">
        <v>23</v>
      </c>
      <c r="D19" s="15" t="s">
        <v>139</v>
      </c>
      <c r="E19" s="15" t="s">
        <v>681</v>
      </c>
      <c r="F19" s="16">
        <v>945</v>
      </c>
      <c r="G19" s="17">
        <v>20163.080000000002</v>
      </c>
      <c r="H19" s="17">
        <v>5019.62</v>
      </c>
      <c r="I19" s="19">
        <v>19054110.600000001</v>
      </c>
      <c r="J19" s="15" t="s">
        <v>17</v>
      </c>
      <c r="K19" s="15" t="s">
        <v>18</v>
      </c>
      <c r="L19" s="9">
        <f>YEAR(E19)</f>
        <v>2020</v>
      </c>
      <c r="M19">
        <f t="shared" si="0"/>
        <v>4743540.8999999994</v>
      </c>
      <c r="P19" s="80" t="s">
        <v>107</v>
      </c>
      <c r="Q19" s="81">
        <v>10606</v>
      </c>
      <c r="R19" s="82">
        <v>475071.05</v>
      </c>
      <c r="S19" s="82">
        <v>313521759.78000003</v>
      </c>
      <c r="T19" s="83">
        <v>71958612.939999998</v>
      </c>
    </row>
    <row r="20" spans="1:20" ht="28" x14ac:dyDescent="0.15">
      <c r="A20" s="12"/>
      <c r="B20" s="13" t="s">
        <v>632</v>
      </c>
      <c r="C20" s="14" t="s">
        <v>43</v>
      </c>
      <c r="D20" s="15" t="s">
        <v>107</v>
      </c>
      <c r="E20" s="15" t="s">
        <v>682</v>
      </c>
      <c r="F20" s="16">
        <v>860</v>
      </c>
      <c r="G20" s="17">
        <v>47901.59</v>
      </c>
      <c r="H20" s="17">
        <v>9626.5400000000009</v>
      </c>
      <c r="I20" s="19">
        <v>41195367.399999999</v>
      </c>
      <c r="J20" s="15" t="s">
        <v>22</v>
      </c>
      <c r="K20" s="15" t="s">
        <v>18</v>
      </c>
      <c r="L20" s="9">
        <f>YEAR(E20)</f>
        <v>2020</v>
      </c>
      <c r="M20">
        <f t="shared" si="0"/>
        <v>8278824.4000000004</v>
      </c>
      <c r="P20" s="80" t="s">
        <v>15</v>
      </c>
      <c r="Q20" s="81">
        <v>9155</v>
      </c>
      <c r="R20" s="82">
        <v>425580.20999999996</v>
      </c>
      <c r="S20" s="82">
        <v>270837719.12</v>
      </c>
      <c r="T20" s="83">
        <v>59479913.32</v>
      </c>
    </row>
    <row r="21" spans="1:20" ht="14" x14ac:dyDescent="0.15">
      <c r="A21" s="12"/>
      <c r="B21" s="13" t="s">
        <v>632</v>
      </c>
      <c r="C21" s="14" t="s">
        <v>31</v>
      </c>
      <c r="D21" s="15" t="s">
        <v>107</v>
      </c>
      <c r="E21" s="15" t="s">
        <v>683</v>
      </c>
      <c r="F21" s="16">
        <v>915</v>
      </c>
      <c r="G21" s="17">
        <v>42823.71</v>
      </c>
      <c r="H21" s="17">
        <v>9917.77</v>
      </c>
      <c r="I21" s="17">
        <v>39183694.649999999</v>
      </c>
      <c r="J21" s="15" t="s">
        <v>17</v>
      </c>
      <c r="K21" s="15" t="s">
        <v>18</v>
      </c>
      <c r="L21" s="9">
        <f>YEAR(E21)</f>
        <v>2020</v>
      </c>
      <c r="M21">
        <f t="shared" si="0"/>
        <v>9074759.5500000007</v>
      </c>
      <c r="P21" s="80" t="s">
        <v>139</v>
      </c>
      <c r="Q21" s="81">
        <v>4403</v>
      </c>
      <c r="R21" s="82">
        <v>232523.09000000003</v>
      </c>
      <c r="S21" s="82">
        <v>129185612.14</v>
      </c>
      <c r="T21" s="83">
        <v>27044735.170000002</v>
      </c>
    </row>
    <row r="22" spans="1:20" ht="14" x14ac:dyDescent="0.15">
      <c r="A22" s="12"/>
      <c r="B22" s="13" t="s">
        <v>632</v>
      </c>
      <c r="C22" s="14" t="s">
        <v>23</v>
      </c>
      <c r="D22" s="15" t="s">
        <v>107</v>
      </c>
      <c r="E22" s="15" t="s">
        <v>272</v>
      </c>
      <c r="F22" s="16">
        <v>824</v>
      </c>
      <c r="G22" s="17">
        <v>10293.39</v>
      </c>
      <c r="H22" s="17">
        <v>3434.07</v>
      </c>
      <c r="I22" s="17">
        <v>8481753.3599999994</v>
      </c>
      <c r="J22" s="15" t="s">
        <v>17</v>
      </c>
      <c r="K22" s="15" t="s">
        <v>18</v>
      </c>
      <c r="L22" s="9">
        <f>YEAR(E22)</f>
        <v>2020</v>
      </c>
      <c r="M22">
        <f t="shared" si="0"/>
        <v>2829673.68</v>
      </c>
      <c r="P22" s="80" t="s">
        <v>53</v>
      </c>
      <c r="Q22" s="81">
        <v>8037</v>
      </c>
      <c r="R22" s="82">
        <v>426539.42000000004</v>
      </c>
      <c r="S22" s="82">
        <v>234115025.64999998</v>
      </c>
      <c r="T22" s="83">
        <v>44041232.810000002</v>
      </c>
    </row>
    <row r="23" spans="1:20" ht="28" x14ac:dyDescent="0.15">
      <c r="A23" s="12"/>
      <c r="B23" s="13" t="s">
        <v>632</v>
      </c>
      <c r="C23" s="14" t="s">
        <v>57</v>
      </c>
      <c r="D23" s="15" t="s">
        <v>107</v>
      </c>
      <c r="E23" s="15" t="s">
        <v>685</v>
      </c>
      <c r="F23" s="16">
        <v>310</v>
      </c>
      <c r="G23" s="17">
        <v>49484.99</v>
      </c>
      <c r="H23" s="17">
        <v>3040.11</v>
      </c>
      <c r="I23" s="19">
        <v>15340346.9</v>
      </c>
      <c r="J23" s="15" t="s">
        <v>17</v>
      </c>
      <c r="K23" s="15" t="s">
        <v>18</v>
      </c>
      <c r="L23" s="9">
        <f>YEAR(E23)</f>
        <v>2020</v>
      </c>
      <c r="M23">
        <f t="shared" si="0"/>
        <v>942434.10000000009</v>
      </c>
      <c r="P23" s="80" t="s">
        <v>153</v>
      </c>
      <c r="Q23" s="81">
        <v>6144</v>
      </c>
      <c r="R23" s="82">
        <v>528951.92999999993</v>
      </c>
      <c r="S23" s="82">
        <v>206790947</v>
      </c>
      <c r="T23" s="83">
        <v>34641982.230000004</v>
      </c>
    </row>
    <row r="24" spans="1:20" ht="14" x14ac:dyDescent="0.15">
      <c r="A24" s="12"/>
      <c r="B24" s="13" t="s">
        <v>632</v>
      </c>
      <c r="C24" s="14" t="s">
        <v>23</v>
      </c>
      <c r="D24" s="15" t="s">
        <v>114</v>
      </c>
      <c r="E24" s="15" t="s">
        <v>690</v>
      </c>
      <c r="F24" s="16">
        <v>189</v>
      </c>
      <c r="G24" s="17">
        <v>32429.66</v>
      </c>
      <c r="H24" s="17">
        <v>5579.11</v>
      </c>
      <c r="I24" s="17">
        <v>6129205.7400000002</v>
      </c>
      <c r="J24" s="15" t="s">
        <v>17</v>
      </c>
      <c r="K24" s="15" t="s">
        <v>18</v>
      </c>
      <c r="L24" s="9">
        <f>YEAR(E24)</f>
        <v>2020</v>
      </c>
      <c r="M24">
        <f t="shared" si="0"/>
        <v>1054451.79</v>
      </c>
      <c r="P24" s="46" t="s">
        <v>789</v>
      </c>
      <c r="Q24" s="47">
        <v>66641</v>
      </c>
      <c r="R24" s="48">
        <v>3959239.46</v>
      </c>
      <c r="S24" s="48">
        <v>2118009970.5799999</v>
      </c>
      <c r="T24" s="62">
        <v>395731339.02000004</v>
      </c>
    </row>
    <row r="25" spans="1:20" x14ac:dyDescent="0.15">
      <c r="A25" s="12"/>
      <c r="B25" s="13" t="s">
        <v>632</v>
      </c>
      <c r="C25" s="14" t="s">
        <v>14</v>
      </c>
      <c r="D25" s="15" t="s">
        <v>114</v>
      </c>
      <c r="E25" s="15" t="s">
        <v>469</v>
      </c>
      <c r="F25" s="16">
        <v>547</v>
      </c>
      <c r="G25" s="17">
        <v>40318.720000000001</v>
      </c>
      <c r="H25" s="17">
        <v>3455.24</v>
      </c>
      <c r="I25" s="17">
        <v>22054339.84</v>
      </c>
      <c r="J25" s="15" t="s">
        <v>30</v>
      </c>
      <c r="K25" s="15" t="s">
        <v>18</v>
      </c>
      <c r="L25" s="9">
        <f>YEAR(E25)</f>
        <v>2020</v>
      </c>
      <c r="M25">
        <f t="shared" si="0"/>
        <v>1890016.2799999998</v>
      </c>
    </row>
    <row r="26" spans="1:20" x14ac:dyDescent="0.15">
      <c r="A26" s="12"/>
      <c r="B26" s="13" t="s">
        <v>632</v>
      </c>
      <c r="C26" s="14" t="s">
        <v>43</v>
      </c>
      <c r="D26" s="15" t="s">
        <v>114</v>
      </c>
      <c r="E26" s="15" t="s">
        <v>694</v>
      </c>
      <c r="F26" s="16">
        <v>405</v>
      </c>
      <c r="G26" s="17">
        <v>46606.43</v>
      </c>
      <c r="H26" s="17">
        <v>5181.2299999999996</v>
      </c>
      <c r="I26" s="17">
        <v>18875604.149999999</v>
      </c>
      <c r="J26" s="15" t="s">
        <v>30</v>
      </c>
      <c r="K26" s="15" t="s">
        <v>18</v>
      </c>
      <c r="L26" s="9">
        <f>YEAR(E26)</f>
        <v>2020</v>
      </c>
      <c r="M26">
        <f t="shared" si="0"/>
        <v>2098398.15</v>
      </c>
    </row>
    <row r="27" spans="1:20" x14ac:dyDescent="0.15">
      <c r="A27" s="12"/>
      <c r="B27" s="13" t="s">
        <v>632</v>
      </c>
      <c r="C27" s="14" t="s">
        <v>14</v>
      </c>
      <c r="D27" s="15" t="s">
        <v>114</v>
      </c>
      <c r="E27" s="15" t="s">
        <v>695</v>
      </c>
      <c r="F27" s="16">
        <v>374</v>
      </c>
      <c r="G27" s="17">
        <v>46332.41</v>
      </c>
      <c r="H27" s="17">
        <v>6794.61</v>
      </c>
      <c r="I27" s="17">
        <v>17328321.34</v>
      </c>
      <c r="J27" s="15" t="s">
        <v>17</v>
      </c>
      <c r="K27" s="15" t="s">
        <v>18</v>
      </c>
      <c r="L27" s="9">
        <f>YEAR(E27)</f>
        <v>2020</v>
      </c>
      <c r="M27">
        <f t="shared" si="0"/>
        <v>2541184.1399999997</v>
      </c>
    </row>
    <row r="28" spans="1:20" x14ac:dyDescent="0.15">
      <c r="A28" s="12"/>
      <c r="B28" s="13" t="s">
        <v>632</v>
      </c>
      <c r="C28" s="14" t="s">
        <v>57</v>
      </c>
      <c r="D28" s="15" t="s">
        <v>114</v>
      </c>
      <c r="E28" s="15" t="s">
        <v>254</v>
      </c>
      <c r="F28" s="16">
        <v>435</v>
      </c>
      <c r="G28" s="17">
        <v>19481.189999999999</v>
      </c>
      <c r="H28" s="17">
        <v>4810.38</v>
      </c>
      <c r="I28" s="17">
        <v>8474317.6500000004</v>
      </c>
      <c r="J28" s="15" t="s">
        <v>28</v>
      </c>
      <c r="K28" s="15" t="s">
        <v>18</v>
      </c>
      <c r="L28" s="9">
        <f>YEAR(E28)</f>
        <v>2020</v>
      </c>
      <c r="M28">
        <f t="shared" si="0"/>
        <v>2092515.3</v>
      </c>
    </row>
    <row r="29" spans="1:20" x14ac:dyDescent="0.15">
      <c r="A29" s="12"/>
      <c r="B29" s="13" t="s">
        <v>632</v>
      </c>
      <c r="C29" s="14" t="s">
        <v>19</v>
      </c>
      <c r="D29" s="15" t="s">
        <v>114</v>
      </c>
      <c r="E29" s="15" t="s">
        <v>699</v>
      </c>
      <c r="F29" s="16">
        <v>710</v>
      </c>
      <c r="G29" s="17">
        <v>48182.29</v>
      </c>
      <c r="H29" s="17">
        <v>5868.44</v>
      </c>
      <c r="I29" s="19">
        <v>34209425.899999999</v>
      </c>
      <c r="J29" s="15" t="s">
        <v>22</v>
      </c>
      <c r="K29" s="15" t="s">
        <v>18</v>
      </c>
      <c r="L29" s="9">
        <f>YEAR(E29)</f>
        <v>2020</v>
      </c>
      <c r="M29">
        <f t="shared" si="0"/>
        <v>4166592.4</v>
      </c>
    </row>
    <row r="30" spans="1:20" x14ac:dyDescent="0.15">
      <c r="A30" s="12"/>
      <c r="B30" s="13" t="s">
        <v>632</v>
      </c>
      <c r="C30" s="14" t="s">
        <v>43</v>
      </c>
      <c r="D30" s="15" t="s">
        <v>68</v>
      </c>
      <c r="E30" s="15" t="s">
        <v>702</v>
      </c>
      <c r="F30" s="16">
        <v>401</v>
      </c>
      <c r="G30" s="17">
        <v>23465.06</v>
      </c>
      <c r="H30" s="17">
        <v>6456.01</v>
      </c>
      <c r="I30" s="17">
        <v>9409489.0600000005</v>
      </c>
      <c r="J30" s="15" t="s">
        <v>17</v>
      </c>
      <c r="K30" s="15" t="s">
        <v>18</v>
      </c>
      <c r="L30" s="9">
        <f>YEAR(E30)</f>
        <v>2020</v>
      </c>
      <c r="M30">
        <f t="shared" si="0"/>
        <v>2588860.0100000002</v>
      </c>
    </row>
    <row r="31" spans="1:20" x14ac:dyDescent="0.15">
      <c r="A31" s="12"/>
      <c r="B31" s="13" t="s">
        <v>632</v>
      </c>
      <c r="C31" s="14" t="s">
        <v>43</v>
      </c>
      <c r="D31" s="15" t="s">
        <v>68</v>
      </c>
      <c r="E31" s="15" t="s">
        <v>705</v>
      </c>
      <c r="F31" s="16">
        <v>133</v>
      </c>
      <c r="G31" s="17">
        <v>10598.63</v>
      </c>
      <c r="H31" s="17">
        <v>2227.19</v>
      </c>
      <c r="I31" s="17">
        <v>1409617.79</v>
      </c>
      <c r="J31" s="15" t="s">
        <v>22</v>
      </c>
      <c r="K31" s="15" t="s">
        <v>18</v>
      </c>
      <c r="L31" s="9">
        <f>YEAR(E31)</f>
        <v>2020</v>
      </c>
      <c r="M31">
        <f t="shared" si="0"/>
        <v>296216.27</v>
      </c>
    </row>
    <row r="32" spans="1:20" x14ac:dyDescent="0.15">
      <c r="A32" s="12"/>
      <c r="B32" s="13" t="s">
        <v>632</v>
      </c>
      <c r="C32" s="14" t="s">
        <v>43</v>
      </c>
      <c r="D32" s="15" t="s">
        <v>89</v>
      </c>
      <c r="E32" s="15" t="s">
        <v>634</v>
      </c>
      <c r="F32" s="16">
        <v>210</v>
      </c>
      <c r="G32" s="17">
        <v>16164.04</v>
      </c>
      <c r="H32" s="17">
        <v>5948.16</v>
      </c>
      <c r="I32" s="19">
        <v>3394448.4</v>
      </c>
      <c r="J32" s="15" t="s">
        <v>17</v>
      </c>
      <c r="K32" s="15" t="s">
        <v>18</v>
      </c>
      <c r="L32" s="9">
        <f>YEAR(E32)</f>
        <v>2021</v>
      </c>
      <c r="M32">
        <f t="shared" si="0"/>
        <v>1249113.5999999999</v>
      </c>
    </row>
    <row r="33" spans="1:13" x14ac:dyDescent="0.15">
      <c r="A33" s="12"/>
      <c r="B33" s="13" t="s">
        <v>632</v>
      </c>
      <c r="C33" s="14" t="s">
        <v>79</v>
      </c>
      <c r="D33" s="15" t="s">
        <v>70</v>
      </c>
      <c r="E33" s="15" t="s">
        <v>638</v>
      </c>
      <c r="F33" s="16">
        <v>301</v>
      </c>
      <c r="G33" s="17">
        <v>46047.77</v>
      </c>
      <c r="H33" s="17">
        <v>3519.61</v>
      </c>
      <c r="I33" s="17">
        <v>13860378.77</v>
      </c>
      <c r="J33" s="15" t="s">
        <v>17</v>
      </c>
      <c r="K33" s="15" t="s">
        <v>18</v>
      </c>
      <c r="L33" s="9">
        <f>YEAR(E33)</f>
        <v>2021</v>
      </c>
      <c r="M33">
        <f t="shared" si="0"/>
        <v>1059402.6100000001</v>
      </c>
    </row>
    <row r="34" spans="1:13" x14ac:dyDescent="0.15">
      <c r="A34" s="12"/>
      <c r="B34" s="13" t="s">
        <v>632</v>
      </c>
      <c r="C34" s="14" t="s">
        <v>19</v>
      </c>
      <c r="D34" s="15" t="s">
        <v>70</v>
      </c>
      <c r="E34" s="15" t="s">
        <v>639</v>
      </c>
      <c r="F34" s="16">
        <v>671</v>
      </c>
      <c r="G34" s="17">
        <v>23316.71</v>
      </c>
      <c r="H34" s="17">
        <v>3376.13</v>
      </c>
      <c r="I34" s="17">
        <v>15645512.41</v>
      </c>
      <c r="J34" s="15" t="s">
        <v>17</v>
      </c>
      <c r="K34" s="15" t="s">
        <v>18</v>
      </c>
      <c r="L34" s="9">
        <f>YEAR(E34)</f>
        <v>2021</v>
      </c>
      <c r="M34">
        <f t="shared" si="0"/>
        <v>2265383.23</v>
      </c>
    </row>
    <row r="35" spans="1:13" x14ac:dyDescent="0.15">
      <c r="A35" s="12"/>
      <c r="B35" s="13" t="s">
        <v>632</v>
      </c>
      <c r="C35" s="14" t="s">
        <v>57</v>
      </c>
      <c r="D35" s="15" t="s">
        <v>70</v>
      </c>
      <c r="E35" s="15" t="s">
        <v>160</v>
      </c>
      <c r="F35" s="16">
        <v>709</v>
      </c>
      <c r="G35" s="19">
        <v>41015.1</v>
      </c>
      <c r="H35" s="17">
        <v>8138.42</v>
      </c>
      <c r="I35" s="19">
        <v>29079705.899999999</v>
      </c>
      <c r="J35" s="15" t="s">
        <v>28</v>
      </c>
      <c r="K35" s="15" t="s">
        <v>18</v>
      </c>
      <c r="L35" s="9">
        <f>YEAR(E35)</f>
        <v>2021</v>
      </c>
      <c r="M35">
        <f t="shared" si="0"/>
        <v>5770139.7800000003</v>
      </c>
    </row>
    <row r="36" spans="1:13" x14ac:dyDescent="0.15">
      <c r="A36" s="12"/>
      <c r="B36" s="13" t="s">
        <v>632</v>
      </c>
      <c r="C36" s="14" t="s">
        <v>43</v>
      </c>
      <c r="D36" s="15" t="s">
        <v>70</v>
      </c>
      <c r="E36" s="15" t="s">
        <v>645</v>
      </c>
      <c r="F36" s="16">
        <v>599</v>
      </c>
      <c r="G36" s="17">
        <v>48007.01</v>
      </c>
      <c r="H36" s="17">
        <v>6015.13</v>
      </c>
      <c r="I36" s="17">
        <v>28756198.989999998</v>
      </c>
      <c r="J36" s="15" t="s">
        <v>22</v>
      </c>
      <c r="K36" s="15" t="s">
        <v>18</v>
      </c>
      <c r="L36" s="9">
        <f>YEAR(E36)</f>
        <v>2021</v>
      </c>
      <c r="M36">
        <f t="shared" si="0"/>
        <v>3603062.87</v>
      </c>
    </row>
    <row r="37" spans="1:13" x14ac:dyDescent="0.15">
      <c r="A37" s="12"/>
      <c r="B37" s="13" t="s">
        <v>632</v>
      </c>
      <c r="C37" s="14" t="s">
        <v>14</v>
      </c>
      <c r="D37" s="15" t="s">
        <v>70</v>
      </c>
      <c r="E37" s="15" t="s">
        <v>646</v>
      </c>
      <c r="F37" s="16">
        <v>424</v>
      </c>
      <c r="G37" s="17">
        <v>15631.78</v>
      </c>
      <c r="H37" s="17">
        <v>6918.65</v>
      </c>
      <c r="I37" s="17">
        <v>6627874.7199999997</v>
      </c>
      <c r="J37" s="15" t="s">
        <v>17</v>
      </c>
      <c r="K37" s="15" t="s">
        <v>18</v>
      </c>
      <c r="L37" s="9">
        <f>YEAR(E37)</f>
        <v>2021</v>
      </c>
      <c r="M37">
        <f t="shared" si="0"/>
        <v>2933507.5999999996</v>
      </c>
    </row>
    <row r="38" spans="1:13" x14ac:dyDescent="0.15">
      <c r="A38" s="12"/>
      <c r="B38" s="13" t="s">
        <v>632</v>
      </c>
      <c r="C38" s="14" t="s">
        <v>35</v>
      </c>
      <c r="D38" s="15" t="s">
        <v>26</v>
      </c>
      <c r="E38" s="15" t="s">
        <v>648</v>
      </c>
      <c r="F38" s="16">
        <v>562</v>
      </c>
      <c r="G38" s="19">
        <v>48517.1</v>
      </c>
      <c r="H38" s="17">
        <v>3273.33</v>
      </c>
      <c r="I38" s="19">
        <v>27266610.199999999</v>
      </c>
      <c r="J38" s="15" t="s">
        <v>17</v>
      </c>
      <c r="K38" s="15" t="s">
        <v>18</v>
      </c>
      <c r="L38" s="9">
        <f>YEAR(E38)</f>
        <v>2021</v>
      </c>
      <c r="M38">
        <f t="shared" si="0"/>
        <v>1839611.46</v>
      </c>
    </row>
    <row r="39" spans="1:13" x14ac:dyDescent="0.15">
      <c r="A39" s="12"/>
      <c r="B39" s="13" t="s">
        <v>632</v>
      </c>
      <c r="C39" s="14" t="s">
        <v>35</v>
      </c>
      <c r="D39" s="15" t="s">
        <v>26</v>
      </c>
      <c r="E39" s="15" t="s">
        <v>631</v>
      </c>
      <c r="F39" s="16">
        <v>957</v>
      </c>
      <c r="G39" s="17">
        <v>27374.69</v>
      </c>
      <c r="H39" s="17">
        <v>9259.27</v>
      </c>
      <c r="I39" s="17">
        <v>26197578.329999998</v>
      </c>
      <c r="J39" s="15" t="s">
        <v>30</v>
      </c>
      <c r="K39" s="15" t="s">
        <v>18</v>
      </c>
      <c r="L39" s="9">
        <f>YEAR(E39)</f>
        <v>2021</v>
      </c>
      <c r="M39">
        <f t="shared" si="0"/>
        <v>8861121.3900000006</v>
      </c>
    </row>
    <row r="40" spans="1:13" x14ac:dyDescent="0.15">
      <c r="A40" s="12"/>
      <c r="B40" s="13" t="s">
        <v>632</v>
      </c>
      <c r="C40" s="14" t="s">
        <v>57</v>
      </c>
      <c r="D40" s="15" t="s">
        <v>26</v>
      </c>
      <c r="E40" s="15" t="s">
        <v>347</v>
      </c>
      <c r="F40" s="16">
        <v>177</v>
      </c>
      <c r="G40" s="17">
        <v>36589.22</v>
      </c>
      <c r="H40" s="17">
        <v>3427.72</v>
      </c>
      <c r="I40" s="17">
        <v>6476291.9400000004</v>
      </c>
      <c r="J40" s="15" t="s">
        <v>17</v>
      </c>
      <c r="K40" s="15" t="s">
        <v>18</v>
      </c>
      <c r="L40" s="9">
        <f>YEAR(E40)</f>
        <v>2021</v>
      </c>
      <c r="M40">
        <f t="shared" si="0"/>
        <v>606706.43999999994</v>
      </c>
    </row>
    <row r="41" spans="1:13" x14ac:dyDescent="0.15">
      <c r="A41" s="12"/>
      <c r="B41" s="13" t="s">
        <v>632</v>
      </c>
      <c r="C41" s="14" t="s">
        <v>31</v>
      </c>
      <c r="D41" s="15" t="s">
        <v>15</v>
      </c>
      <c r="E41" s="15" t="s">
        <v>347</v>
      </c>
      <c r="F41" s="16">
        <v>804</v>
      </c>
      <c r="G41" s="17">
        <v>28787.91</v>
      </c>
      <c r="H41" s="17">
        <v>8809.98</v>
      </c>
      <c r="I41" s="17">
        <v>23145479.640000001</v>
      </c>
      <c r="J41" s="15" t="s">
        <v>28</v>
      </c>
      <c r="K41" s="15" t="s">
        <v>18</v>
      </c>
      <c r="L41" s="9">
        <f>YEAR(E41)</f>
        <v>2021</v>
      </c>
      <c r="M41">
        <f t="shared" si="0"/>
        <v>7083223.9199999999</v>
      </c>
    </row>
    <row r="42" spans="1:13" x14ac:dyDescent="0.15">
      <c r="A42" s="12"/>
      <c r="B42" s="13" t="s">
        <v>632</v>
      </c>
      <c r="C42" s="14" t="s">
        <v>43</v>
      </c>
      <c r="D42" s="15" t="s">
        <v>26</v>
      </c>
      <c r="E42" s="15" t="s">
        <v>653</v>
      </c>
      <c r="F42" s="16">
        <v>807</v>
      </c>
      <c r="G42" s="17">
        <v>38087.660000000003</v>
      </c>
      <c r="H42" s="17">
        <v>6847.72</v>
      </c>
      <c r="I42" s="17">
        <v>30736741.620000001</v>
      </c>
      <c r="J42" s="15" t="s">
        <v>17</v>
      </c>
      <c r="K42" s="15" t="s">
        <v>18</v>
      </c>
      <c r="L42" s="9">
        <f>YEAR(E42)</f>
        <v>2021</v>
      </c>
      <c r="M42">
        <f t="shared" si="0"/>
        <v>5526110.04</v>
      </c>
    </row>
    <row r="43" spans="1:13" x14ac:dyDescent="0.15">
      <c r="A43" s="12"/>
      <c r="B43" s="13" t="s">
        <v>632</v>
      </c>
      <c r="C43" s="14" t="s">
        <v>43</v>
      </c>
      <c r="D43" s="15" t="s">
        <v>26</v>
      </c>
      <c r="E43" s="15" t="s">
        <v>656</v>
      </c>
      <c r="F43" s="16">
        <v>357</v>
      </c>
      <c r="G43" s="17">
        <v>25681.71</v>
      </c>
      <c r="H43" s="17">
        <v>5818.74</v>
      </c>
      <c r="I43" s="17">
        <v>9168370.4700000007</v>
      </c>
      <c r="J43" s="15" t="s">
        <v>17</v>
      </c>
      <c r="K43" s="15" t="s">
        <v>18</v>
      </c>
      <c r="L43" s="9">
        <f>YEAR(E43)</f>
        <v>2021</v>
      </c>
      <c r="M43">
        <f t="shared" si="0"/>
        <v>2077290.18</v>
      </c>
    </row>
    <row r="44" spans="1:13" x14ac:dyDescent="0.15">
      <c r="A44" s="12"/>
      <c r="B44" s="13" t="s">
        <v>632</v>
      </c>
      <c r="C44" s="14" t="s">
        <v>25</v>
      </c>
      <c r="D44" s="15" t="s">
        <v>153</v>
      </c>
      <c r="E44" s="15" t="s">
        <v>41</v>
      </c>
      <c r="F44" s="16">
        <v>267</v>
      </c>
      <c r="G44" s="19">
        <v>17307.3</v>
      </c>
      <c r="H44" s="17">
        <v>9600.9599999999991</v>
      </c>
      <c r="I44" s="19">
        <v>4621049.0999999996</v>
      </c>
      <c r="J44" s="15" t="s">
        <v>30</v>
      </c>
      <c r="K44" s="15" t="s">
        <v>18</v>
      </c>
      <c r="L44" s="9">
        <f>YEAR(E44)</f>
        <v>2021</v>
      </c>
      <c r="M44">
        <f t="shared" si="0"/>
        <v>2563456.3199999998</v>
      </c>
    </row>
    <row r="45" spans="1:13" x14ac:dyDescent="0.15">
      <c r="A45" s="12"/>
      <c r="B45" s="13" t="s">
        <v>632</v>
      </c>
      <c r="C45" s="14" t="s">
        <v>43</v>
      </c>
      <c r="D45" s="15" t="s">
        <v>153</v>
      </c>
      <c r="E45" s="15" t="s">
        <v>341</v>
      </c>
      <c r="F45" s="16">
        <v>173</v>
      </c>
      <c r="G45" s="17">
        <v>48027.01</v>
      </c>
      <c r="H45" s="17">
        <v>4082.66</v>
      </c>
      <c r="I45" s="17">
        <v>8308672.7300000004</v>
      </c>
      <c r="J45" s="15" t="s">
        <v>28</v>
      </c>
      <c r="K45" s="15" t="s">
        <v>18</v>
      </c>
      <c r="L45" s="9">
        <f>YEAR(E45)</f>
        <v>2021</v>
      </c>
      <c r="M45">
        <f t="shared" si="0"/>
        <v>706300.17999999993</v>
      </c>
    </row>
    <row r="46" spans="1:13" x14ac:dyDescent="0.15">
      <c r="A46" s="12"/>
      <c r="B46" s="13" t="s">
        <v>632</v>
      </c>
      <c r="C46" s="14" t="s">
        <v>14</v>
      </c>
      <c r="D46" s="15" t="s">
        <v>153</v>
      </c>
      <c r="E46" s="15" t="s">
        <v>660</v>
      </c>
      <c r="F46" s="16">
        <v>199</v>
      </c>
      <c r="G46" s="17">
        <v>47269.53</v>
      </c>
      <c r="H46" s="19">
        <v>9258.5</v>
      </c>
      <c r="I46" s="17">
        <v>9406636.4700000007</v>
      </c>
      <c r="J46" s="15" t="s">
        <v>17</v>
      </c>
      <c r="K46" s="15" t="s">
        <v>18</v>
      </c>
      <c r="L46" s="9">
        <f>YEAR(E46)</f>
        <v>2021</v>
      </c>
      <c r="M46">
        <f t="shared" si="0"/>
        <v>1842441.5</v>
      </c>
    </row>
    <row r="47" spans="1:13" x14ac:dyDescent="0.15">
      <c r="A47" s="12"/>
      <c r="B47" s="13" t="s">
        <v>632</v>
      </c>
      <c r="C47" s="14" t="s">
        <v>35</v>
      </c>
      <c r="D47" s="15" t="s">
        <v>153</v>
      </c>
      <c r="E47" s="15" t="s">
        <v>662</v>
      </c>
      <c r="F47" s="16">
        <v>343</v>
      </c>
      <c r="G47" s="17">
        <v>48026.63</v>
      </c>
      <c r="H47" s="17">
        <v>6193.02</v>
      </c>
      <c r="I47" s="17">
        <v>16473134.09</v>
      </c>
      <c r="J47" s="15" t="s">
        <v>17</v>
      </c>
      <c r="K47" s="15" t="s">
        <v>18</v>
      </c>
      <c r="L47" s="9">
        <f>YEAR(E47)</f>
        <v>2021</v>
      </c>
      <c r="M47">
        <f t="shared" si="0"/>
        <v>2124205.8600000003</v>
      </c>
    </row>
    <row r="48" spans="1:13" x14ac:dyDescent="0.15">
      <c r="A48" s="12"/>
      <c r="B48" s="13" t="s">
        <v>632</v>
      </c>
      <c r="C48" s="14" t="s">
        <v>14</v>
      </c>
      <c r="D48" s="15" t="s">
        <v>53</v>
      </c>
      <c r="E48" s="15" t="s">
        <v>128</v>
      </c>
      <c r="F48" s="16">
        <v>667</v>
      </c>
      <c r="G48" s="17">
        <v>33489.07</v>
      </c>
      <c r="H48" s="17">
        <v>9214.17</v>
      </c>
      <c r="I48" s="17">
        <v>22337209.690000001</v>
      </c>
      <c r="J48" s="15" t="s">
        <v>17</v>
      </c>
      <c r="K48" s="15" t="s">
        <v>18</v>
      </c>
      <c r="L48" s="9">
        <f>YEAR(E48)</f>
        <v>2021</v>
      </c>
      <c r="M48">
        <f t="shared" si="0"/>
        <v>6145851.3899999997</v>
      </c>
    </row>
    <row r="49" spans="1:13" x14ac:dyDescent="0.15">
      <c r="A49" s="12"/>
      <c r="B49" s="13" t="s">
        <v>632</v>
      </c>
      <c r="C49" s="14" t="s">
        <v>23</v>
      </c>
      <c r="D49" s="15" t="s">
        <v>53</v>
      </c>
      <c r="E49" s="15" t="s">
        <v>629</v>
      </c>
      <c r="F49" s="16">
        <v>413</v>
      </c>
      <c r="G49" s="17">
        <v>47019.51</v>
      </c>
      <c r="H49" s="17">
        <v>3971.94</v>
      </c>
      <c r="I49" s="17">
        <v>19419057.629999999</v>
      </c>
      <c r="J49" s="15" t="s">
        <v>17</v>
      </c>
      <c r="K49" s="15" t="s">
        <v>18</v>
      </c>
      <c r="L49" s="9">
        <f>YEAR(E49)</f>
        <v>2021</v>
      </c>
      <c r="M49">
        <f t="shared" si="0"/>
        <v>1640411.22</v>
      </c>
    </row>
    <row r="50" spans="1:13" x14ac:dyDescent="0.15">
      <c r="A50" s="12"/>
      <c r="B50" s="13" t="s">
        <v>632</v>
      </c>
      <c r="C50" s="14" t="s">
        <v>35</v>
      </c>
      <c r="D50" s="15" t="s">
        <v>53</v>
      </c>
      <c r="E50" s="15" t="s">
        <v>525</v>
      </c>
      <c r="F50" s="16">
        <v>855</v>
      </c>
      <c r="G50" s="17">
        <v>40697.769999999997</v>
      </c>
      <c r="H50" s="17">
        <v>3184.83</v>
      </c>
      <c r="I50" s="17">
        <v>34796593.350000001</v>
      </c>
      <c r="J50" s="15" t="s">
        <v>17</v>
      </c>
      <c r="K50" s="15" t="s">
        <v>18</v>
      </c>
      <c r="L50" s="9">
        <f>YEAR(E50)</f>
        <v>2021</v>
      </c>
      <c r="M50">
        <f t="shared" si="0"/>
        <v>2723029.65</v>
      </c>
    </row>
    <row r="51" spans="1:13" x14ac:dyDescent="0.15">
      <c r="A51" s="12"/>
      <c r="B51" s="13" t="s">
        <v>632</v>
      </c>
      <c r="C51" s="14" t="s">
        <v>31</v>
      </c>
      <c r="D51" s="15" t="s">
        <v>53</v>
      </c>
      <c r="E51" s="15" t="s">
        <v>668</v>
      </c>
      <c r="F51" s="16">
        <v>821</v>
      </c>
      <c r="G51" s="17">
        <v>27842.04</v>
      </c>
      <c r="H51" s="17">
        <v>3404.09</v>
      </c>
      <c r="I51" s="17">
        <v>22858314.84</v>
      </c>
      <c r="J51" s="15" t="s">
        <v>17</v>
      </c>
      <c r="K51" s="15" t="s">
        <v>18</v>
      </c>
      <c r="L51" s="9">
        <f>YEAR(E51)</f>
        <v>2021</v>
      </c>
      <c r="M51">
        <f t="shared" si="0"/>
        <v>2794757.89</v>
      </c>
    </row>
    <row r="52" spans="1:13" x14ac:dyDescent="0.15">
      <c r="A52" s="12"/>
      <c r="B52" s="13" t="s">
        <v>632</v>
      </c>
      <c r="C52" s="14" t="s">
        <v>43</v>
      </c>
      <c r="D52" s="15" t="s">
        <v>53</v>
      </c>
      <c r="E52" s="15" t="s">
        <v>669</v>
      </c>
      <c r="F52" s="16">
        <v>393</v>
      </c>
      <c r="G52" s="17">
        <v>23647.19</v>
      </c>
      <c r="H52" s="17">
        <v>5405.19</v>
      </c>
      <c r="I52" s="17">
        <v>9293345.6699999999</v>
      </c>
      <c r="J52" s="15" t="s">
        <v>17</v>
      </c>
      <c r="K52" s="15" t="s">
        <v>18</v>
      </c>
      <c r="L52" s="9">
        <f>YEAR(E52)</f>
        <v>2021</v>
      </c>
      <c r="M52">
        <f t="shared" si="0"/>
        <v>2124239.67</v>
      </c>
    </row>
    <row r="53" spans="1:13" x14ac:dyDescent="0.15">
      <c r="A53" s="12"/>
      <c r="B53" s="13" t="s">
        <v>632</v>
      </c>
      <c r="C53" s="14" t="s">
        <v>25</v>
      </c>
      <c r="D53" s="15" t="s">
        <v>53</v>
      </c>
      <c r="E53" s="15" t="s">
        <v>670</v>
      </c>
      <c r="F53" s="16">
        <v>405</v>
      </c>
      <c r="G53" s="17">
        <v>13582.18</v>
      </c>
      <c r="H53" s="17">
        <v>5894.22</v>
      </c>
      <c r="I53" s="19">
        <v>5500782.9000000004</v>
      </c>
      <c r="J53" s="15" t="s">
        <v>28</v>
      </c>
      <c r="K53" s="15" t="s">
        <v>18</v>
      </c>
      <c r="L53" s="9">
        <f>YEAR(E53)</f>
        <v>2021</v>
      </c>
      <c r="M53">
        <f t="shared" si="0"/>
        <v>2387159.1</v>
      </c>
    </row>
    <row r="54" spans="1:13" x14ac:dyDescent="0.15">
      <c r="A54" s="12"/>
      <c r="B54" s="13" t="s">
        <v>632</v>
      </c>
      <c r="C54" s="14" t="s">
        <v>25</v>
      </c>
      <c r="D54" s="15" t="s">
        <v>15</v>
      </c>
      <c r="E54" s="15" t="s">
        <v>673</v>
      </c>
      <c r="F54" s="16">
        <v>730</v>
      </c>
      <c r="G54" s="17">
        <v>44410.29</v>
      </c>
      <c r="H54" s="19">
        <v>3170.9</v>
      </c>
      <c r="I54" s="19">
        <v>32419511.699999999</v>
      </c>
      <c r="J54" s="15" t="s">
        <v>28</v>
      </c>
      <c r="K54" s="15" t="s">
        <v>18</v>
      </c>
      <c r="L54" s="9">
        <f>YEAR(E54)</f>
        <v>2021</v>
      </c>
      <c r="M54">
        <f t="shared" si="0"/>
        <v>2314757</v>
      </c>
    </row>
    <row r="55" spans="1:13" x14ac:dyDescent="0.15">
      <c r="A55" s="12"/>
      <c r="B55" s="13" t="s">
        <v>632</v>
      </c>
      <c r="C55" s="14" t="s">
        <v>23</v>
      </c>
      <c r="D55" s="15" t="s">
        <v>15</v>
      </c>
      <c r="E55" s="15" t="s">
        <v>674</v>
      </c>
      <c r="F55" s="16">
        <v>842</v>
      </c>
      <c r="G55" s="17">
        <v>44116.31</v>
      </c>
      <c r="H55" s="17">
        <v>3737.61</v>
      </c>
      <c r="I55" s="17">
        <v>37145933.020000003</v>
      </c>
      <c r="J55" s="15" t="s">
        <v>17</v>
      </c>
      <c r="K55" s="15" t="s">
        <v>18</v>
      </c>
      <c r="L55" s="9">
        <f>YEAR(E55)</f>
        <v>2021</v>
      </c>
      <c r="M55">
        <f t="shared" si="0"/>
        <v>3147067.62</v>
      </c>
    </row>
    <row r="56" spans="1:13" x14ac:dyDescent="0.15">
      <c r="A56" s="12"/>
      <c r="B56" s="13" t="s">
        <v>632</v>
      </c>
      <c r="C56" s="14" t="s">
        <v>57</v>
      </c>
      <c r="D56" s="15" t="s">
        <v>139</v>
      </c>
      <c r="E56" s="15" t="s">
        <v>492</v>
      </c>
      <c r="F56" s="16">
        <v>471</v>
      </c>
      <c r="G56" s="17">
        <v>46139.69</v>
      </c>
      <c r="H56" s="17">
        <v>4274.55</v>
      </c>
      <c r="I56" s="17">
        <v>21731793.989999998</v>
      </c>
      <c r="J56" s="15" t="s">
        <v>17</v>
      </c>
      <c r="K56" s="15" t="s">
        <v>18</v>
      </c>
      <c r="L56" s="9">
        <f>YEAR(E56)</f>
        <v>2021</v>
      </c>
      <c r="M56">
        <f t="shared" si="0"/>
        <v>2013313.05</v>
      </c>
    </row>
    <row r="57" spans="1:13" x14ac:dyDescent="0.15">
      <c r="A57" s="12"/>
      <c r="B57" s="13" t="s">
        <v>632</v>
      </c>
      <c r="C57" s="14" t="s">
        <v>57</v>
      </c>
      <c r="D57" s="15" t="s">
        <v>107</v>
      </c>
      <c r="E57" s="15" t="s">
        <v>342</v>
      </c>
      <c r="F57" s="16">
        <v>346</v>
      </c>
      <c r="G57" s="17">
        <v>45825.21</v>
      </c>
      <c r="H57" s="17">
        <v>2333.75</v>
      </c>
      <c r="I57" s="17">
        <v>15855522.66</v>
      </c>
      <c r="J57" s="15" t="s">
        <v>28</v>
      </c>
      <c r="K57" s="15" t="s">
        <v>18</v>
      </c>
      <c r="L57" s="9">
        <f>YEAR(E57)</f>
        <v>2021</v>
      </c>
      <c r="M57">
        <f t="shared" si="0"/>
        <v>807477.5</v>
      </c>
    </row>
    <row r="58" spans="1:13" x14ac:dyDescent="0.15">
      <c r="A58" s="12"/>
      <c r="B58" s="13" t="s">
        <v>632</v>
      </c>
      <c r="C58" s="14" t="s">
        <v>57</v>
      </c>
      <c r="D58" s="15" t="s">
        <v>107</v>
      </c>
      <c r="E58" s="15" t="s">
        <v>686</v>
      </c>
      <c r="F58" s="16">
        <v>696</v>
      </c>
      <c r="G58" s="17">
        <v>40906.92</v>
      </c>
      <c r="H58" s="17">
        <v>5413.24</v>
      </c>
      <c r="I58" s="17">
        <v>28471216.32</v>
      </c>
      <c r="J58" s="15" t="s">
        <v>17</v>
      </c>
      <c r="K58" s="15" t="s">
        <v>18</v>
      </c>
      <c r="L58" s="9">
        <f>YEAR(E58)</f>
        <v>2021</v>
      </c>
      <c r="M58">
        <f t="shared" si="0"/>
        <v>3767615.04</v>
      </c>
    </row>
    <row r="59" spans="1:13" x14ac:dyDescent="0.15">
      <c r="A59" s="12"/>
      <c r="B59" s="13" t="s">
        <v>632</v>
      </c>
      <c r="C59" s="14" t="s">
        <v>31</v>
      </c>
      <c r="D59" s="15" t="s">
        <v>107</v>
      </c>
      <c r="E59" s="15" t="s">
        <v>689</v>
      </c>
      <c r="F59" s="16">
        <v>887</v>
      </c>
      <c r="G59" s="19">
        <v>39899.300000000003</v>
      </c>
      <c r="H59" s="17">
        <v>4319.57</v>
      </c>
      <c r="I59" s="19">
        <v>35390679.100000001</v>
      </c>
      <c r="J59" s="15" t="s">
        <v>17</v>
      </c>
      <c r="K59" s="15" t="s">
        <v>18</v>
      </c>
      <c r="L59" s="9">
        <f>YEAR(E59)</f>
        <v>2021</v>
      </c>
      <c r="M59">
        <f t="shared" si="0"/>
        <v>3831458.59</v>
      </c>
    </row>
    <row r="60" spans="1:13" x14ac:dyDescent="0.15">
      <c r="A60" s="12"/>
      <c r="B60" s="13" t="s">
        <v>632</v>
      </c>
      <c r="C60" s="14" t="s">
        <v>19</v>
      </c>
      <c r="D60" s="15" t="s">
        <v>114</v>
      </c>
      <c r="E60" s="15" t="s">
        <v>692</v>
      </c>
      <c r="F60" s="16">
        <v>371</v>
      </c>
      <c r="G60" s="17">
        <v>12445.21</v>
      </c>
      <c r="H60" s="17">
        <v>5153.7700000000004</v>
      </c>
      <c r="I60" s="17">
        <v>4617172.91</v>
      </c>
      <c r="J60" s="15" t="s">
        <v>30</v>
      </c>
      <c r="K60" s="15" t="s">
        <v>18</v>
      </c>
      <c r="L60" s="9">
        <f>YEAR(E60)</f>
        <v>2021</v>
      </c>
      <c r="M60">
        <f t="shared" si="0"/>
        <v>1912048.6700000002</v>
      </c>
    </row>
    <row r="61" spans="1:13" x14ac:dyDescent="0.15">
      <c r="A61" s="12"/>
      <c r="B61" s="13" t="s">
        <v>632</v>
      </c>
      <c r="C61" s="14" t="s">
        <v>23</v>
      </c>
      <c r="D61" s="15" t="s">
        <v>114</v>
      </c>
      <c r="E61" s="15" t="s">
        <v>693</v>
      </c>
      <c r="F61" s="16">
        <v>789</v>
      </c>
      <c r="G61" s="17">
        <v>45177.74</v>
      </c>
      <c r="H61" s="17">
        <v>7969.12</v>
      </c>
      <c r="I61" s="17">
        <v>35645236.859999999</v>
      </c>
      <c r="J61" s="15" t="s">
        <v>17</v>
      </c>
      <c r="K61" s="15" t="s">
        <v>18</v>
      </c>
      <c r="L61" s="9">
        <f>YEAR(E61)</f>
        <v>2021</v>
      </c>
      <c r="M61">
        <f t="shared" si="0"/>
        <v>6287635.6799999997</v>
      </c>
    </row>
    <row r="62" spans="1:13" x14ac:dyDescent="0.15">
      <c r="A62" s="12"/>
      <c r="B62" s="13" t="s">
        <v>632</v>
      </c>
      <c r="C62" s="14" t="s">
        <v>57</v>
      </c>
      <c r="D62" s="15" t="s">
        <v>114</v>
      </c>
      <c r="E62" s="15" t="s">
        <v>697</v>
      </c>
      <c r="F62" s="16">
        <v>795</v>
      </c>
      <c r="G62" s="17">
        <v>31220.79</v>
      </c>
      <c r="H62" s="17">
        <v>4664.78</v>
      </c>
      <c r="I62" s="17">
        <v>24820528.050000001</v>
      </c>
      <c r="J62" s="15" t="s">
        <v>30</v>
      </c>
      <c r="K62" s="15" t="s">
        <v>18</v>
      </c>
      <c r="L62" s="9">
        <f>YEAR(E62)</f>
        <v>2021</v>
      </c>
      <c r="M62">
        <f t="shared" si="0"/>
        <v>3708500.0999999996</v>
      </c>
    </row>
    <row r="63" spans="1:13" x14ac:dyDescent="0.15">
      <c r="A63" s="12"/>
      <c r="B63" s="13" t="s">
        <v>632</v>
      </c>
      <c r="C63" s="14" t="s">
        <v>14</v>
      </c>
      <c r="D63" s="15" t="s">
        <v>68</v>
      </c>
      <c r="E63" s="15" t="s">
        <v>700</v>
      </c>
      <c r="F63" s="16">
        <v>182</v>
      </c>
      <c r="G63" s="17">
        <v>28119.02</v>
      </c>
      <c r="H63" s="17">
        <v>4905.9399999999996</v>
      </c>
      <c r="I63" s="17">
        <v>5117661.6399999997</v>
      </c>
      <c r="J63" s="15" t="s">
        <v>28</v>
      </c>
      <c r="K63" s="15" t="s">
        <v>18</v>
      </c>
      <c r="L63" s="9">
        <f>YEAR(E63)</f>
        <v>2021</v>
      </c>
      <c r="M63">
        <f t="shared" si="0"/>
        <v>892881.08</v>
      </c>
    </row>
    <row r="64" spans="1:13" x14ac:dyDescent="0.15">
      <c r="A64" s="12"/>
      <c r="B64" s="13" t="s">
        <v>632</v>
      </c>
      <c r="C64" s="14" t="s">
        <v>43</v>
      </c>
      <c r="D64" s="15" t="s">
        <v>68</v>
      </c>
      <c r="E64" s="15" t="s">
        <v>701</v>
      </c>
      <c r="F64" s="16">
        <v>608</v>
      </c>
      <c r="G64" s="17">
        <v>24486.35</v>
      </c>
      <c r="H64" s="17">
        <v>2380.14</v>
      </c>
      <c r="I64" s="19">
        <v>14887700.800000001</v>
      </c>
      <c r="J64" s="15" t="s">
        <v>17</v>
      </c>
      <c r="K64" s="15" t="s">
        <v>18</v>
      </c>
      <c r="L64" s="9">
        <f>YEAR(E64)</f>
        <v>2021</v>
      </c>
      <c r="M64">
        <f t="shared" si="0"/>
        <v>1447125.1199999999</v>
      </c>
    </row>
    <row r="65" spans="1:13" x14ac:dyDescent="0.15">
      <c r="A65" s="12"/>
      <c r="B65" s="13" t="s">
        <v>632</v>
      </c>
      <c r="C65" s="14" t="s">
        <v>38</v>
      </c>
      <c r="D65" s="15" t="s">
        <v>68</v>
      </c>
      <c r="E65" s="15" t="s">
        <v>514</v>
      </c>
      <c r="F65" s="16">
        <v>439</v>
      </c>
      <c r="G65" s="17">
        <v>40861.040000000001</v>
      </c>
      <c r="H65" s="17">
        <v>6133.39</v>
      </c>
      <c r="I65" s="17">
        <v>17937996.559999999</v>
      </c>
      <c r="J65" s="15" t="s">
        <v>30</v>
      </c>
      <c r="K65" s="15" t="s">
        <v>18</v>
      </c>
      <c r="L65" s="9">
        <f>YEAR(E65)</f>
        <v>2021</v>
      </c>
      <c r="M65">
        <f t="shared" si="0"/>
        <v>2692558.21</v>
      </c>
    </row>
    <row r="66" spans="1:13" x14ac:dyDescent="0.15">
      <c r="A66" s="12"/>
      <c r="B66" s="13" t="s">
        <v>632</v>
      </c>
      <c r="C66" s="14" t="s">
        <v>38</v>
      </c>
      <c r="D66" s="15" t="s">
        <v>68</v>
      </c>
      <c r="E66" s="15" t="s">
        <v>703</v>
      </c>
      <c r="F66" s="16">
        <v>262</v>
      </c>
      <c r="G66" s="17">
        <v>13664.69</v>
      </c>
      <c r="H66" s="17">
        <v>7725.31</v>
      </c>
      <c r="I66" s="17">
        <v>3580148.78</v>
      </c>
      <c r="J66" s="15" t="s">
        <v>28</v>
      </c>
      <c r="K66" s="15" t="s">
        <v>18</v>
      </c>
      <c r="L66" s="9">
        <f>YEAR(E66)</f>
        <v>2021</v>
      </c>
      <c r="M66">
        <f t="shared" si="0"/>
        <v>2024031.2200000002</v>
      </c>
    </row>
    <row r="67" spans="1:13" x14ac:dyDescent="0.15">
      <c r="A67" s="12"/>
      <c r="B67" s="13" t="s">
        <v>632</v>
      </c>
      <c r="C67" s="14" t="s">
        <v>79</v>
      </c>
      <c r="D67" s="15" t="s">
        <v>68</v>
      </c>
      <c r="E67" s="15" t="s">
        <v>706</v>
      </c>
      <c r="F67" s="16">
        <v>217</v>
      </c>
      <c r="G67" s="17">
        <v>34216.050000000003</v>
      </c>
      <c r="H67" s="17">
        <v>9912.43</v>
      </c>
      <c r="I67" s="17">
        <v>7424882.8499999996</v>
      </c>
      <c r="J67" s="15" t="s">
        <v>17</v>
      </c>
      <c r="K67" s="15" t="s">
        <v>18</v>
      </c>
      <c r="L67" s="9">
        <f>YEAR(E67)</f>
        <v>2021</v>
      </c>
      <c r="M67">
        <f t="shared" si="0"/>
        <v>2150997.31</v>
      </c>
    </row>
    <row r="68" spans="1:13" x14ac:dyDescent="0.15">
      <c r="A68" s="12"/>
      <c r="B68" s="13" t="s">
        <v>632</v>
      </c>
      <c r="C68" s="14" t="s">
        <v>43</v>
      </c>
      <c r="D68" s="15" t="s">
        <v>89</v>
      </c>
      <c r="E68" s="15" t="s">
        <v>450</v>
      </c>
      <c r="F68" s="16">
        <v>647</v>
      </c>
      <c r="G68" s="16">
        <v>49738</v>
      </c>
      <c r="H68" s="17">
        <v>9900.98</v>
      </c>
      <c r="I68" s="16">
        <v>32180486</v>
      </c>
      <c r="J68" s="15" t="s">
        <v>17</v>
      </c>
      <c r="K68" s="15" t="s">
        <v>18</v>
      </c>
      <c r="L68" s="9">
        <f>YEAR(E68)</f>
        <v>2022</v>
      </c>
      <c r="M68">
        <f t="shared" ref="M68:M127" si="1">H68*F68</f>
        <v>6405934.0599999996</v>
      </c>
    </row>
    <row r="69" spans="1:13" x14ac:dyDescent="0.15">
      <c r="A69" s="12"/>
      <c r="B69" s="13" t="s">
        <v>632</v>
      </c>
      <c r="C69" s="14" t="s">
        <v>35</v>
      </c>
      <c r="D69" s="15" t="s">
        <v>89</v>
      </c>
      <c r="E69" s="15" t="s">
        <v>636</v>
      </c>
      <c r="F69" s="16">
        <v>250</v>
      </c>
      <c r="G69" s="17">
        <v>27849.16</v>
      </c>
      <c r="H69" s="17">
        <v>4734.07</v>
      </c>
      <c r="I69" s="16">
        <v>6962290</v>
      </c>
      <c r="J69" s="15" t="s">
        <v>17</v>
      </c>
      <c r="K69" s="15" t="s">
        <v>18</v>
      </c>
      <c r="L69" s="9">
        <f>YEAR(E69)</f>
        <v>2022</v>
      </c>
      <c r="M69">
        <f t="shared" si="1"/>
        <v>1183517.5</v>
      </c>
    </row>
    <row r="70" spans="1:13" x14ac:dyDescent="0.15">
      <c r="A70" s="12"/>
      <c r="B70" s="13" t="s">
        <v>632</v>
      </c>
      <c r="C70" s="14" t="s">
        <v>38</v>
      </c>
      <c r="D70" s="15" t="s">
        <v>70</v>
      </c>
      <c r="E70" s="15" t="s">
        <v>641</v>
      </c>
      <c r="F70" s="16">
        <v>191</v>
      </c>
      <c r="G70" s="17">
        <v>21981.31</v>
      </c>
      <c r="H70" s="17">
        <v>7781.54</v>
      </c>
      <c r="I70" s="17">
        <v>4198430.21</v>
      </c>
      <c r="J70" s="15" t="s">
        <v>28</v>
      </c>
      <c r="K70" s="15" t="s">
        <v>18</v>
      </c>
      <c r="L70" s="9">
        <f>YEAR(E70)</f>
        <v>2022</v>
      </c>
      <c r="M70">
        <f t="shared" si="1"/>
        <v>1486274.14</v>
      </c>
    </row>
    <row r="71" spans="1:13" x14ac:dyDescent="0.15">
      <c r="A71" s="12"/>
      <c r="B71" s="13" t="s">
        <v>632</v>
      </c>
      <c r="C71" s="14" t="s">
        <v>57</v>
      </c>
      <c r="D71" s="15" t="s">
        <v>139</v>
      </c>
      <c r="E71" s="15" t="s">
        <v>641</v>
      </c>
      <c r="F71" s="16">
        <v>383</v>
      </c>
      <c r="G71" s="17">
        <v>22247.16</v>
      </c>
      <c r="H71" s="17">
        <v>2470.1799999999998</v>
      </c>
      <c r="I71" s="17">
        <v>8520662.2799999993</v>
      </c>
      <c r="J71" s="15" t="s">
        <v>17</v>
      </c>
      <c r="K71" s="15" t="s">
        <v>18</v>
      </c>
      <c r="L71" s="9">
        <f>YEAR(E71)</f>
        <v>2022</v>
      </c>
      <c r="M71">
        <f t="shared" si="1"/>
        <v>946078.94</v>
      </c>
    </row>
    <row r="72" spans="1:13" x14ac:dyDescent="0.15">
      <c r="A72" s="12"/>
      <c r="B72" s="13" t="s">
        <v>632</v>
      </c>
      <c r="C72" s="14" t="s">
        <v>35</v>
      </c>
      <c r="D72" s="15" t="s">
        <v>70</v>
      </c>
      <c r="E72" s="15" t="s">
        <v>642</v>
      </c>
      <c r="F72" s="16">
        <v>877</v>
      </c>
      <c r="G72" s="17">
        <v>36520.61</v>
      </c>
      <c r="H72" s="17">
        <v>6211.19</v>
      </c>
      <c r="I72" s="17">
        <v>32028574.969999999</v>
      </c>
      <c r="J72" s="15" t="s">
        <v>17</v>
      </c>
      <c r="K72" s="15" t="s">
        <v>18</v>
      </c>
      <c r="L72" s="9">
        <f>YEAR(E72)</f>
        <v>2022</v>
      </c>
      <c r="M72">
        <f t="shared" si="1"/>
        <v>5447213.6299999999</v>
      </c>
    </row>
    <row r="73" spans="1:13" x14ac:dyDescent="0.15">
      <c r="A73" s="12"/>
      <c r="B73" s="13" t="s">
        <v>632</v>
      </c>
      <c r="C73" s="14" t="s">
        <v>19</v>
      </c>
      <c r="D73" s="15" t="s">
        <v>70</v>
      </c>
      <c r="E73" s="15" t="s">
        <v>47</v>
      </c>
      <c r="F73" s="16">
        <v>290</v>
      </c>
      <c r="G73" s="17">
        <v>36322.870000000003</v>
      </c>
      <c r="H73" s="19">
        <v>9201.4</v>
      </c>
      <c r="I73" s="19">
        <v>10533632.300000001</v>
      </c>
      <c r="J73" s="15" t="s">
        <v>17</v>
      </c>
      <c r="K73" s="15" t="s">
        <v>18</v>
      </c>
      <c r="L73" s="9">
        <f>YEAR(E73)</f>
        <v>2022</v>
      </c>
      <c r="M73">
        <f t="shared" si="1"/>
        <v>2668406</v>
      </c>
    </row>
    <row r="74" spans="1:13" x14ac:dyDescent="0.15">
      <c r="A74" s="12"/>
      <c r="B74" s="13" t="s">
        <v>632</v>
      </c>
      <c r="C74" s="14" t="s">
        <v>25</v>
      </c>
      <c r="D74" s="15" t="s">
        <v>70</v>
      </c>
      <c r="E74" s="15" t="s">
        <v>228</v>
      </c>
      <c r="F74" s="16">
        <v>661</v>
      </c>
      <c r="G74" s="17">
        <v>44200.43</v>
      </c>
      <c r="H74" s="17">
        <v>6749.68</v>
      </c>
      <c r="I74" s="17">
        <v>29216484.23</v>
      </c>
      <c r="J74" s="15" t="s">
        <v>30</v>
      </c>
      <c r="K74" s="15" t="s">
        <v>18</v>
      </c>
      <c r="L74" s="9">
        <f>YEAR(E74)</f>
        <v>2022</v>
      </c>
      <c r="M74">
        <f t="shared" si="1"/>
        <v>4461538.4800000004</v>
      </c>
    </row>
    <row r="75" spans="1:13" x14ac:dyDescent="0.15">
      <c r="A75" s="12"/>
      <c r="B75" s="13" t="s">
        <v>632</v>
      </c>
      <c r="C75" s="14" t="s">
        <v>25</v>
      </c>
      <c r="D75" s="15" t="s">
        <v>70</v>
      </c>
      <c r="E75" s="15" t="s">
        <v>615</v>
      </c>
      <c r="F75" s="16">
        <v>987</v>
      </c>
      <c r="G75" s="17">
        <v>22652.61</v>
      </c>
      <c r="H75" s="17">
        <v>3695.28</v>
      </c>
      <c r="I75" s="17">
        <v>22358126.07</v>
      </c>
      <c r="J75" s="15" t="s">
        <v>17</v>
      </c>
      <c r="K75" s="15" t="s">
        <v>18</v>
      </c>
      <c r="L75" s="9">
        <f>YEAR(E75)</f>
        <v>2022</v>
      </c>
      <c r="M75">
        <f t="shared" si="1"/>
        <v>3647241.3600000003</v>
      </c>
    </row>
    <row r="76" spans="1:13" x14ac:dyDescent="0.15">
      <c r="A76" s="12"/>
      <c r="B76" s="13" t="s">
        <v>632</v>
      </c>
      <c r="C76" s="14" t="s">
        <v>38</v>
      </c>
      <c r="D76" s="15" t="s">
        <v>70</v>
      </c>
      <c r="E76" s="15" t="s">
        <v>644</v>
      </c>
      <c r="F76" s="16">
        <v>317</v>
      </c>
      <c r="G76" s="17">
        <v>15822.44</v>
      </c>
      <c r="H76" s="17">
        <v>8639.1200000000008</v>
      </c>
      <c r="I76" s="17">
        <v>5015713.4800000004</v>
      </c>
      <c r="J76" s="15" t="s">
        <v>17</v>
      </c>
      <c r="K76" s="15" t="s">
        <v>18</v>
      </c>
      <c r="L76" s="9">
        <f>YEAR(E76)</f>
        <v>2022</v>
      </c>
      <c r="M76">
        <f t="shared" si="1"/>
        <v>2738601.04</v>
      </c>
    </row>
    <row r="77" spans="1:13" x14ac:dyDescent="0.15">
      <c r="A77" s="12"/>
      <c r="B77" s="13" t="s">
        <v>632</v>
      </c>
      <c r="C77" s="14" t="s">
        <v>79</v>
      </c>
      <c r="D77" s="15" t="s">
        <v>70</v>
      </c>
      <c r="E77" s="15" t="s">
        <v>579</v>
      </c>
      <c r="F77" s="16">
        <v>304</v>
      </c>
      <c r="G77" s="17">
        <v>35413.74</v>
      </c>
      <c r="H77" s="17">
        <v>2594.73</v>
      </c>
      <c r="I77" s="17">
        <v>10765776.960000001</v>
      </c>
      <c r="J77" s="15" t="s">
        <v>17</v>
      </c>
      <c r="K77" s="15" t="s">
        <v>18</v>
      </c>
      <c r="L77" s="9">
        <f>YEAR(E77)</f>
        <v>2022</v>
      </c>
      <c r="M77">
        <f t="shared" si="1"/>
        <v>788797.92</v>
      </c>
    </row>
    <row r="78" spans="1:13" x14ac:dyDescent="0.15">
      <c r="A78" s="12"/>
      <c r="B78" s="13" t="s">
        <v>632</v>
      </c>
      <c r="C78" s="14" t="s">
        <v>35</v>
      </c>
      <c r="D78" s="15" t="s">
        <v>26</v>
      </c>
      <c r="E78" s="15" t="s">
        <v>649</v>
      </c>
      <c r="F78" s="16">
        <v>142</v>
      </c>
      <c r="G78" s="17">
        <v>21985.66</v>
      </c>
      <c r="H78" s="17">
        <v>5963.85</v>
      </c>
      <c r="I78" s="17">
        <v>3121963.72</v>
      </c>
      <c r="J78" s="15" t="s">
        <v>17</v>
      </c>
      <c r="K78" s="15" t="s">
        <v>18</v>
      </c>
      <c r="L78" s="9">
        <f>YEAR(E78)</f>
        <v>2022</v>
      </c>
      <c r="M78">
        <f t="shared" si="1"/>
        <v>846866.70000000007</v>
      </c>
    </row>
    <row r="79" spans="1:13" x14ac:dyDescent="0.15">
      <c r="A79" s="12"/>
      <c r="B79" s="13" t="s">
        <v>632</v>
      </c>
      <c r="C79" s="14" t="s">
        <v>43</v>
      </c>
      <c r="D79" s="15" t="s">
        <v>26</v>
      </c>
      <c r="E79" s="15" t="s">
        <v>571</v>
      </c>
      <c r="F79" s="16">
        <v>911</v>
      </c>
      <c r="G79" s="17">
        <v>31182.01</v>
      </c>
      <c r="H79" s="17">
        <v>7840.19</v>
      </c>
      <c r="I79" s="17">
        <v>28406811.109999999</v>
      </c>
      <c r="J79" s="15" t="s">
        <v>28</v>
      </c>
      <c r="K79" s="15" t="s">
        <v>18</v>
      </c>
      <c r="L79" s="9">
        <f>YEAR(E79)</f>
        <v>2022</v>
      </c>
      <c r="M79">
        <f t="shared" si="1"/>
        <v>7142413.0899999999</v>
      </c>
    </row>
    <row r="80" spans="1:13" x14ac:dyDescent="0.15">
      <c r="A80" s="12"/>
      <c r="B80" s="13" t="s">
        <v>632</v>
      </c>
      <c r="C80" s="14" t="s">
        <v>31</v>
      </c>
      <c r="D80" s="15" t="s">
        <v>26</v>
      </c>
      <c r="E80" s="15" t="s">
        <v>655</v>
      </c>
      <c r="F80" s="16">
        <v>606</v>
      </c>
      <c r="G80" s="17">
        <v>17896.939999999999</v>
      </c>
      <c r="H80" s="17">
        <v>5326.45</v>
      </c>
      <c r="I80" s="17">
        <v>10845545.640000001</v>
      </c>
      <c r="J80" s="15" t="s">
        <v>17</v>
      </c>
      <c r="K80" s="15" t="s">
        <v>18</v>
      </c>
      <c r="L80" s="9">
        <f>YEAR(E80)</f>
        <v>2022</v>
      </c>
      <c r="M80">
        <f t="shared" si="1"/>
        <v>3227828.6999999997</v>
      </c>
    </row>
    <row r="81" spans="1:13" x14ac:dyDescent="0.15">
      <c r="A81" s="12"/>
      <c r="B81" s="13" t="s">
        <v>632</v>
      </c>
      <c r="C81" s="14" t="s">
        <v>19</v>
      </c>
      <c r="D81" s="15" t="s">
        <v>153</v>
      </c>
      <c r="E81" s="15" t="s">
        <v>567</v>
      </c>
      <c r="F81" s="16">
        <v>616</v>
      </c>
      <c r="G81" s="17">
        <v>33656.080000000002</v>
      </c>
      <c r="H81" s="17">
        <v>6167.99</v>
      </c>
      <c r="I81" s="17">
        <v>20732145.280000001</v>
      </c>
      <c r="J81" s="15" t="s">
        <v>17</v>
      </c>
      <c r="K81" s="15" t="s">
        <v>18</v>
      </c>
      <c r="L81" s="9">
        <f>YEAR(E81)</f>
        <v>2022</v>
      </c>
      <c r="M81">
        <f t="shared" si="1"/>
        <v>3799481.84</v>
      </c>
    </row>
    <row r="82" spans="1:13" x14ac:dyDescent="0.15">
      <c r="A82" s="12"/>
      <c r="B82" s="13" t="s">
        <v>632</v>
      </c>
      <c r="C82" s="14" t="s">
        <v>25</v>
      </c>
      <c r="D82" s="15" t="s">
        <v>153</v>
      </c>
      <c r="E82" s="15" t="s">
        <v>657</v>
      </c>
      <c r="F82" s="16">
        <v>722</v>
      </c>
      <c r="G82" s="17">
        <v>46749.58</v>
      </c>
      <c r="H82" s="17">
        <v>4146.22</v>
      </c>
      <c r="I82" s="17">
        <v>33753196.759999998</v>
      </c>
      <c r="J82" s="15" t="s">
        <v>28</v>
      </c>
      <c r="K82" s="15" t="s">
        <v>18</v>
      </c>
      <c r="L82" s="9">
        <f>YEAR(E82)</f>
        <v>2022</v>
      </c>
      <c r="M82">
        <f t="shared" si="1"/>
        <v>2993570.8400000003</v>
      </c>
    </row>
    <row r="83" spans="1:13" x14ac:dyDescent="0.15">
      <c r="A83" s="12"/>
      <c r="B83" s="13" t="s">
        <v>632</v>
      </c>
      <c r="C83" s="14" t="s">
        <v>38</v>
      </c>
      <c r="D83" s="15" t="s">
        <v>153</v>
      </c>
      <c r="E83" s="15" t="s">
        <v>279</v>
      </c>
      <c r="F83" s="16">
        <v>192</v>
      </c>
      <c r="G83" s="17">
        <v>23536.16</v>
      </c>
      <c r="H83" s="17">
        <v>2812.83</v>
      </c>
      <c r="I83" s="17">
        <v>4518942.7199999997</v>
      </c>
      <c r="J83" s="15" t="s">
        <v>17</v>
      </c>
      <c r="K83" s="15" t="s">
        <v>18</v>
      </c>
      <c r="L83" s="9">
        <f>YEAR(E83)</f>
        <v>2022</v>
      </c>
      <c r="M83">
        <f t="shared" si="1"/>
        <v>540063.36</v>
      </c>
    </row>
    <row r="84" spans="1:13" x14ac:dyDescent="0.15">
      <c r="A84" s="12"/>
      <c r="B84" s="13" t="s">
        <v>632</v>
      </c>
      <c r="C84" s="14" t="s">
        <v>23</v>
      </c>
      <c r="D84" s="15" t="s">
        <v>153</v>
      </c>
      <c r="E84" s="15" t="s">
        <v>659</v>
      </c>
      <c r="F84" s="16">
        <v>141</v>
      </c>
      <c r="G84" s="17">
        <v>44054.32</v>
      </c>
      <c r="H84" s="17">
        <v>9201.08</v>
      </c>
      <c r="I84" s="17">
        <v>6211659.1200000001</v>
      </c>
      <c r="J84" s="15" t="s">
        <v>17</v>
      </c>
      <c r="K84" s="15" t="s">
        <v>18</v>
      </c>
      <c r="L84" s="9">
        <f>YEAR(E84)</f>
        <v>2022</v>
      </c>
      <c r="M84">
        <f t="shared" si="1"/>
        <v>1297352.28</v>
      </c>
    </row>
    <row r="85" spans="1:13" x14ac:dyDescent="0.15">
      <c r="A85" s="12"/>
      <c r="B85" s="13" t="s">
        <v>632</v>
      </c>
      <c r="C85" s="14" t="s">
        <v>19</v>
      </c>
      <c r="D85" s="15" t="s">
        <v>107</v>
      </c>
      <c r="E85" s="15" t="s">
        <v>659</v>
      </c>
      <c r="F85" s="16">
        <v>379</v>
      </c>
      <c r="G85" s="17">
        <v>12061.24</v>
      </c>
      <c r="H85" s="17">
        <v>8671.99</v>
      </c>
      <c r="I85" s="17">
        <v>4571209.96</v>
      </c>
      <c r="J85" s="15" t="s">
        <v>22</v>
      </c>
      <c r="K85" s="15" t="s">
        <v>18</v>
      </c>
      <c r="L85" s="9">
        <f>YEAR(E85)</f>
        <v>2022</v>
      </c>
      <c r="M85">
        <f t="shared" si="1"/>
        <v>3286684.21</v>
      </c>
    </row>
    <row r="86" spans="1:13" x14ac:dyDescent="0.15">
      <c r="A86" s="12"/>
      <c r="B86" s="13" t="s">
        <v>632</v>
      </c>
      <c r="C86" s="14" t="s">
        <v>19</v>
      </c>
      <c r="D86" s="15" t="s">
        <v>153</v>
      </c>
      <c r="E86" s="15" t="s">
        <v>661</v>
      </c>
      <c r="F86" s="16">
        <v>221</v>
      </c>
      <c r="G86" s="17">
        <v>37345.15</v>
      </c>
      <c r="H86" s="17">
        <v>7906.31</v>
      </c>
      <c r="I86" s="17">
        <v>8253278.1500000004</v>
      </c>
      <c r="J86" s="15" t="s">
        <v>28</v>
      </c>
      <c r="K86" s="15" t="s">
        <v>18</v>
      </c>
      <c r="L86" s="9">
        <f>YEAR(E86)</f>
        <v>2022</v>
      </c>
      <c r="M86">
        <f t="shared" si="1"/>
        <v>1747294.51</v>
      </c>
    </row>
    <row r="87" spans="1:13" x14ac:dyDescent="0.15">
      <c r="A87" s="12"/>
      <c r="B87" s="13" t="s">
        <v>632</v>
      </c>
      <c r="C87" s="14" t="s">
        <v>14</v>
      </c>
      <c r="D87" s="15" t="s">
        <v>53</v>
      </c>
      <c r="E87" s="15" t="s">
        <v>96</v>
      </c>
      <c r="F87" s="16">
        <v>450</v>
      </c>
      <c r="G87" s="19">
        <v>47731.6</v>
      </c>
      <c r="H87" s="17">
        <v>3122.51</v>
      </c>
      <c r="I87" s="16">
        <v>21479220</v>
      </c>
      <c r="J87" s="15" t="s">
        <v>17</v>
      </c>
      <c r="K87" s="15" t="s">
        <v>18</v>
      </c>
      <c r="L87" s="9">
        <f>YEAR(E87)</f>
        <v>2022</v>
      </c>
      <c r="M87">
        <f t="shared" si="1"/>
        <v>1405129.5</v>
      </c>
    </row>
    <row r="88" spans="1:13" x14ac:dyDescent="0.15">
      <c r="A88" s="12"/>
      <c r="B88" s="13" t="s">
        <v>632</v>
      </c>
      <c r="C88" s="14" t="s">
        <v>19</v>
      </c>
      <c r="D88" s="15" t="s">
        <v>15</v>
      </c>
      <c r="E88" s="15" t="s">
        <v>510</v>
      </c>
      <c r="F88" s="16">
        <v>291</v>
      </c>
      <c r="G88" s="17">
        <v>24012.91</v>
      </c>
      <c r="H88" s="17">
        <v>8318.99</v>
      </c>
      <c r="I88" s="17">
        <v>6987756.8099999996</v>
      </c>
      <c r="J88" s="15" t="s">
        <v>17</v>
      </c>
      <c r="K88" s="15" t="s">
        <v>18</v>
      </c>
      <c r="L88" s="9">
        <f>YEAR(E88)</f>
        <v>2022</v>
      </c>
      <c r="M88">
        <f t="shared" si="1"/>
        <v>2420826.09</v>
      </c>
    </row>
    <row r="89" spans="1:13" x14ac:dyDescent="0.15">
      <c r="A89" s="12"/>
      <c r="B89" s="13" t="s">
        <v>632</v>
      </c>
      <c r="C89" s="14" t="s">
        <v>57</v>
      </c>
      <c r="D89" s="15" t="s">
        <v>15</v>
      </c>
      <c r="E89" s="15" t="s">
        <v>51</v>
      </c>
      <c r="F89" s="16">
        <v>805</v>
      </c>
      <c r="G89" s="17">
        <v>18006.64</v>
      </c>
      <c r="H89" s="17">
        <v>5923.04</v>
      </c>
      <c r="I89" s="19">
        <v>14495345.199999999</v>
      </c>
      <c r="J89" s="15" t="s">
        <v>22</v>
      </c>
      <c r="K89" s="15" t="s">
        <v>18</v>
      </c>
      <c r="L89" s="9">
        <f>YEAR(E89)</f>
        <v>2022</v>
      </c>
      <c r="M89">
        <f t="shared" si="1"/>
        <v>4768047.2</v>
      </c>
    </row>
    <row r="90" spans="1:13" x14ac:dyDescent="0.15">
      <c r="A90" s="12"/>
      <c r="B90" s="13" t="s">
        <v>632</v>
      </c>
      <c r="C90" s="14" t="s">
        <v>38</v>
      </c>
      <c r="D90" s="15" t="s">
        <v>139</v>
      </c>
      <c r="E90" s="15" t="s">
        <v>679</v>
      </c>
      <c r="F90" s="16">
        <v>654</v>
      </c>
      <c r="G90" s="17">
        <v>30960.47</v>
      </c>
      <c r="H90" s="17">
        <v>9761.35</v>
      </c>
      <c r="I90" s="17">
        <v>20248147.379999999</v>
      </c>
      <c r="J90" s="15" t="s">
        <v>17</v>
      </c>
      <c r="K90" s="15" t="s">
        <v>18</v>
      </c>
      <c r="L90" s="9">
        <f>YEAR(E90)</f>
        <v>2022</v>
      </c>
      <c r="M90">
        <f t="shared" si="1"/>
        <v>6383922.9000000004</v>
      </c>
    </row>
    <row r="91" spans="1:13" x14ac:dyDescent="0.15">
      <c r="A91" s="12"/>
      <c r="B91" s="13" t="s">
        <v>632</v>
      </c>
      <c r="C91" s="14" t="s">
        <v>31</v>
      </c>
      <c r="D91" s="15" t="s">
        <v>107</v>
      </c>
      <c r="E91" s="15" t="s">
        <v>684</v>
      </c>
      <c r="F91" s="16">
        <v>430</v>
      </c>
      <c r="G91" s="17">
        <v>11566.78</v>
      </c>
      <c r="H91" s="17">
        <v>7435.68</v>
      </c>
      <c r="I91" s="19">
        <v>4973715.4000000004</v>
      </c>
      <c r="J91" s="15" t="s">
        <v>17</v>
      </c>
      <c r="K91" s="15" t="s">
        <v>18</v>
      </c>
      <c r="L91" s="9">
        <f>YEAR(E91)</f>
        <v>2022</v>
      </c>
      <c r="M91">
        <f t="shared" si="1"/>
        <v>3197342.4</v>
      </c>
    </row>
    <row r="92" spans="1:13" x14ac:dyDescent="0.15">
      <c r="A92" s="12"/>
      <c r="B92" s="13" t="s">
        <v>632</v>
      </c>
      <c r="C92" s="14" t="s">
        <v>19</v>
      </c>
      <c r="D92" s="15" t="s">
        <v>107</v>
      </c>
      <c r="E92" s="15" t="s">
        <v>309</v>
      </c>
      <c r="F92" s="16">
        <v>709</v>
      </c>
      <c r="G92" s="17">
        <v>25837.66</v>
      </c>
      <c r="H92" s="17">
        <v>7576.26</v>
      </c>
      <c r="I92" s="17">
        <v>18318900.940000001</v>
      </c>
      <c r="J92" s="15" t="s">
        <v>30</v>
      </c>
      <c r="K92" s="15" t="s">
        <v>18</v>
      </c>
      <c r="L92" s="9">
        <f>YEAR(E92)</f>
        <v>2022</v>
      </c>
      <c r="M92">
        <f t="shared" si="1"/>
        <v>5371568.3399999999</v>
      </c>
    </row>
    <row r="93" spans="1:13" x14ac:dyDescent="0.15">
      <c r="A93" s="12"/>
      <c r="B93" s="13" t="s">
        <v>632</v>
      </c>
      <c r="C93" s="14" t="s">
        <v>31</v>
      </c>
      <c r="D93" s="15" t="s">
        <v>107</v>
      </c>
      <c r="E93" s="15" t="s">
        <v>290</v>
      </c>
      <c r="F93" s="16">
        <v>737</v>
      </c>
      <c r="G93" s="17">
        <v>43567.37</v>
      </c>
      <c r="H93" s="17">
        <v>9198.56</v>
      </c>
      <c r="I93" s="17">
        <v>32109151.690000001</v>
      </c>
      <c r="J93" s="15" t="s">
        <v>28</v>
      </c>
      <c r="K93" s="15" t="s">
        <v>18</v>
      </c>
      <c r="L93" s="9">
        <f>YEAR(E93)</f>
        <v>2022</v>
      </c>
      <c r="M93">
        <f t="shared" si="1"/>
        <v>6779338.7199999997</v>
      </c>
    </row>
    <row r="94" spans="1:13" x14ac:dyDescent="0.15">
      <c r="A94" s="12"/>
      <c r="B94" s="13" t="s">
        <v>632</v>
      </c>
      <c r="C94" s="14" t="s">
        <v>25</v>
      </c>
      <c r="D94" s="15" t="s">
        <v>107</v>
      </c>
      <c r="E94" s="15" t="s">
        <v>476</v>
      </c>
      <c r="F94" s="16">
        <v>272</v>
      </c>
      <c r="G94" s="19">
        <v>13913.4</v>
      </c>
      <c r="H94" s="17">
        <v>8925.23</v>
      </c>
      <c r="I94" s="19">
        <v>3784444.8</v>
      </c>
      <c r="J94" s="15" t="s">
        <v>17</v>
      </c>
      <c r="K94" s="15" t="s">
        <v>18</v>
      </c>
      <c r="L94" s="9">
        <f>YEAR(E94)</f>
        <v>2022</v>
      </c>
      <c r="M94">
        <f t="shared" si="1"/>
        <v>2427662.56</v>
      </c>
    </row>
    <row r="95" spans="1:13" x14ac:dyDescent="0.15">
      <c r="A95" s="12"/>
      <c r="B95" s="13" t="s">
        <v>632</v>
      </c>
      <c r="C95" s="14" t="s">
        <v>38</v>
      </c>
      <c r="D95" s="15" t="s">
        <v>107</v>
      </c>
      <c r="E95" s="15" t="s">
        <v>291</v>
      </c>
      <c r="F95" s="16">
        <v>995</v>
      </c>
      <c r="G95" s="17">
        <v>19174.71</v>
      </c>
      <c r="H95" s="17">
        <v>7622.54</v>
      </c>
      <c r="I95" s="17">
        <v>19078836.449999999</v>
      </c>
      <c r="J95" s="15" t="s">
        <v>30</v>
      </c>
      <c r="K95" s="15" t="s">
        <v>18</v>
      </c>
      <c r="L95" s="9">
        <f>YEAR(E95)</f>
        <v>2022</v>
      </c>
      <c r="M95">
        <f t="shared" si="1"/>
        <v>7584427.2999999998</v>
      </c>
    </row>
    <row r="96" spans="1:13" x14ac:dyDescent="0.15">
      <c r="A96" s="12"/>
      <c r="B96" s="13" t="s">
        <v>632</v>
      </c>
      <c r="C96" s="14" t="s">
        <v>23</v>
      </c>
      <c r="D96" s="15" t="s">
        <v>107</v>
      </c>
      <c r="E96" s="15" t="s">
        <v>688</v>
      </c>
      <c r="F96" s="16">
        <v>951</v>
      </c>
      <c r="G96" s="17">
        <v>18275.439999999999</v>
      </c>
      <c r="H96" s="17">
        <v>8704.65</v>
      </c>
      <c r="I96" s="17">
        <v>17379943.440000001</v>
      </c>
      <c r="J96" s="15" t="s">
        <v>17</v>
      </c>
      <c r="K96" s="15" t="s">
        <v>18</v>
      </c>
      <c r="L96" s="9">
        <f>YEAR(E96)</f>
        <v>2022</v>
      </c>
      <c r="M96">
        <f t="shared" si="1"/>
        <v>8278122.1499999994</v>
      </c>
    </row>
    <row r="97" spans="1:13" x14ac:dyDescent="0.15">
      <c r="A97" s="12"/>
      <c r="B97" s="13" t="s">
        <v>632</v>
      </c>
      <c r="C97" s="14" t="s">
        <v>43</v>
      </c>
      <c r="D97" s="15" t="s">
        <v>114</v>
      </c>
      <c r="E97" s="15" t="s">
        <v>691</v>
      </c>
      <c r="F97" s="16">
        <v>579</v>
      </c>
      <c r="G97" s="19">
        <v>46260.7</v>
      </c>
      <c r="H97" s="17">
        <v>3869.83</v>
      </c>
      <c r="I97" s="19">
        <v>26784945.300000001</v>
      </c>
      <c r="J97" s="15" t="s">
        <v>30</v>
      </c>
      <c r="K97" s="15" t="s">
        <v>18</v>
      </c>
      <c r="L97" s="9">
        <f>YEAR(E97)</f>
        <v>2022</v>
      </c>
      <c r="M97">
        <f t="shared" si="1"/>
        <v>2240631.5699999998</v>
      </c>
    </row>
    <row r="98" spans="1:13" x14ac:dyDescent="0.15">
      <c r="A98" s="12"/>
      <c r="B98" s="13" t="s">
        <v>632</v>
      </c>
      <c r="C98" s="14" t="s">
        <v>25</v>
      </c>
      <c r="D98" s="15" t="s">
        <v>114</v>
      </c>
      <c r="E98" s="15" t="s">
        <v>696</v>
      </c>
      <c r="F98" s="16">
        <v>611</v>
      </c>
      <c r="G98" s="17">
        <v>32507.66</v>
      </c>
      <c r="H98" s="17">
        <v>5691.95</v>
      </c>
      <c r="I98" s="17">
        <v>19862180.260000002</v>
      </c>
      <c r="J98" s="15" t="s">
        <v>28</v>
      </c>
      <c r="K98" s="15" t="s">
        <v>18</v>
      </c>
      <c r="L98" s="9">
        <f>YEAR(E98)</f>
        <v>2022</v>
      </c>
      <c r="M98">
        <f t="shared" si="1"/>
        <v>3477781.4499999997</v>
      </c>
    </row>
    <row r="99" spans="1:13" x14ac:dyDescent="0.15">
      <c r="A99" s="12"/>
      <c r="B99" s="13" t="s">
        <v>632</v>
      </c>
      <c r="C99" s="14" t="s">
        <v>57</v>
      </c>
      <c r="D99" s="15" t="s">
        <v>68</v>
      </c>
      <c r="E99" s="15" t="s">
        <v>60</v>
      </c>
      <c r="F99" s="16">
        <v>309</v>
      </c>
      <c r="G99" s="17">
        <v>17372.98</v>
      </c>
      <c r="H99" s="19">
        <v>4275.1000000000004</v>
      </c>
      <c r="I99" s="17">
        <v>5368250.82</v>
      </c>
      <c r="J99" s="15" t="s">
        <v>17</v>
      </c>
      <c r="K99" s="15" t="s">
        <v>18</v>
      </c>
      <c r="L99" s="9">
        <f>YEAR(E99)</f>
        <v>2022</v>
      </c>
      <c r="M99">
        <f t="shared" si="1"/>
        <v>1321005.9000000001</v>
      </c>
    </row>
    <row r="100" spans="1:13" x14ac:dyDescent="0.15">
      <c r="A100" s="12"/>
      <c r="B100" s="13" t="s">
        <v>632</v>
      </c>
      <c r="C100" s="14" t="s">
        <v>43</v>
      </c>
      <c r="D100" s="15" t="s">
        <v>68</v>
      </c>
      <c r="E100" s="15" t="s">
        <v>704</v>
      </c>
      <c r="F100" s="16">
        <v>727</v>
      </c>
      <c r="G100" s="17">
        <v>38141.67</v>
      </c>
      <c r="H100" s="17">
        <v>2962.13</v>
      </c>
      <c r="I100" s="17">
        <v>27728994.09</v>
      </c>
      <c r="J100" s="15" t="s">
        <v>17</v>
      </c>
      <c r="K100" s="15" t="s">
        <v>18</v>
      </c>
      <c r="L100" s="9">
        <f>YEAR(E100)</f>
        <v>2022</v>
      </c>
      <c r="M100">
        <f t="shared" si="1"/>
        <v>2153468.5100000002</v>
      </c>
    </row>
    <row r="101" spans="1:13" x14ac:dyDescent="0.15">
      <c r="A101" s="30" t="s">
        <v>632</v>
      </c>
      <c r="B101" s="13" t="s">
        <v>632</v>
      </c>
      <c r="C101" s="14" t="s">
        <v>35</v>
      </c>
      <c r="D101" s="15" t="s">
        <v>89</v>
      </c>
      <c r="E101" s="15" t="s">
        <v>633</v>
      </c>
      <c r="F101" s="16">
        <v>433</v>
      </c>
      <c r="G101" s="17">
        <v>45138.76</v>
      </c>
      <c r="H101" s="17">
        <v>8830.9599999999991</v>
      </c>
      <c r="I101" s="17">
        <v>19545083.079999998</v>
      </c>
      <c r="J101" s="15" t="s">
        <v>30</v>
      </c>
      <c r="K101" s="15" t="s">
        <v>18</v>
      </c>
      <c r="L101" s="9">
        <f>YEAR(E101)</f>
        <v>2023</v>
      </c>
      <c r="M101">
        <f t="shared" si="1"/>
        <v>3823805.6799999997</v>
      </c>
    </row>
    <row r="102" spans="1:13" x14ac:dyDescent="0.15">
      <c r="A102" s="12"/>
      <c r="B102" s="13" t="s">
        <v>632</v>
      </c>
      <c r="C102" s="14" t="s">
        <v>43</v>
      </c>
      <c r="D102" s="15" t="s">
        <v>89</v>
      </c>
      <c r="E102" s="15" t="s">
        <v>386</v>
      </c>
      <c r="F102" s="16">
        <v>721</v>
      </c>
      <c r="G102" s="17">
        <v>31443.05</v>
      </c>
      <c r="H102" s="17">
        <v>5863.92</v>
      </c>
      <c r="I102" s="17">
        <v>22670439.050000001</v>
      </c>
      <c r="J102" s="15" t="s">
        <v>17</v>
      </c>
      <c r="K102" s="15" t="s">
        <v>18</v>
      </c>
      <c r="L102" s="9">
        <f>YEAR(E102)</f>
        <v>2023</v>
      </c>
      <c r="M102">
        <f t="shared" si="1"/>
        <v>4227886.32</v>
      </c>
    </row>
    <row r="103" spans="1:13" x14ac:dyDescent="0.15">
      <c r="A103" s="12"/>
      <c r="B103" s="13" t="s">
        <v>632</v>
      </c>
      <c r="C103" s="14" t="s">
        <v>35</v>
      </c>
      <c r="D103" s="15" t="s">
        <v>89</v>
      </c>
      <c r="E103" s="15" t="s">
        <v>637</v>
      </c>
      <c r="F103" s="16">
        <v>160</v>
      </c>
      <c r="G103" s="17">
        <v>17098.75</v>
      </c>
      <c r="H103" s="17">
        <v>4551.93</v>
      </c>
      <c r="I103" s="16">
        <v>2735800</v>
      </c>
      <c r="J103" s="15" t="s">
        <v>17</v>
      </c>
      <c r="K103" s="15" t="s">
        <v>18</v>
      </c>
      <c r="L103" s="9">
        <f>YEAR(E103)</f>
        <v>2023</v>
      </c>
      <c r="M103">
        <f t="shared" si="1"/>
        <v>728308.8</v>
      </c>
    </row>
    <row r="104" spans="1:13" x14ac:dyDescent="0.15">
      <c r="A104" s="12"/>
      <c r="B104" s="13" t="s">
        <v>632</v>
      </c>
      <c r="C104" s="14" t="s">
        <v>79</v>
      </c>
      <c r="D104" s="15" t="s">
        <v>70</v>
      </c>
      <c r="E104" s="15" t="s">
        <v>640</v>
      </c>
      <c r="F104" s="16">
        <v>131</v>
      </c>
      <c r="G104" s="17">
        <v>33882.160000000003</v>
      </c>
      <c r="H104" s="17">
        <v>5708.85</v>
      </c>
      <c r="I104" s="17">
        <v>4438562.96</v>
      </c>
      <c r="J104" s="15" t="s">
        <v>17</v>
      </c>
      <c r="K104" s="15" t="s">
        <v>18</v>
      </c>
      <c r="L104" s="9">
        <f>YEAR(E104)</f>
        <v>2023</v>
      </c>
      <c r="M104">
        <f t="shared" si="1"/>
        <v>747859.35000000009</v>
      </c>
    </row>
    <row r="105" spans="1:13" x14ac:dyDescent="0.15">
      <c r="A105" s="12"/>
      <c r="B105" s="13" t="s">
        <v>632</v>
      </c>
      <c r="C105" s="14" t="s">
        <v>25</v>
      </c>
      <c r="D105" s="15" t="s">
        <v>26</v>
      </c>
      <c r="E105" s="15" t="s">
        <v>651</v>
      </c>
      <c r="F105" s="16">
        <v>661</v>
      </c>
      <c r="G105" s="17">
        <v>39910.720000000001</v>
      </c>
      <c r="H105" s="17">
        <v>6227.46</v>
      </c>
      <c r="I105" s="17">
        <v>26380985.920000002</v>
      </c>
      <c r="J105" s="15" t="s">
        <v>30</v>
      </c>
      <c r="K105" s="15" t="s">
        <v>18</v>
      </c>
      <c r="L105" s="9">
        <f>YEAR(E105)</f>
        <v>2023</v>
      </c>
      <c r="M105">
        <f t="shared" si="1"/>
        <v>4116351.06</v>
      </c>
    </row>
    <row r="106" spans="1:13" x14ac:dyDescent="0.15">
      <c r="A106" s="12"/>
      <c r="B106" s="13" t="s">
        <v>632</v>
      </c>
      <c r="C106" s="14" t="s">
        <v>14</v>
      </c>
      <c r="D106" s="15" t="s">
        <v>26</v>
      </c>
      <c r="E106" s="15" t="s">
        <v>652</v>
      </c>
      <c r="F106" s="16">
        <v>563</v>
      </c>
      <c r="G106" s="17">
        <v>21775.759999999998</v>
      </c>
      <c r="H106" s="17">
        <v>2517.02</v>
      </c>
      <c r="I106" s="17">
        <v>12259752.880000001</v>
      </c>
      <c r="J106" s="15" t="s">
        <v>17</v>
      </c>
      <c r="K106" s="15" t="s">
        <v>18</v>
      </c>
      <c r="L106" s="9">
        <f>YEAR(E106)</f>
        <v>2023</v>
      </c>
      <c r="M106">
        <f t="shared" si="1"/>
        <v>1417082.26</v>
      </c>
    </row>
    <row r="107" spans="1:13" x14ac:dyDescent="0.15">
      <c r="A107" s="12"/>
      <c r="B107" s="13" t="s">
        <v>632</v>
      </c>
      <c r="C107" s="14" t="s">
        <v>19</v>
      </c>
      <c r="D107" s="15" t="s">
        <v>26</v>
      </c>
      <c r="E107" s="15" t="s">
        <v>654</v>
      </c>
      <c r="F107" s="16">
        <v>476</v>
      </c>
      <c r="G107" s="17">
        <v>46857.65</v>
      </c>
      <c r="H107" s="17">
        <v>3468.63</v>
      </c>
      <c r="I107" s="19">
        <v>22304241.399999999</v>
      </c>
      <c r="J107" s="15" t="s">
        <v>17</v>
      </c>
      <c r="K107" s="15" t="s">
        <v>18</v>
      </c>
      <c r="L107" s="9">
        <f>YEAR(E107)</f>
        <v>2023</v>
      </c>
      <c r="M107">
        <f t="shared" si="1"/>
        <v>1651067.8800000001</v>
      </c>
    </row>
    <row r="108" spans="1:13" x14ac:dyDescent="0.15">
      <c r="A108" s="12"/>
      <c r="B108" s="13" t="s">
        <v>632</v>
      </c>
      <c r="C108" s="14" t="s">
        <v>38</v>
      </c>
      <c r="D108" s="15" t="s">
        <v>153</v>
      </c>
      <c r="E108" s="15" t="s">
        <v>658</v>
      </c>
      <c r="F108" s="16">
        <v>763</v>
      </c>
      <c r="G108" s="17">
        <v>44083.97</v>
      </c>
      <c r="H108" s="17">
        <v>2597.65</v>
      </c>
      <c r="I108" s="17">
        <v>33636069.109999999</v>
      </c>
      <c r="J108" s="15" t="s">
        <v>28</v>
      </c>
      <c r="K108" s="15" t="s">
        <v>18</v>
      </c>
      <c r="L108" s="9">
        <f>YEAR(E108)</f>
        <v>2023</v>
      </c>
      <c r="M108">
        <f t="shared" si="1"/>
        <v>1982006.95</v>
      </c>
    </row>
    <row r="109" spans="1:13" x14ac:dyDescent="0.15">
      <c r="A109" s="12"/>
      <c r="B109" s="13" t="s">
        <v>632</v>
      </c>
      <c r="C109" s="14" t="s">
        <v>31</v>
      </c>
      <c r="D109" s="15" t="s">
        <v>153</v>
      </c>
      <c r="E109" s="15" t="s">
        <v>607</v>
      </c>
      <c r="F109" s="16">
        <v>741</v>
      </c>
      <c r="G109" s="17">
        <v>28606.38</v>
      </c>
      <c r="H109" s="17">
        <v>6771.24</v>
      </c>
      <c r="I109" s="17">
        <v>21197327.579999998</v>
      </c>
      <c r="J109" s="15" t="s">
        <v>17</v>
      </c>
      <c r="K109" s="15" t="s">
        <v>18</v>
      </c>
      <c r="L109" s="9">
        <f>YEAR(E109)</f>
        <v>2023</v>
      </c>
      <c r="M109">
        <f t="shared" si="1"/>
        <v>5017488.84</v>
      </c>
    </row>
    <row r="110" spans="1:13" x14ac:dyDescent="0.15">
      <c r="A110" s="12"/>
      <c r="B110" s="13" t="s">
        <v>632</v>
      </c>
      <c r="C110" s="14" t="s">
        <v>38</v>
      </c>
      <c r="D110" s="15" t="s">
        <v>153</v>
      </c>
      <c r="E110" s="15" t="s">
        <v>206</v>
      </c>
      <c r="F110" s="16">
        <v>131</v>
      </c>
      <c r="G110" s="17">
        <v>48048.54</v>
      </c>
      <c r="H110" s="17">
        <v>3265.53</v>
      </c>
      <c r="I110" s="17">
        <v>6294358.7400000002</v>
      </c>
      <c r="J110" s="15" t="s">
        <v>30</v>
      </c>
      <c r="K110" s="15" t="s">
        <v>18</v>
      </c>
      <c r="L110" s="9">
        <f>YEAR(E110)</f>
        <v>2023</v>
      </c>
      <c r="M110">
        <f t="shared" si="1"/>
        <v>427784.43000000005</v>
      </c>
    </row>
    <row r="111" spans="1:13" x14ac:dyDescent="0.15">
      <c r="A111" s="12"/>
      <c r="B111" s="13" t="s">
        <v>632</v>
      </c>
      <c r="C111" s="14" t="s">
        <v>43</v>
      </c>
      <c r="D111" s="15" t="s">
        <v>153</v>
      </c>
      <c r="E111" s="15" t="s">
        <v>663</v>
      </c>
      <c r="F111" s="16">
        <v>893</v>
      </c>
      <c r="G111" s="17">
        <v>13305.27</v>
      </c>
      <c r="H111" s="17">
        <v>7510.66</v>
      </c>
      <c r="I111" s="17">
        <v>11881606.109999999</v>
      </c>
      <c r="J111" s="15" t="s">
        <v>28</v>
      </c>
      <c r="K111" s="15" t="s">
        <v>18</v>
      </c>
      <c r="L111" s="9">
        <f>YEAR(E111)</f>
        <v>2023</v>
      </c>
      <c r="M111">
        <f t="shared" si="1"/>
        <v>6707019.3799999999</v>
      </c>
    </row>
    <row r="112" spans="1:13" x14ac:dyDescent="0.15">
      <c r="A112" s="12"/>
      <c r="B112" s="13" t="s">
        <v>632</v>
      </c>
      <c r="C112" s="14" t="s">
        <v>23</v>
      </c>
      <c r="D112" s="15" t="s">
        <v>153</v>
      </c>
      <c r="E112" s="15" t="s">
        <v>664</v>
      </c>
      <c r="F112" s="16">
        <v>238</v>
      </c>
      <c r="G112" s="16">
        <v>11883</v>
      </c>
      <c r="H112" s="17">
        <v>2853.43</v>
      </c>
      <c r="I112" s="16">
        <v>2828154</v>
      </c>
      <c r="J112" s="15" t="s">
        <v>17</v>
      </c>
      <c r="K112" s="15" t="s">
        <v>18</v>
      </c>
      <c r="L112" s="9">
        <f>YEAR(E112)</f>
        <v>2023</v>
      </c>
      <c r="M112">
        <f t="shared" si="1"/>
        <v>679116.34</v>
      </c>
    </row>
    <row r="113" spans="1:13" x14ac:dyDescent="0.15">
      <c r="A113" s="12"/>
      <c r="B113" s="13" t="s">
        <v>632</v>
      </c>
      <c r="C113" s="14" t="s">
        <v>35</v>
      </c>
      <c r="D113" s="15" t="s">
        <v>53</v>
      </c>
      <c r="E113" s="15" t="s">
        <v>665</v>
      </c>
      <c r="F113" s="16">
        <v>709</v>
      </c>
      <c r="G113" s="19">
        <v>23947.5</v>
      </c>
      <c r="H113" s="17">
        <v>6158.33</v>
      </c>
      <c r="I113" s="19">
        <v>16978777.5</v>
      </c>
      <c r="J113" s="15" t="s">
        <v>30</v>
      </c>
      <c r="K113" s="15" t="s">
        <v>18</v>
      </c>
      <c r="L113" s="9">
        <f>YEAR(E113)</f>
        <v>2023</v>
      </c>
      <c r="M113">
        <f t="shared" si="1"/>
        <v>4366255.97</v>
      </c>
    </row>
    <row r="114" spans="1:13" x14ac:dyDescent="0.15">
      <c r="A114" s="12"/>
      <c r="B114" s="13" t="s">
        <v>632</v>
      </c>
      <c r="C114" s="14" t="s">
        <v>35</v>
      </c>
      <c r="D114" s="15" t="s">
        <v>53</v>
      </c>
      <c r="E114" s="15" t="s">
        <v>666</v>
      </c>
      <c r="F114" s="16">
        <v>531</v>
      </c>
      <c r="G114" s="17">
        <v>32237.75</v>
      </c>
      <c r="H114" s="17">
        <v>7713.03</v>
      </c>
      <c r="I114" s="17">
        <v>17118245.25</v>
      </c>
      <c r="J114" s="15" t="s">
        <v>22</v>
      </c>
      <c r="K114" s="15" t="s">
        <v>18</v>
      </c>
      <c r="L114" s="9">
        <f>YEAR(E114)</f>
        <v>2023</v>
      </c>
      <c r="M114">
        <f t="shared" si="1"/>
        <v>4095618.9299999997</v>
      </c>
    </row>
    <row r="115" spans="1:13" x14ac:dyDescent="0.15">
      <c r="A115" s="12"/>
      <c r="B115" s="13" t="s">
        <v>632</v>
      </c>
      <c r="C115" s="14" t="s">
        <v>31</v>
      </c>
      <c r="D115" s="15" t="s">
        <v>53</v>
      </c>
      <c r="E115" s="15" t="s">
        <v>539</v>
      </c>
      <c r="F115" s="16">
        <v>952</v>
      </c>
      <c r="G115" s="17">
        <v>15607.62</v>
      </c>
      <c r="H115" s="17">
        <v>5086.57</v>
      </c>
      <c r="I115" s="17">
        <v>14858454.24</v>
      </c>
      <c r="J115" s="15" t="s">
        <v>17</v>
      </c>
      <c r="K115" s="15" t="s">
        <v>18</v>
      </c>
      <c r="L115" s="9">
        <f>YEAR(E115)</f>
        <v>2023</v>
      </c>
      <c r="M115">
        <f t="shared" si="1"/>
        <v>4842414.6399999997</v>
      </c>
    </row>
    <row r="116" spans="1:13" x14ac:dyDescent="0.15">
      <c r="A116" s="12"/>
      <c r="B116" s="13" t="s">
        <v>632</v>
      </c>
      <c r="C116" s="14" t="s">
        <v>38</v>
      </c>
      <c r="D116" s="15" t="s">
        <v>53</v>
      </c>
      <c r="E116" s="15" t="s">
        <v>321</v>
      </c>
      <c r="F116" s="16">
        <v>196</v>
      </c>
      <c r="G116" s="19">
        <v>39859.199999999997</v>
      </c>
      <c r="H116" s="17">
        <v>7877.05</v>
      </c>
      <c r="I116" s="19">
        <v>7812403.2000000002</v>
      </c>
      <c r="J116" s="15" t="s">
        <v>17</v>
      </c>
      <c r="K116" s="15" t="s">
        <v>18</v>
      </c>
      <c r="L116" s="9">
        <f>YEAR(E116)</f>
        <v>2023</v>
      </c>
      <c r="M116">
        <f t="shared" si="1"/>
        <v>1543901.8</v>
      </c>
    </row>
    <row r="117" spans="1:13" x14ac:dyDescent="0.15">
      <c r="A117" s="12"/>
      <c r="B117" s="13" t="s">
        <v>632</v>
      </c>
      <c r="C117" s="14" t="s">
        <v>79</v>
      </c>
      <c r="D117" s="15" t="s">
        <v>53</v>
      </c>
      <c r="E117" s="15" t="s">
        <v>667</v>
      </c>
      <c r="F117" s="16">
        <v>408</v>
      </c>
      <c r="G117" s="17">
        <v>39571.269999999997</v>
      </c>
      <c r="H117" s="17">
        <v>5584.52</v>
      </c>
      <c r="I117" s="17">
        <v>16145078.16</v>
      </c>
      <c r="J117" s="15" t="s">
        <v>17</v>
      </c>
      <c r="K117" s="15" t="s">
        <v>18</v>
      </c>
      <c r="L117" s="9">
        <f>YEAR(E117)</f>
        <v>2023</v>
      </c>
      <c r="M117">
        <f t="shared" si="1"/>
        <v>2278484.16</v>
      </c>
    </row>
    <row r="118" spans="1:13" x14ac:dyDescent="0.15">
      <c r="A118" s="12"/>
      <c r="B118" s="13" t="s">
        <v>632</v>
      </c>
      <c r="C118" s="14" t="s">
        <v>43</v>
      </c>
      <c r="D118" s="15" t="s">
        <v>15</v>
      </c>
      <c r="E118" s="15" t="s">
        <v>676</v>
      </c>
      <c r="F118" s="16">
        <v>785</v>
      </c>
      <c r="G118" s="16">
        <v>19604</v>
      </c>
      <c r="H118" s="17">
        <v>4682.57</v>
      </c>
      <c r="I118" s="16">
        <v>15389140</v>
      </c>
      <c r="J118" s="15" t="s">
        <v>17</v>
      </c>
      <c r="K118" s="15" t="s">
        <v>18</v>
      </c>
      <c r="L118" s="9">
        <f>YEAR(E118)</f>
        <v>2023</v>
      </c>
      <c r="M118">
        <f t="shared" si="1"/>
        <v>3675817.4499999997</v>
      </c>
    </row>
    <row r="119" spans="1:13" x14ac:dyDescent="0.15">
      <c r="A119" s="12"/>
      <c r="B119" s="13" t="s">
        <v>632</v>
      </c>
      <c r="C119" s="14" t="s">
        <v>57</v>
      </c>
      <c r="D119" s="15" t="s">
        <v>15</v>
      </c>
      <c r="E119" s="15" t="s">
        <v>677</v>
      </c>
      <c r="F119" s="16">
        <v>447</v>
      </c>
      <c r="G119" s="19">
        <v>49544.5</v>
      </c>
      <c r="H119" s="17">
        <v>6381.92</v>
      </c>
      <c r="I119" s="19">
        <v>22146391.5</v>
      </c>
      <c r="J119" s="15" t="s">
        <v>17</v>
      </c>
      <c r="K119" s="15" t="s">
        <v>18</v>
      </c>
      <c r="L119" s="9">
        <f>YEAR(E119)</f>
        <v>2023</v>
      </c>
      <c r="M119">
        <f t="shared" si="1"/>
        <v>2852718.24</v>
      </c>
    </row>
    <row r="120" spans="1:13" x14ac:dyDescent="0.15">
      <c r="A120" s="12"/>
      <c r="B120" s="13" t="s">
        <v>632</v>
      </c>
      <c r="C120" s="14" t="s">
        <v>31</v>
      </c>
      <c r="D120" s="15" t="s">
        <v>15</v>
      </c>
      <c r="E120" s="15" t="s">
        <v>294</v>
      </c>
      <c r="F120" s="16">
        <v>972</v>
      </c>
      <c r="G120" s="17">
        <v>28660.03</v>
      </c>
      <c r="H120" s="17">
        <v>8220.25</v>
      </c>
      <c r="I120" s="17">
        <v>27857549.16</v>
      </c>
      <c r="J120" s="15" t="s">
        <v>28</v>
      </c>
      <c r="K120" s="15" t="s">
        <v>18</v>
      </c>
      <c r="L120" s="9">
        <f>YEAR(E120)</f>
        <v>2023</v>
      </c>
      <c r="M120">
        <f t="shared" si="1"/>
        <v>7990083</v>
      </c>
    </row>
    <row r="121" spans="1:13" x14ac:dyDescent="0.15">
      <c r="A121" s="12"/>
      <c r="B121" s="13" t="s">
        <v>632</v>
      </c>
      <c r="C121" s="14" t="s">
        <v>14</v>
      </c>
      <c r="D121" s="15" t="s">
        <v>15</v>
      </c>
      <c r="E121" s="15" t="s">
        <v>678</v>
      </c>
      <c r="F121" s="16">
        <v>246</v>
      </c>
      <c r="G121" s="17">
        <v>39938.99</v>
      </c>
      <c r="H121" s="17">
        <v>9327.0499999999993</v>
      </c>
      <c r="I121" s="17">
        <v>9824991.5399999991</v>
      </c>
      <c r="J121" s="15" t="s">
        <v>17</v>
      </c>
      <c r="K121" s="15" t="s">
        <v>18</v>
      </c>
      <c r="L121" s="9">
        <f>YEAR(E121)</f>
        <v>2023</v>
      </c>
      <c r="M121">
        <f t="shared" si="1"/>
        <v>2294454.2999999998</v>
      </c>
    </row>
    <row r="122" spans="1:13" x14ac:dyDescent="0.15">
      <c r="A122" s="12"/>
      <c r="B122" s="13" t="s">
        <v>632</v>
      </c>
      <c r="C122" s="14" t="s">
        <v>38</v>
      </c>
      <c r="D122" s="15" t="s">
        <v>139</v>
      </c>
      <c r="E122" s="15" t="s">
        <v>680</v>
      </c>
      <c r="F122" s="16">
        <v>558</v>
      </c>
      <c r="G122" s="19">
        <v>27269.5</v>
      </c>
      <c r="H122" s="17">
        <v>7661.93</v>
      </c>
      <c r="I122" s="16">
        <v>15216381</v>
      </c>
      <c r="J122" s="15" t="s">
        <v>17</v>
      </c>
      <c r="K122" s="15" t="s">
        <v>18</v>
      </c>
      <c r="L122" s="9">
        <f>YEAR(E122)</f>
        <v>2023</v>
      </c>
      <c r="M122">
        <f t="shared" si="1"/>
        <v>4275356.9400000004</v>
      </c>
    </row>
    <row r="123" spans="1:13" x14ac:dyDescent="0.15">
      <c r="A123" s="12"/>
      <c r="B123" s="13" t="s">
        <v>632</v>
      </c>
      <c r="C123" s="14" t="s">
        <v>19</v>
      </c>
      <c r="D123" s="15" t="s">
        <v>139</v>
      </c>
      <c r="E123" s="15" t="s">
        <v>460</v>
      </c>
      <c r="F123" s="16">
        <v>576</v>
      </c>
      <c r="G123" s="17">
        <v>49473.14</v>
      </c>
      <c r="H123" s="17">
        <v>6506.39</v>
      </c>
      <c r="I123" s="17">
        <v>28496528.640000001</v>
      </c>
      <c r="J123" s="15" t="s">
        <v>17</v>
      </c>
      <c r="K123" s="15" t="s">
        <v>18</v>
      </c>
      <c r="L123" s="9">
        <f>YEAR(E123)</f>
        <v>2023</v>
      </c>
      <c r="M123">
        <f t="shared" si="1"/>
        <v>3747680.64</v>
      </c>
    </row>
    <row r="124" spans="1:13" x14ac:dyDescent="0.15">
      <c r="A124" s="12"/>
      <c r="B124" s="13" t="s">
        <v>632</v>
      </c>
      <c r="C124" s="14" t="s">
        <v>23</v>
      </c>
      <c r="D124" s="15" t="s">
        <v>107</v>
      </c>
      <c r="E124" s="15" t="s">
        <v>313</v>
      </c>
      <c r="F124" s="16">
        <v>483</v>
      </c>
      <c r="G124" s="17">
        <v>42817.53</v>
      </c>
      <c r="H124" s="17">
        <v>3137.24</v>
      </c>
      <c r="I124" s="17">
        <v>20680866.989999998</v>
      </c>
      <c r="J124" s="15" t="s">
        <v>22</v>
      </c>
      <c r="K124" s="15" t="s">
        <v>18</v>
      </c>
      <c r="L124" s="9">
        <f>YEAR(E124)</f>
        <v>2023</v>
      </c>
      <c r="M124">
        <f t="shared" si="1"/>
        <v>1515286.92</v>
      </c>
    </row>
    <row r="125" spans="1:13" x14ac:dyDescent="0.15">
      <c r="A125" s="12"/>
      <c r="B125" s="13" t="s">
        <v>632</v>
      </c>
      <c r="C125" s="14" t="s">
        <v>19</v>
      </c>
      <c r="D125" s="15" t="s">
        <v>107</v>
      </c>
      <c r="E125" s="15" t="s">
        <v>687</v>
      </c>
      <c r="F125" s="16">
        <v>812</v>
      </c>
      <c r="G125" s="17">
        <v>10721.81</v>
      </c>
      <c r="H125" s="17">
        <v>4908.79</v>
      </c>
      <c r="I125" s="17">
        <v>8706109.7200000007</v>
      </c>
      <c r="J125" s="15" t="s">
        <v>28</v>
      </c>
      <c r="K125" s="15" t="s">
        <v>18</v>
      </c>
      <c r="L125" s="9">
        <f>YEAR(E125)</f>
        <v>2023</v>
      </c>
      <c r="M125">
        <f t="shared" si="1"/>
        <v>3985937.48</v>
      </c>
    </row>
    <row r="126" spans="1:13" x14ac:dyDescent="0.15">
      <c r="A126" s="12"/>
      <c r="B126" s="13" t="s">
        <v>632</v>
      </c>
      <c r="C126" s="14" t="s">
        <v>79</v>
      </c>
      <c r="D126" s="15" t="s">
        <v>114</v>
      </c>
      <c r="E126" s="15" t="s">
        <v>457</v>
      </c>
      <c r="F126" s="16">
        <v>472</v>
      </c>
      <c r="G126" s="17">
        <v>24963.59</v>
      </c>
      <c r="H126" s="17">
        <v>3199.59</v>
      </c>
      <c r="I126" s="17">
        <v>11782814.48</v>
      </c>
      <c r="J126" s="15" t="s">
        <v>17</v>
      </c>
      <c r="K126" s="15" t="s">
        <v>18</v>
      </c>
      <c r="L126" s="9">
        <f>YEAR(E126)</f>
        <v>2023</v>
      </c>
      <c r="M126">
        <f t="shared" si="1"/>
        <v>1510206.48</v>
      </c>
    </row>
    <row r="127" spans="1:13" ht="14" thickBot="1" x14ac:dyDescent="0.2">
      <c r="A127" s="12"/>
      <c r="B127" s="21" t="s">
        <v>632</v>
      </c>
      <c r="C127" s="22" t="s">
        <v>38</v>
      </c>
      <c r="D127" s="23" t="s">
        <v>114</v>
      </c>
      <c r="E127" s="23" t="s">
        <v>698</v>
      </c>
      <c r="F127" s="24">
        <v>247</v>
      </c>
      <c r="G127" s="25">
        <v>48726.71</v>
      </c>
      <c r="H127" s="25">
        <v>2469.69</v>
      </c>
      <c r="I127" s="25">
        <v>12035497.369999999</v>
      </c>
      <c r="J127" s="23" t="s">
        <v>17</v>
      </c>
      <c r="K127" s="23" t="s">
        <v>18</v>
      </c>
      <c r="L127" s="9">
        <f>YEAR(E127)</f>
        <v>2023</v>
      </c>
      <c r="M127">
        <f t="shared" si="1"/>
        <v>610013.43000000005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78E464-15F2-C84F-A2CA-87479F970C51}">
  <dimension ref="A2:T135"/>
  <sheetViews>
    <sheetView topLeftCell="H1" workbookViewId="0">
      <selection activeCell="Q15" sqref="Q15"/>
    </sheetView>
  </sheetViews>
  <sheetFormatPr baseColWidth="10" defaultRowHeight="13" x14ac:dyDescent="0.15"/>
  <cols>
    <col min="9" max="9" width="11.6640625" bestFit="1" customWidth="1"/>
    <col min="16" max="16" width="13" bestFit="1" customWidth="1"/>
    <col min="17" max="17" width="14.83203125" bestFit="1" customWidth="1"/>
    <col min="18" max="18" width="16.83203125" bestFit="1" customWidth="1"/>
    <col min="19" max="19" width="16.6640625" bestFit="1" customWidth="1"/>
    <col min="20" max="20" width="15.1640625" bestFit="1" customWidth="1"/>
  </cols>
  <sheetData>
    <row r="2" spans="1:20" ht="15" thickBot="1" x14ac:dyDescent="0.2">
      <c r="A2" s="20" t="s">
        <v>707</v>
      </c>
      <c r="B2" s="68" t="s">
        <v>2</v>
      </c>
      <c r="C2" s="69" t="s">
        <v>3</v>
      </c>
      <c r="D2" s="69" t="s">
        <v>4</v>
      </c>
      <c r="E2" s="69" t="s">
        <v>5</v>
      </c>
      <c r="F2" s="69" t="s">
        <v>6</v>
      </c>
      <c r="G2" s="69" t="s">
        <v>7</v>
      </c>
      <c r="H2" s="69" t="s">
        <v>8</v>
      </c>
      <c r="I2" s="69" t="s">
        <v>9</v>
      </c>
      <c r="J2" s="69" t="s">
        <v>10</v>
      </c>
      <c r="K2" s="69" t="s">
        <v>11</v>
      </c>
      <c r="L2" s="58" t="s">
        <v>12</v>
      </c>
      <c r="M2" s="70" t="s">
        <v>793</v>
      </c>
    </row>
    <row r="3" spans="1:20" x14ac:dyDescent="0.15">
      <c r="A3" s="3"/>
      <c r="B3" s="6" t="s">
        <v>707</v>
      </c>
      <c r="C3" s="7" t="s">
        <v>35</v>
      </c>
      <c r="D3" s="8" t="s">
        <v>68</v>
      </c>
      <c r="E3" s="8" t="s">
        <v>376</v>
      </c>
      <c r="F3" s="9">
        <v>594</v>
      </c>
      <c r="G3" s="10">
        <v>32943.760000000002</v>
      </c>
      <c r="H3" s="26">
        <v>2699.9</v>
      </c>
      <c r="I3" s="10">
        <v>19568593.440000001</v>
      </c>
      <c r="J3" s="8" t="s">
        <v>28</v>
      </c>
      <c r="K3" s="8" t="s">
        <v>18</v>
      </c>
      <c r="L3" s="9">
        <f>YEAR(E3)</f>
        <v>2020</v>
      </c>
      <c r="M3">
        <f>H3*F3</f>
        <v>1603740.6</v>
      </c>
      <c r="P3" s="73" t="s">
        <v>12</v>
      </c>
      <c r="Q3" s="73" t="s">
        <v>792</v>
      </c>
      <c r="R3" s="73" t="s">
        <v>793</v>
      </c>
    </row>
    <row r="4" spans="1:20" x14ac:dyDescent="0.15">
      <c r="A4" s="5"/>
      <c r="B4" s="13" t="s">
        <v>707</v>
      </c>
      <c r="C4" s="14" t="s">
        <v>23</v>
      </c>
      <c r="D4" s="15" t="s">
        <v>68</v>
      </c>
      <c r="E4" s="15" t="s">
        <v>710</v>
      </c>
      <c r="F4" s="16">
        <v>594</v>
      </c>
      <c r="G4" s="17">
        <v>47688.67</v>
      </c>
      <c r="H4" s="17">
        <v>9913.49</v>
      </c>
      <c r="I4" s="17">
        <v>28327069.98</v>
      </c>
      <c r="J4" s="15" t="s">
        <v>17</v>
      </c>
      <c r="K4" s="15" t="s">
        <v>18</v>
      </c>
      <c r="L4" s="9">
        <f>YEAR(E4)</f>
        <v>2020</v>
      </c>
      <c r="M4">
        <f t="shared" ref="M4:M67" si="0">H4*F4</f>
        <v>5888613.0599999996</v>
      </c>
      <c r="P4" s="74">
        <v>2020</v>
      </c>
      <c r="Q4" s="74">
        <f>ROUND(SUMIF(L3:L135,P4,F3:F135),0)</f>
        <v>19446</v>
      </c>
      <c r="R4" s="74">
        <f>ROUND(SUMIF(L3:L135,P4, M3:M135),0)</f>
        <v>130474454</v>
      </c>
    </row>
    <row r="5" spans="1:20" x14ac:dyDescent="0.15">
      <c r="A5" s="12"/>
      <c r="B5" s="13" t="s">
        <v>707</v>
      </c>
      <c r="C5" s="14" t="s">
        <v>31</v>
      </c>
      <c r="D5" s="15" t="s">
        <v>68</v>
      </c>
      <c r="E5" s="15" t="s">
        <v>372</v>
      </c>
      <c r="F5" s="16">
        <v>347</v>
      </c>
      <c r="G5" s="17">
        <v>11714.81</v>
      </c>
      <c r="H5" s="17">
        <v>2929.83</v>
      </c>
      <c r="I5" s="17">
        <v>4065039.07</v>
      </c>
      <c r="J5" s="15" t="s">
        <v>17</v>
      </c>
      <c r="K5" s="15" t="s">
        <v>18</v>
      </c>
      <c r="L5" s="9">
        <f>YEAR(E5)</f>
        <v>2020</v>
      </c>
      <c r="M5">
        <f t="shared" si="0"/>
        <v>1016651.01</v>
      </c>
      <c r="P5" s="74">
        <v>2021</v>
      </c>
      <c r="Q5" s="74">
        <f>ROUND(SUMIF(L3:L135,P5,F3:F135),0)</f>
        <v>20028</v>
      </c>
      <c r="R5" s="74">
        <f>ROUND(SUMIF(L3:L135,P5, M3:M135),0)</f>
        <v>127793020</v>
      </c>
    </row>
    <row r="6" spans="1:20" x14ac:dyDescent="0.15">
      <c r="A6" s="12"/>
      <c r="B6" s="13" t="s">
        <v>707</v>
      </c>
      <c r="C6" s="14" t="s">
        <v>38</v>
      </c>
      <c r="D6" s="15" t="s">
        <v>68</v>
      </c>
      <c r="E6" s="15" t="s">
        <v>363</v>
      </c>
      <c r="F6" s="16">
        <v>895</v>
      </c>
      <c r="G6" s="17">
        <v>43973.47</v>
      </c>
      <c r="H6" s="17">
        <v>2448.0500000000002</v>
      </c>
      <c r="I6" s="17">
        <v>39356255.649999999</v>
      </c>
      <c r="J6" s="15" t="s">
        <v>22</v>
      </c>
      <c r="K6" s="15" t="s">
        <v>18</v>
      </c>
      <c r="L6" s="9">
        <f>YEAR(E6)</f>
        <v>2020</v>
      </c>
      <c r="M6">
        <f t="shared" si="0"/>
        <v>2191004.75</v>
      </c>
      <c r="P6" s="74">
        <v>2022</v>
      </c>
      <c r="Q6" s="74">
        <f>ROUND(SUMIF(L3:L135,P6,F3:F135),0)</f>
        <v>17509</v>
      </c>
      <c r="R6" s="74">
        <f>ROUND(SUMIF(L3:L135,P6, M3:M135),0)</f>
        <v>106319552</v>
      </c>
    </row>
    <row r="7" spans="1:20" x14ac:dyDescent="0.15">
      <c r="A7" s="12"/>
      <c r="B7" s="13" t="s">
        <v>707</v>
      </c>
      <c r="C7" s="14" t="s">
        <v>25</v>
      </c>
      <c r="D7" s="15" t="s">
        <v>26</v>
      </c>
      <c r="E7" s="15" t="s">
        <v>363</v>
      </c>
      <c r="F7" s="16">
        <v>775</v>
      </c>
      <c r="G7" s="17">
        <v>17452.740000000002</v>
      </c>
      <c r="H7" s="17">
        <v>2686.62</v>
      </c>
      <c r="I7" s="19">
        <v>13525873.5</v>
      </c>
      <c r="J7" s="15" t="s">
        <v>22</v>
      </c>
      <c r="K7" s="15" t="s">
        <v>18</v>
      </c>
      <c r="L7" s="9">
        <f>YEAR(E7)</f>
        <v>2020</v>
      </c>
      <c r="M7">
        <f t="shared" si="0"/>
        <v>2082130.5</v>
      </c>
      <c r="P7" s="74">
        <v>2023</v>
      </c>
      <c r="Q7" s="74">
        <f>ROUND(SUMIF(L3:L135,P7,F3:F135),0)</f>
        <v>19149</v>
      </c>
      <c r="R7" s="74">
        <f>ROUND(SUMIF(L3:L135,P7, M3:M135),0)</f>
        <v>112899976</v>
      </c>
    </row>
    <row r="8" spans="1:20" ht="14" x14ac:dyDescent="0.15">
      <c r="A8" s="12"/>
      <c r="B8" s="13" t="s">
        <v>707</v>
      </c>
      <c r="C8" s="14" t="s">
        <v>23</v>
      </c>
      <c r="D8" s="15" t="s">
        <v>68</v>
      </c>
      <c r="E8" s="15" t="s">
        <v>712</v>
      </c>
      <c r="F8" s="16">
        <v>402</v>
      </c>
      <c r="G8" s="17">
        <v>14516.01</v>
      </c>
      <c r="H8" s="17">
        <v>7997.27</v>
      </c>
      <c r="I8" s="17">
        <v>5835436.0199999996</v>
      </c>
      <c r="J8" s="15" t="s">
        <v>28</v>
      </c>
      <c r="K8" s="15" t="s">
        <v>18</v>
      </c>
      <c r="L8" s="9">
        <f>YEAR(E8)</f>
        <v>2020</v>
      </c>
      <c r="M8">
        <f t="shared" si="0"/>
        <v>3214902.54</v>
      </c>
      <c r="P8" s="70" t="s">
        <v>795</v>
      </c>
      <c r="Q8" s="70">
        <f>SUM(Q4:Q7)</f>
        <v>76132</v>
      </c>
      <c r="R8" s="70">
        <f>SUM(R4:R7)</f>
        <v>477487002</v>
      </c>
    </row>
    <row r="9" spans="1:20" x14ac:dyDescent="0.15">
      <c r="A9" s="12"/>
      <c r="B9" s="13" t="s">
        <v>707</v>
      </c>
      <c r="C9" s="14" t="s">
        <v>35</v>
      </c>
      <c r="D9" s="15" t="s">
        <v>53</v>
      </c>
      <c r="E9" s="15" t="s">
        <v>712</v>
      </c>
      <c r="F9" s="16">
        <v>903</v>
      </c>
      <c r="G9" s="17">
        <v>21669.81</v>
      </c>
      <c r="H9" s="17">
        <v>8838.64</v>
      </c>
      <c r="I9" s="17">
        <v>19567838.43</v>
      </c>
      <c r="J9" s="15" t="s">
        <v>22</v>
      </c>
      <c r="K9" s="15" t="s">
        <v>18</v>
      </c>
      <c r="L9" s="9">
        <f>YEAR(E9)</f>
        <v>2020</v>
      </c>
      <c r="M9">
        <f t="shared" si="0"/>
        <v>7981291.9199999999</v>
      </c>
      <c r="P9" s="73"/>
      <c r="Q9" s="73"/>
      <c r="R9" s="73"/>
    </row>
    <row r="10" spans="1:20" x14ac:dyDescent="0.15">
      <c r="A10" s="12"/>
      <c r="B10" s="13" t="s">
        <v>707</v>
      </c>
      <c r="C10" s="14" t="s">
        <v>25</v>
      </c>
      <c r="D10" s="15" t="s">
        <v>53</v>
      </c>
      <c r="E10" s="15" t="s">
        <v>56</v>
      </c>
      <c r="F10" s="16">
        <v>816</v>
      </c>
      <c r="G10" s="17">
        <v>24557.22</v>
      </c>
      <c r="H10" s="17">
        <v>7507.36</v>
      </c>
      <c r="I10" s="17">
        <v>20038691.52</v>
      </c>
      <c r="J10" s="15" t="s">
        <v>30</v>
      </c>
      <c r="K10" s="15" t="s">
        <v>18</v>
      </c>
      <c r="L10" s="9">
        <f>YEAR(E10)</f>
        <v>2020</v>
      </c>
      <c r="M10">
        <f t="shared" si="0"/>
        <v>6126005.7599999998</v>
      </c>
      <c r="P10" s="74"/>
      <c r="Q10" s="74"/>
      <c r="R10" s="74"/>
    </row>
    <row r="11" spans="1:20" x14ac:dyDescent="0.15">
      <c r="A11" s="12"/>
      <c r="B11" s="13" t="s">
        <v>707</v>
      </c>
      <c r="C11" s="14" t="s">
        <v>14</v>
      </c>
      <c r="D11" s="15" t="s">
        <v>53</v>
      </c>
      <c r="E11" s="15" t="s">
        <v>78</v>
      </c>
      <c r="F11" s="16">
        <v>507</v>
      </c>
      <c r="G11" s="19">
        <v>31022.3</v>
      </c>
      <c r="H11" s="19">
        <v>9376.5</v>
      </c>
      <c r="I11" s="19">
        <v>15728306.1</v>
      </c>
      <c r="J11" s="15" t="s">
        <v>17</v>
      </c>
      <c r="K11" s="15" t="s">
        <v>18</v>
      </c>
      <c r="L11" s="9">
        <f>YEAR(E11)</f>
        <v>2020</v>
      </c>
      <c r="M11">
        <f t="shared" si="0"/>
        <v>4753885.5</v>
      </c>
      <c r="P11" s="74"/>
      <c r="Q11" s="74"/>
      <c r="R11" s="74"/>
    </row>
    <row r="12" spans="1:20" x14ac:dyDescent="0.15">
      <c r="A12" s="12"/>
      <c r="B12" s="13" t="s">
        <v>707</v>
      </c>
      <c r="C12" s="14" t="s">
        <v>23</v>
      </c>
      <c r="D12" s="15" t="s">
        <v>89</v>
      </c>
      <c r="E12" s="15" t="s">
        <v>671</v>
      </c>
      <c r="F12" s="16">
        <v>422</v>
      </c>
      <c r="G12" s="17">
        <v>19028.66</v>
      </c>
      <c r="H12" s="17">
        <v>9601.94</v>
      </c>
      <c r="I12" s="17">
        <v>8030094.5199999996</v>
      </c>
      <c r="J12" s="15" t="s">
        <v>17</v>
      </c>
      <c r="K12" s="15" t="s">
        <v>18</v>
      </c>
      <c r="L12" s="9">
        <f>YEAR(E12)</f>
        <v>2020</v>
      </c>
      <c r="M12">
        <f t="shared" si="0"/>
        <v>4052018.68</v>
      </c>
      <c r="P12" s="74"/>
      <c r="Q12" s="74"/>
      <c r="R12" s="74"/>
    </row>
    <row r="13" spans="1:20" ht="18" customHeight="1" x14ac:dyDescent="0.15">
      <c r="A13" s="12"/>
      <c r="B13" s="13" t="s">
        <v>707</v>
      </c>
      <c r="C13" s="14" t="s">
        <v>31</v>
      </c>
      <c r="D13" s="15" t="s">
        <v>89</v>
      </c>
      <c r="E13" s="15" t="s">
        <v>726</v>
      </c>
      <c r="F13" s="16">
        <v>256</v>
      </c>
      <c r="G13" s="17">
        <v>34710.58</v>
      </c>
      <c r="H13" s="17">
        <v>6530.19</v>
      </c>
      <c r="I13" s="17">
        <v>8885908.4800000004</v>
      </c>
      <c r="J13" s="15" t="s">
        <v>17</v>
      </c>
      <c r="K13" s="15" t="s">
        <v>18</v>
      </c>
      <c r="L13" s="9">
        <f>YEAR(E13)</f>
        <v>2020</v>
      </c>
      <c r="M13">
        <f t="shared" si="0"/>
        <v>1671728.64</v>
      </c>
      <c r="P13" s="36" t="s">
        <v>787</v>
      </c>
      <c r="Q13" s="32" t="s">
        <v>785</v>
      </c>
      <c r="R13" s="37" t="s">
        <v>797</v>
      </c>
      <c r="S13" s="37" t="s">
        <v>790</v>
      </c>
      <c r="T13" s="59" t="s">
        <v>796</v>
      </c>
    </row>
    <row r="14" spans="1:20" ht="14" x14ac:dyDescent="0.15">
      <c r="A14" s="12"/>
      <c r="B14" s="13" t="s">
        <v>707</v>
      </c>
      <c r="C14" s="14" t="s">
        <v>23</v>
      </c>
      <c r="D14" s="15" t="s">
        <v>89</v>
      </c>
      <c r="E14" s="15" t="s">
        <v>728</v>
      </c>
      <c r="F14" s="16">
        <v>905</v>
      </c>
      <c r="G14" s="17">
        <v>42903.63</v>
      </c>
      <c r="H14" s="17">
        <v>2926.81</v>
      </c>
      <c r="I14" s="17">
        <v>38827785.149999999</v>
      </c>
      <c r="J14" s="15" t="s">
        <v>17</v>
      </c>
      <c r="K14" s="15" t="s">
        <v>18</v>
      </c>
      <c r="L14" s="9">
        <f>YEAR(E14)</f>
        <v>2020</v>
      </c>
      <c r="M14">
        <f t="shared" si="0"/>
        <v>2648763.0499999998</v>
      </c>
      <c r="P14" s="80" t="s">
        <v>89</v>
      </c>
      <c r="Q14" s="81">
        <v>8395</v>
      </c>
      <c r="R14" s="82">
        <v>30421.148125</v>
      </c>
      <c r="S14" s="82">
        <v>250241761.68000001</v>
      </c>
      <c r="T14" s="83">
        <v>45248547.370000005</v>
      </c>
    </row>
    <row r="15" spans="1:20" x14ac:dyDescent="0.15">
      <c r="A15" s="12"/>
      <c r="B15" s="13" t="s">
        <v>707</v>
      </c>
      <c r="C15" s="14" t="s">
        <v>23</v>
      </c>
      <c r="D15" s="15" t="s">
        <v>89</v>
      </c>
      <c r="E15" s="15" t="s">
        <v>730</v>
      </c>
      <c r="F15" s="16">
        <v>223</v>
      </c>
      <c r="G15" s="17">
        <v>38450.54</v>
      </c>
      <c r="H15" s="17">
        <v>9971.93</v>
      </c>
      <c r="I15" s="17">
        <v>8574470.4199999999</v>
      </c>
      <c r="J15" s="15" t="s">
        <v>17</v>
      </c>
      <c r="K15" s="15" t="s">
        <v>18</v>
      </c>
      <c r="L15" s="9">
        <f>YEAR(E15)</f>
        <v>2020</v>
      </c>
      <c r="M15">
        <f t="shared" si="0"/>
        <v>2223740.39</v>
      </c>
      <c r="P15" s="63">
        <v>2020</v>
      </c>
      <c r="Q15" s="43">
        <v>1806</v>
      </c>
      <c r="R15" s="44">
        <v>33773.352500000001</v>
      </c>
      <c r="S15" s="44">
        <v>64318258.57</v>
      </c>
      <c r="T15" s="61">
        <v>10596250.76</v>
      </c>
    </row>
    <row r="16" spans="1:20" x14ac:dyDescent="0.15">
      <c r="A16" s="12"/>
      <c r="B16" s="13" t="s">
        <v>707</v>
      </c>
      <c r="C16" s="14" t="s">
        <v>38</v>
      </c>
      <c r="D16" s="15" t="s">
        <v>107</v>
      </c>
      <c r="E16" s="15" t="s">
        <v>125</v>
      </c>
      <c r="F16" s="16">
        <v>109</v>
      </c>
      <c r="G16" s="17">
        <v>26372.46</v>
      </c>
      <c r="H16" s="17">
        <v>8505.26</v>
      </c>
      <c r="I16" s="17">
        <v>2874598.14</v>
      </c>
      <c r="J16" s="15" t="s">
        <v>17</v>
      </c>
      <c r="K16" s="15" t="s">
        <v>18</v>
      </c>
      <c r="L16" s="9">
        <f>YEAR(E16)</f>
        <v>2020</v>
      </c>
      <c r="M16">
        <f t="shared" si="0"/>
        <v>927073.34</v>
      </c>
      <c r="P16" s="63">
        <v>2021</v>
      </c>
      <c r="Q16" s="43">
        <v>1849</v>
      </c>
      <c r="R16" s="44">
        <v>27143.51</v>
      </c>
      <c r="S16" s="44">
        <v>53464378.890000001</v>
      </c>
      <c r="T16" s="61">
        <v>12695183.48</v>
      </c>
    </row>
    <row r="17" spans="1:20" x14ac:dyDescent="0.15">
      <c r="A17" s="12"/>
      <c r="B17" s="13" t="s">
        <v>707</v>
      </c>
      <c r="C17" s="14" t="s">
        <v>35</v>
      </c>
      <c r="D17" s="15" t="s">
        <v>107</v>
      </c>
      <c r="E17" s="15" t="s">
        <v>735</v>
      </c>
      <c r="F17" s="16">
        <v>583</v>
      </c>
      <c r="G17" s="17">
        <v>40492.17</v>
      </c>
      <c r="H17" s="17">
        <v>5945.15</v>
      </c>
      <c r="I17" s="17">
        <v>23606935.109999999</v>
      </c>
      <c r="J17" s="15" t="s">
        <v>22</v>
      </c>
      <c r="K17" s="15" t="s">
        <v>18</v>
      </c>
      <c r="L17" s="9">
        <f>YEAR(E17)</f>
        <v>2020</v>
      </c>
      <c r="M17">
        <f t="shared" si="0"/>
        <v>3466022.4499999997</v>
      </c>
      <c r="P17" s="63">
        <v>2022</v>
      </c>
      <c r="Q17" s="43">
        <v>1295</v>
      </c>
      <c r="R17" s="44">
        <v>34636.123333333329</v>
      </c>
      <c r="S17" s="44">
        <v>42261230.269999996</v>
      </c>
      <c r="T17" s="61">
        <v>6182804.2699999996</v>
      </c>
    </row>
    <row r="18" spans="1:20" x14ac:dyDescent="0.15">
      <c r="A18" s="12"/>
      <c r="B18" s="13" t="s">
        <v>707</v>
      </c>
      <c r="C18" s="14" t="s">
        <v>23</v>
      </c>
      <c r="D18" s="15" t="s">
        <v>107</v>
      </c>
      <c r="E18" s="15" t="s">
        <v>739</v>
      </c>
      <c r="F18" s="16">
        <v>983</v>
      </c>
      <c r="G18" s="19">
        <v>32503.8</v>
      </c>
      <c r="H18" s="19">
        <v>5624.4</v>
      </c>
      <c r="I18" s="19">
        <v>31951235.399999999</v>
      </c>
      <c r="J18" s="15" t="s">
        <v>17</v>
      </c>
      <c r="K18" s="15" t="s">
        <v>18</v>
      </c>
      <c r="L18" s="9">
        <f>YEAR(E18)</f>
        <v>2020</v>
      </c>
      <c r="M18">
        <f t="shared" si="0"/>
        <v>5528785.1999999993</v>
      </c>
      <c r="P18" s="63">
        <v>2023</v>
      </c>
      <c r="Q18" s="43">
        <v>3445</v>
      </c>
      <c r="R18" s="44">
        <v>27832.51</v>
      </c>
      <c r="S18" s="44">
        <v>90197893.949999988</v>
      </c>
      <c r="T18" s="61">
        <v>15774308.859999998</v>
      </c>
    </row>
    <row r="19" spans="1:20" ht="14" x14ac:dyDescent="0.15">
      <c r="A19" s="12"/>
      <c r="B19" s="13" t="s">
        <v>707</v>
      </c>
      <c r="C19" s="14" t="s">
        <v>57</v>
      </c>
      <c r="D19" s="15" t="s">
        <v>153</v>
      </c>
      <c r="E19" s="15" t="s">
        <v>745</v>
      </c>
      <c r="F19" s="16">
        <v>764</v>
      </c>
      <c r="G19" s="17">
        <v>43203.73</v>
      </c>
      <c r="H19" s="17">
        <v>8734.57</v>
      </c>
      <c r="I19" s="17">
        <v>33007649.719999999</v>
      </c>
      <c r="J19" s="15" t="s">
        <v>28</v>
      </c>
      <c r="K19" s="15" t="s">
        <v>18</v>
      </c>
      <c r="L19" s="9">
        <f>YEAR(E19)</f>
        <v>2020</v>
      </c>
      <c r="M19">
        <f t="shared" si="0"/>
        <v>6673211.4799999995</v>
      </c>
      <c r="P19" s="80" t="s">
        <v>70</v>
      </c>
      <c r="Q19" s="81">
        <v>7681</v>
      </c>
      <c r="R19" s="82">
        <v>32345.204375000008</v>
      </c>
      <c r="S19" s="82">
        <v>249559228.82000002</v>
      </c>
      <c r="T19" s="83">
        <v>48335452.25</v>
      </c>
    </row>
    <row r="20" spans="1:20" ht="14" x14ac:dyDescent="0.15">
      <c r="A20" s="12"/>
      <c r="B20" s="13" t="s">
        <v>707</v>
      </c>
      <c r="C20" s="14" t="s">
        <v>14</v>
      </c>
      <c r="D20" s="15" t="s">
        <v>153</v>
      </c>
      <c r="E20" s="15" t="s">
        <v>746</v>
      </c>
      <c r="F20" s="16">
        <v>934</v>
      </c>
      <c r="G20" s="17">
        <v>19744.29</v>
      </c>
      <c r="H20" s="17">
        <v>8570.41</v>
      </c>
      <c r="I20" s="17">
        <v>18441166.859999999</v>
      </c>
      <c r="J20" s="15" t="s">
        <v>28</v>
      </c>
      <c r="K20" s="15" t="s">
        <v>18</v>
      </c>
      <c r="L20" s="9">
        <f>YEAR(E20)</f>
        <v>2020</v>
      </c>
      <c r="M20">
        <f t="shared" si="0"/>
        <v>8004762.9399999995</v>
      </c>
      <c r="P20" s="80" t="s">
        <v>26</v>
      </c>
      <c r="Q20" s="81">
        <v>5370</v>
      </c>
      <c r="R20" s="82">
        <v>33179.8825</v>
      </c>
      <c r="S20" s="82">
        <v>175612561.96000001</v>
      </c>
      <c r="T20" s="83">
        <v>35851165.140000001</v>
      </c>
    </row>
    <row r="21" spans="1:20" ht="14" x14ac:dyDescent="0.15">
      <c r="A21" s="12"/>
      <c r="B21" s="13" t="s">
        <v>707</v>
      </c>
      <c r="C21" s="14" t="s">
        <v>19</v>
      </c>
      <c r="D21" s="15" t="s">
        <v>153</v>
      </c>
      <c r="E21" s="15" t="s">
        <v>748</v>
      </c>
      <c r="F21" s="16">
        <v>995</v>
      </c>
      <c r="G21" s="17">
        <v>23095.37</v>
      </c>
      <c r="H21" s="17">
        <v>8369.26</v>
      </c>
      <c r="I21" s="17">
        <v>22979893.149999999</v>
      </c>
      <c r="J21" s="15" t="s">
        <v>17</v>
      </c>
      <c r="K21" s="15" t="s">
        <v>18</v>
      </c>
      <c r="L21" s="9">
        <f>YEAR(E21)</f>
        <v>2020</v>
      </c>
      <c r="M21">
        <f t="shared" si="0"/>
        <v>8327413.7000000002</v>
      </c>
      <c r="P21" s="80" t="s">
        <v>68</v>
      </c>
      <c r="Q21" s="81">
        <v>7334</v>
      </c>
      <c r="R21" s="82">
        <v>28413.164999999997</v>
      </c>
      <c r="S21" s="82">
        <v>240637568.16999999</v>
      </c>
      <c r="T21" s="83">
        <v>43431831.220000006</v>
      </c>
    </row>
    <row r="22" spans="1:20" ht="14" x14ac:dyDescent="0.15">
      <c r="A22" s="12"/>
      <c r="B22" s="13" t="s">
        <v>707</v>
      </c>
      <c r="C22" s="14" t="s">
        <v>25</v>
      </c>
      <c r="D22" s="15" t="s">
        <v>153</v>
      </c>
      <c r="E22" s="15" t="s">
        <v>754</v>
      </c>
      <c r="F22" s="16">
        <v>280</v>
      </c>
      <c r="G22" s="19">
        <v>25327.4</v>
      </c>
      <c r="H22" s="17">
        <v>6295.63</v>
      </c>
      <c r="I22" s="16">
        <v>7091672</v>
      </c>
      <c r="J22" s="15" t="s">
        <v>17</v>
      </c>
      <c r="K22" s="15" t="s">
        <v>18</v>
      </c>
      <c r="L22" s="9">
        <f>YEAR(E22)</f>
        <v>2020</v>
      </c>
      <c r="M22">
        <f t="shared" si="0"/>
        <v>1762776.4000000001</v>
      </c>
      <c r="P22" s="80" t="s">
        <v>114</v>
      </c>
      <c r="Q22" s="81">
        <v>3042</v>
      </c>
      <c r="R22" s="82">
        <v>27919.656666666666</v>
      </c>
      <c r="S22" s="82">
        <v>74434663.969999999</v>
      </c>
      <c r="T22" s="83">
        <v>23501042.859999999</v>
      </c>
    </row>
    <row r="23" spans="1:20" ht="14" x14ac:dyDescent="0.15">
      <c r="A23" s="12"/>
      <c r="B23" s="13" t="s">
        <v>707</v>
      </c>
      <c r="C23" s="14" t="s">
        <v>31</v>
      </c>
      <c r="D23" s="15" t="s">
        <v>153</v>
      </c>
      <c r="E23" s="15" t="s">
        <v>755</v>
      </c>
      <c r="F23" s="16">
        <v>336</v>
      </c>
      <c r="G23" s="17">
        <v>45460.52</v>
      </c>
      <c r="H23" s="17">
        <v>6073.91</v>
      </c>
      <c r="I23" s="17">
        <v>15274734.720000001</v>
      </c>
      <c r="J23" s="15" t="s">
        <v>30</v>
      </c>
      <c r="K23" s="15" t="s">
        <v>18</v>
      </c>
      <c r="L23" s="9">
        <f>YEAR(E23)</f>
        <v>2020</v>
      </c>
      <c r="M23">
        <f t="shared" si="0"/>
        <v>2040833.76</v>
      </c>
      <c r="P23" s="80" t="s">
        <v>107</v>
      </c>
      <c r="Q23" s="81">
        <v>12444</v>
      </c>
      <c r="R23" s="82">
        <v>30855.953000000001</v>
      </c>
      <c r="S23" s="82">
        <v>394283944.05000001</v>
      </c>
      <c r="T23" s="83">
        <v>72962391.11999999</v>
      </c>
    </row>
    <row r="24" spans="1:20" ht="14" x14ac:dyDescent="0.15">
      <c r="A24" s="12"/>
      <c r="B24" s="13" t="s">
        <v>707</v>
      </c>
      <c r="C24" s="14" t="s">
        <v>25</v>
      </c>
      <c r="D24" s="15" t="s">
        <v>139</v>
      </c>
      <c r="E24" s="15" t="s">
        <v>759</v>
      </c>
      <c r="F24" s="16">
        <v>619</v>
      </c>
      <c r="G24" s="17">
        <v>40038.51</v>
      </c>
      <c r="H24" s="17">
        <v>7040.64</v>
      </c>
      <c r="I24" s="17">
        <v>24783837.690000001</v>
      </c>
      <c r="J24" s="15" t="s">
        <v>22</v>
      </c>
      <c r="K24" s="15" t="s">
        <v>18</v>
      </c>
      <c r="L24" s="9">
        <f>YEAR(E24)</f>
        <v>2020</v>
      </c>
      <c r="M24">
        <f t="shared" si="0"/>
        <v>4358156.16</v>
      </c>
      <c r="P24" s="80" t="s">
        <v>15</v>
      </c>
      <c r="Q24" s="81">
        <v>6893</v>
      </c>
      <c r="R24" s="82">
        <v>29475.240833333333</v>
      </c>
      <c r="S24" s="82">
        <v>203091063.70000005</v>
      </c>
      <c r="T24" s="83">
        <v>50815300.199999996</v>
      </c>
    </row>
    <row r="25" spans="1:20" ht="14" x14ac:dyDescent="0.15">
      <c r="A25" s="12"/>
      <c r="B25" s="13" t="s">
        <v>707</v>
      </c>
      <c r="C25" s="14" t="s">
        <v>57</v>
      </c>
      <c r="D25" s="15" t="s">
        <v>114</v>
      </c>
      <c r="E25" s="15" t="s">
        <v>762</v>
      </c>
      <c r="F25" s="16">
        <v>545</v>
      </c>
      <c r="G25" s="17">
        <v>36328.03</v>
      </c>
      <c r="H25" s="17">
        <v>9914.9500000000007</v>
      </c>
      <c r="I25" s="17">
        <v>19798776.350000001</v>
      </c>
      <c r="J25" s="15" t="s">
        <v>17</v>
      </c>
      <c r="K25" s="15" t="s">
        <v>18</v>
      </c>
      <c r="L25" s="9">
        <f>YEAR(E25)</f>
        <v>2020</v>
      </c>
      <c r="M25">
        <f t="shared" si="0"/>
        <v>5403647.75</v>
      </c>
      <c r="P25" s="80" t="s">
        <v>139</v>
      </c>
      <c r="Q25" s="81">
        <v>6093</v>
      </c>
      <c r="R25" s="82">
        <v>28757.936000000005</v>
      </c>
      <c r="S25" s="82">
        <v>167873609.09</v>
      </c>
      <c r="T25" s="83">
        <v>39082967.170000002</v>
      </c>
    </row>
    <row r="26" spans="1:20" ht="14" x14ac:dyDescent="0.15">
      <c r="A26" s="12"/>
      <c r="B26" s="13" t="s">
        <v>707</v>
      </c>
      <c r="C26" s="14" t="s">
        <v>31</v>
      </c>
      <c r="D26" s="15" t="s">
        <v>70</v>
      </c>
      <c r="E26" s="15" t="s">
        <v>768</v>
      </c>
      <c r="F26" s="16">
        <v>613</v>
      </c>
      <c r="G26" s="17">
        <v>24452.58</v>
      </c>
      <c r="H26" s="17">
        <v>6241.25</v>
      </c>
      <c r="I26" s="17">
        <v>14989431.539999999</v>
      </c>
      <c r="J26" s="15" t="s">
        <v>17</v>
      </c>
      <c r="K26" s="15" t="s">
        <v>18</v>
      </c>
      <c r="L26" s="9">
        <f>YEAR(E26)</f>
        <v>2020</v>
      </c>
      <c r="M26">
        <f t="shared" si="0"/>
        <v>3825886.25</v>
      </c>
      <c r="P26" s="80" t="s">
        <v>53</v>
      </c>
      <c r="Q26" s="81">
        <v>9281</v>
      </c>
      <c r="R26" s="82">
        <v>25567.81</v>
      </c>
      <c r="S26" s="82">
        <v>221787302.55999997</v>
      </c>
      <c r="T26" s="83">
        <v>59024955.740000002</v>
      </c>
    </row>
    <row r="27" spans="1:20" ht="14" x14ac:dyDescent="0.15">
      <c r="A27" s="12"/>
      <c r="B27" s="13" t="s">
        <v>707</v>
      </c>
      <c r="C27" s="14" t="s">
        <v>23</v>
      </c>
      <c r="D27" s="15" t="s">
        <v>70</v>
      </c>
      <c r="E27" s="15" t="s">
        <v>769</v>
      </c>
      <c r="F27" s="16">
        <v>346</v>
      </c>
      <c r="G27" s="17">
        <v>45875.11</v>
      </c>
      <c r="H27" s="17">
        <v>3490.75</v>
      </c>
      <c r="I27" s="17">
        <v>15872788.060000001</v>
      </c>
      <c r="J27" s="15" t="s">
        <v>17</v>
      </c>
      <c r="K27" s="15" t="s">
        <v>18</v>
      </c>
      <c r="L27" s="9">
        <f>YEAR(E27)</f>
        <v>2020</v>
      </c>
      <c r="M27">
        <f t="shared" si="0"/>
        <v>1207799.5</v>
      </c>
      <c r="P27" s="80" t="s">
        <v>153</v>
      </c>
      <c r="Q27" s="81">
        <v>9599</v>
      </c>
      <c r="R27" s="82">
        <v>29284.24388888889</v>
      </c>
      <c r="S27" s="82">
        <v>291085842.70999998</v>
      </c>
      <c r="T27" s="83">
        <v>59233349.519999996</v>
      </c>
    </row>
    <row r="28" spans="1:20" ht="14" x14ac:dyDescent="0.15">
      <c r="A28" s="12"/>
      <c r="B28" s="13" t="s">
        <v>707</v>
      </c>
      <c r="C28" s="14" t="s">
        <v>25</v>
      </c>
      <c r="D28" s="15" t="s">
        <v>70</v>
      </c>
      <c r="E28" s="15" t="s">
        <v>770</v>
      </c>
      <c r="F28" s="16">
        <v>558</v>
      </c>
      <c r="G28" s="17">
        <v>42069.64</v>
      </c>
      <c r="H28" s="17">
        <v>4852.43</v>
      </c>
      <c r="I28" s="17">
        <v>23474859.120000001</v>
      </c>
      <c r="J28" s="15" t="s">
        <v>17</v>
      </c>
      <c r="K28" s="15" t="s">
        <v>18</v>
      </c>
      <c r="L28" s="9">
        <f>YEAR(E28)</f>
        <v>2020</v>
      </c>
      <c r="M28">
        <f t="shared" si="0"/>
        <v>2707655.94</v>
      </c>
      <c r="P28" s="46" t="s">
        <v>789</v>
      </c>
      <c r="Q28" s="47">
        <v>76132</v>
      </c>
      <c r="R28" s="48">
        <v>29678.281729323302</v>
      </c>
      <c r="S28" s="48">
        <v>2268607546.7100005</v>
      </c>
      <c r="T28" s="62">
        <v>477487002.58999985</v>
      </c>
    </row>
    <row r="29" spans="1:20" x14ac:dyDescent="0.15">
      <c r="A29" s="12"/>
      <c r="B29" s="13" t="s">
        <v>707</v>
      </c>
      <c r="C29" s="14" t="s">
        <v>23</v>
      </c>
      <c r="D29" s="15" t="s">
        <v>70</v>
      </c>
      <c r="E29" s="15" t="s">
        <v>373</v>
      </c>
      <c r="F29" s="16">
        <v>803</v>
      </c>
      <c r="G29" s="17">
        <v>13464.75</v>
      </c>
      <c r="H29" s="17">
        <v>4787.78</v>
      </c>
      <c r="I29" s="17">
        <v>10812194.25</v>
      </c>
      <c r="J29" s="15" t="s">
        <v>28</v>
      </c>
      <c r="K29" s="15" t="s">
        <v>18</v>
      </c>
      <c r="L29" s="9">
        <f>YEAR(E29)</f>
        <v>2020</v>
      </c>
      <c r="M29">
        <f t="shared" si="0"/>
        <v>3844587.34</v>
      </c>
    </row>
    <row r="30" spans="1:20" x14ac:dyDescent="0.15">
      <c r="A30" s="12"/>
      <c r="B30" s="13" t="s">
        <v>707</v>
      </c>
      <c r="C30" s="14" t="s">
        <v>43</v>
      </c>
      <c r="D30" s="15" t="s">
        <v>15</v>
      </c>
      <c r="E30" s="15" t="s">
        <v>777</v>
      </c>
      <c r="F30" s="16">
        <v>452</v>
      </c>
      <c r="G30" s="17">
        <v>12026.68</v>
      </c>
      <c r="H30" s="17">
        <v>3115.04</v>
      </c>
      <c r="I30" s="17">
        <v>5436059.3600000003</v>
      </c>
      <c r="J30" s="15" t="s">
        <v>17</v>
      </c>
      <c r="K30" s="15" t="s">
        <v>18</v>
      </c>
      <c r="L30" s="9">
        <f>YEAR(E30)</f>
        <v>2020</v>
      </c>
      <c r="M30">
        <f t="shared" si="0"/>
        <v>1407998.08</v>
      </c>
    </row>
    <row r="31" spans="1:20" x14ac:dyDescent="0.15">
      <c r="A31" s="12"/>
      <c r="B31" s="13" t="s">
        <v>707</v>
      </c>
      <c r="C31" s="14" t="s">
        <v>35</v>
      </c>
      <c r="D31" s="15" t="s">
        <v>15</v>
      </c>
      <c r="E31" s="15" t="s">
        <v>50</v>
      </c>
      <c r="F31" s="16">
        <v>268</v>
      </c>
      <c r="G31" s="17">
        <v>41452.959999999999</v>
      </c>
      <c r="H31" s="17">
        <v>9960.67</v>
      </c>
      <c r="I31" s="17">
        <v>11109393.279999999</v>
      </c>
      <c r="J31" s="15" t="s">
        <v>22</v>
      </c>
      <c r="K31" s="15" t="s">
        <v>18</v>
      </c>
      <c r="L31" s="9">
        <f>YEAR(E31)</f>
        <v>2020</v>
      </c>
      <c r="M31">
        <f t="shared" si="0"/>
        <v>2669459.56</v>
      </c>
    </row>
    <row r="32" spans="1:20" x14ac:dyDescent="0.15">
      <c r="A32" s="12"/>
      <c r="B32" s="13" t="s">
        <v>707</v>
      </c>
      <c r="C32" s="14" t="s">
        <v>57</v>
      </c>
      <c r="D32" s="15" t="s">
        <v>15</v>
      </c>
      <c r="E32" s="15" t="s">
        <v>305</v>
      </c>
      <c r="F32" s="16">
        <v>433</v>
      </c>
      <c r="G32" s="17">
        <v>23950.53</v>
      </c>
      <c r="H32" s="17">
        <v>9015.9699999999993</v>
      </c>
      <c r="I32" s="17">
        <v>10370579.49</v>
      </c>
      <c r="J32" s="15" t="s">
        <v>17</v>
      </c>
      <c r="K32" s="15" t="s">
        <v>18</v>
      </c>
      <c r="L32" s="9">
        <f>YEAR(E32)</f>
        <v>2020</v>
      </c>
      <c r="M32">
        <f t="shared" si="0"/>
        <v>3903915.01</v>
      </c>
    </row>
    <row r="33" spans="1:13" x14ac:dyDescent="0.15">
      <c r="A33" s="12"/>
      <c r="B33" s="13" t="s">
        <v>707</v>
      </c>
      <c r="C33" s="14" t="s">
        <v>23</v>
      </c>
      <c r="D33" s="15" t="s">
        <v>15</v>
      </c>
      <c r="E33" s="15" t="s">
        <v>119</v>
      </c>
      <c r="F33" s="16">
        <v>613</v>
      </c>
      <c r="G33" s="17">
        <v>43133.82</v>
      </c>
      <c r="H33" s="19">
        <v>8333.2000000000007</v>
      </c>
      <c r="I33" s="17">
        <v>26441031.66</v>
      </c>
      <c r="J33" s="15" t="s">
        <v>17</v>
      </c>
      <c r="K33" s="15" t="s">
        <v>18</v>
      </c>
      <c r="L33" s="9">
        <f>YEAR(E33)</f>
        <v>2020</v>
      </c>
      <c r="M33">
        <f t="shared" si="0"/>
        <v>5108251.6000000006</v>
      </c>
    </row>
    <row r="34" spans="1:13" x14ac:dyDescent="0.15">
      <c r="A34" s="12"/>
      <c r="B34" s="13" t="s">
        <v>707</v>
      </c>
      <c r="C34" s="14" t="s">
        <v>38</v>
      </c>
      <c r="D34" s="15" t="s">
        <v>26</v>
      </c>
      <c r="E34" s="15" t="s">
        <v>159</v>
      </c>
      <c r="F34" s="16">
        <v>646</v>
      </c>
      <c r="G34" s="17">
        <v>38364.15</v>
      </c>
      <c r="H34" s="17">
        <v>9462.15</v>
      </c>
      <c r="I34" s="19">
        <v>24783240.899999999</v>
      </c>
      <c r="J34" s="15" t="s">
        <v>30</v>
      </c>
      <c r="K34" s="15" t="s">
        <v>18</v>
      </c>
      <c r="L34" s="9">
        <f>YEAR(E34)</f>
        <v>2020</v>
      </c>
      <c r="M34">
        <f t="shared" si="0"/>
        <v>6112548.8999999994</v>
      </c>
    </row>
    <row r="35" spans="1:13" x14ac:dyDescent="0.15">
      <c r="A35" s="12"/>
      <c r="B35" s="13" t="s">
        <v>707</v>
      </c>
      <c r="C35" s="14" t="s">
        <v>31</v>
      </c>
      <c r="D35" s="15" t="s">
        <v>26</v>
      </c>
      <c r="E35" s="15" t="s">
        <v>564</v>
      </c>
      <c r="F35" s="16">
        <v>341</v>
      </c>
      <c r="G35" s="17">
        <v>41425.589999999997</v>
      </c>
      <c r="H35" s="17">
        <v>9653.4699999999993</v>
      </c>
      <c r="I35" s="17">
        <v>14126126.189999999</v>
      </c>
      <c r="J35" s="15" t="s">
        <v>17</v>
      </c>
      <c r="K35" s="15" t="s">
        <v>18</v>
      </c>
      <c r="L35" s="9">
        <f>YEAR(E35)</f>
        <v>2020</v>
      </c>
      <c r="M35">
        <f t="shared" si="0"/>
        <v>3291833.2699999996</v>
      </c>
    </row>
    <row r="36" spans="1:13" x14ac:dyDescent="0.15">
      <c r="A36" s="12"/>
      <c r="B36" s="13" t="s">
        <v>707</v>
      </c>
      <c r="C36" s="14" t="s">
        <v>31</v>
      </c>
      <c r="D36" s="15" t="s">
        <v>26</v>
      </c>
      <c r="E36" s="15" t="s">
        <v>133</v>
      </c>
      <c r="F36" s="16">
        <v>586</v>
      </c>
      <c r="G36" s="19">
        <v>27772.799999999999</v>
      </c>
      <c r="H36" s="17">
        <v>7589.35</v>
      </c>
      <c r="I36" s="19">
        <v>16274860.800000001</v>
      </c>
      <c r="J36" s="15" t="s">
        <v>30</v>
      </c>
      <c r="K36" s="15" t="s">
        <v>18</v>
      </c>
      <c r="L36" s="9">
        <f>YEAR(E36)</f>
        <v>2020</v>
      </c>
      <c r="M36">
        <f t="shared" si="0"/>
        <v>4447359.1000000006</v>
      </c>
    </row>
    <row r="37" spans="1:13" x14ac:dyDescent="0.15">
      <c r="A37" s="12"/>
      <c r="B37" s="13" t="s">
        <v>707</v>
      </c>
      <c r="C37" s="14" t="s">
        <v>38</v>
      </c>
      <c r="D37" s="15" t="s">
        <v>68</v>
      </c>
      <c r="E37" s="15" t="s">
        <v>155</v>
      </c>
      <c r="F37" s="16">
        <v>762</v>
      </c>
      <c r="G37" s="17">
        <v>31063.94</v>
      </c>
      <c r="H37" s="17">
        <v>8486.77</v>
      </c>
      <c r="I37" s="17">
        <v>23670722.280000001</v>
      </c>
      <c r="J37" s="15" t="s">
        <v>17</v>
      </c>
      <c r="K37" s="15" t="s">
        <v>18</v>
      </c>
      <c r="L37" s="9">
        <f>YEAR(E37)</f>
        <v>2021</v>
      </c>
      <c r="M37">
        <f t="shared" si="0"/>
        <v>6466918.7400000002</v>
      </c>
    </row>
    <row r="38" spans="1:13" x14ac:dyDescent="0.15">
      <c r="A38" s="12"/>
      <c r="B38" s="13" t="s">
        <v>707</v>
      </c>
      <c r="C38" s="14" t="s">
        <v>14</v>
      </c>
      <c r="D38" s="15" t="s">
        <v>68</v>
      </c>
      <c r="E38" s="15" t="s">
        <v>116</v>
      </c>
      <c r="F38" s="16">
        <v>386</v>
      </c>
      <c r="G38" s="17">
        <v>12324.08</v>
      </c>
      <c r="H38" s="17">
        <v>8623.86</v>
      </c>
      <c r="I38" s="17">
        <v>4757094.88</v>
      </c>
      <c r="J38" s="15" t="s">
        <v>17</v>
      </c>
      <c r="K38" s="15" t="s">
        <v>18</v>
      </c>
      <c r="L38" s="9">
        <f>YEAR(E38)</f>
        <v>2021</v>
      </c>
      <c r="M38">
        <f t="shared" si="0"/>
        <v>3328809.9600000004</v>
      </c>
    </row>
    <row r="39" spans="1:13" x14ac:dyDescent="0.15">
      <c r="A39" s="12"/>
      <c r="B39" s="13" t="s">
        <v>707</v>
      </c>
      <c r="C39" s="14" t="s">
        <v>23</v>
      </c>
      <c r="D39" s="15" t="s">
        <v>53</v>
      </c>
      <c r="E39" s="15" t="s">
        <v>715</v>
      </c>
      <c r="F39" s="16">
        <v>649</v>
      </c>
      <c r="G39" s="17">
        <v>33652.550000000003</v>
      </c>
      <c r="H39" s="19">
        <v>2030.3</v>
      </c>
      <c r="I39" s="17">
        <v>21840504.949999999</v>
      </c>
      <c r="J39" s="15" t="s">
        <v>17</v>
      </c>
      <c r="K39" s="15" t="s">
        <v>18</v>
      </c>
      <c r="L39" s="9">
        <f>YEAR(E39)</f>
        <v>2021</v>
      </c>
      <c r="M39">
        <f t="shared" si="0"/>
        <v>1317664.7</v>
      </c>
    </row>
    <row r="40" spans="1:13" x14ac:dyDescent="0.15">
      <c r="A40" s="12"/>
      <c r="B40" s="13" t="s">
        <v>707</v>
      </c>
      <c r="C40" s="14" t="s">
        <v>35</v>
      </c>
      <c r="D40" s="15" t="s">
        <v>53</v>
      </c>
      <c r="E40" s="15" t="s">
        <v>716</v>
      </c>
      <c r="F40" s="16">
        <v>212</v>
      </c>
      <c r="G40" s="17">
        <v>13659.53</v>
      </c>
      <c r="H40" s="17">
        <v>4407.05</v>
      </c>
      <c r="I40" s="17">
        <v>2895820.36</v>
      </c>
      <c r="J40" s="15" t="s">
        <v>17</v>
      </c>
      <c r="K40" s="15" t="s">
        <v>18</v>
      </c>
      <c r="L40" s="9">
        <f>YEAR(E40)</f>
        <v>2021</v>
      </c>
      <c r="M40">
        <f t="shared" si="0"/>
        <v>934294.60000000009</v>
      </c>
    </row>
    <row r="41" spans="1:13" x14ac:dyDescent="0.15">
      <c r="A41" s="12"/>
      <c r="B41" s="13" t="s">
        <v>707</v>
      </c>
      <c r="C41" s="14" t="s">
        <v>38</v>
      </c>
      <c r="D41" s="15" t="s">
        <v>53</v>
      </c>
      <c r="E41" s="15" t="s">
        <v>718</v>
      </c>
      <c r="F41" s="16">
        <v>990</v>
      </c>
      <c r="G41" s="17">
        <v>16931.73</v>
      </c>
      <c r="H41" s="17">
        <v>3464.19</v>
      </c>
      <c r="I41" s="19">
        <v>16762412.699999999</v>
      </c>
      <c r="J41" s="15" t="s">
        <v>30</v>
      </c>
      <c r="K41" s="15" t="s">
        <v>18</v>
      </c>
      <c r="L41" s="9">
        <f>YEAR(E41)</f>
        <v>2021</v>
      </c>
      <c r="M41">
        <f t="shared" si="0"/>
        <v>3429548.1</v>
      </c>
    </row>
    <row r="42" spans="1:13" x14ac:dyDescent="0.15">
      <c r="A42" s="12"/>
      <c r="B42" s="13" t="s">
        <v>707</v>
      </c>
      <c r="C42" s="14" t="s">
        <v>57</v>
      </c>
      <c r="D42" s="15" t="s">
        <v>53</v>
      </c>
      <c r="E42" s="15" t="s">
        <v>719</v>
      </c>
      <c r="F42" s="16">
        <v>860</v>
      </c>
      <c r="G42" s="19">
        <v>39176.400000000001</v>
      </c>
      <c r="H42" s="17">
        <v>7591.77</v>
      </c>
      <c r="I42" s="16">
        <v>33691704</v>
      </c>
      <c r="J42" s="15" t="s">
        <v>28</v>
      </c>
      <c r="K42" s="15" t="s">
        <v>18</v>
      </c>
      <c r="L42" s="9">
        <f>YEAR(E42)</f>
        <v>2021</v>
      </c>
      <c r="M42">
        <f t="shared" si="0"/>
        <v>6528922.2000000002</v>
      </c>
    </row>
    <row r="43" spans="1:13" x14ac:dyDescent="0.15">
      <c r="A43" s="12"/>
      <c r="B43" s="13" t="s">
        <v>707</v>
      </c>
      <c r="C43" s="14" t="s">
        <v>31</v>
      </c>
      <c r="D43" s="15" t="s">
        <v>53</v>
      </c>
      <c r="E43" s="15" t="s">
        <v>720</v>
      </c>
      <c r="F43" s="16">
        <v>378</v>
      </c>
      <c r="G43" s="17">
        <v>12485.68</v>
      </c>
      <c r="H43" s="17">
        <v>9250.08</v>
      </c>
      <c r="I43" s="17">
        <v>4719587.04</v>
      </c>
      <c r="J43" s="15" t="s">
        <v>30</v>
      </c>
      <c r="K43" s="15" t="s">
        <v>18</v>
      </c>
      <c r="L43" s="9">
        <f>YEAR(E43)</f>
        <v>2021</v>
      </c>
      <c r="M43">
        <f t="shared" si="0"/>
        <v>3496530.2399999998</v>
      </c>
    </row>
    <row r="44" spans="1:13" x14ac:dyDescent="0.15">
      <c r="A44" s="12"/>
      <c r="B44" s="13" t="s">
        <v>707</v>
      </c>
      <c r="C44" s="14" t="s">
        <v>38</v>
      </c>
      <c r="D44" s="15" t="s">
        <v>53</v>
      </c>
      <c r="E44" s="15" t="s">
        <v>69</v>
      </c>
      <c r="F44" s="16">
        <v>930</v>
      </c>
      <c r="G44" s="17">
        <v>11752.59</v>
      </c>
      <c r="H44" s="17">
        <v>7463.08</v>
      </c>
      <c r="I44" s="19">
        <v>10929908.699999999</v>
      </c>
      <c r="J44" s="15" t="s">
        <v>17</v>
      </c>
      <c r="K44" s="15" t="s">
        <v>18</v>
      </c>
      <c r="L44" s="9">
        <f>YEAR(E44)</f>
        <v>2021</v>
      </c>
      <c r="M44">
        <f t="shared" si="0"/>
        <v>6940664.4000000004</v>
      </c>
    </row>
    <row r="45" spans="1:13" x14ac:dyDescent="0.15">
      <c r="A45" s="12"/>
      <c r="B45" s="13" t="s">
        <v>707</v>
      </c>
      <c r="C45" s="14" t="s">
        <v>43</v>
      </c>
      <c r="D45" s="15" t="s">
        <v>89</v>
      </c>
      <c r="E45" s="15" t="s">
        <v>722</v>
      </c>
      <c r="F45" s="16">
        <v>377</v>
      </c>
      <c r="G45" s="17">
        <v>28535.67</v>
      </c>
      <c r="H45" s="17">
        <v>6210.24</v>
      </c>
      <c r="I45" s="17">
        <v>10757947.59</v>
      </c>
      <c r="J45" s="15" t="s">
        <v>28</v>
      </c>
      <c r="K45" s="15" t="s">
        <v>18</v>
      </c>
      <c r="L45" s="9">
        <f>YEAR(E45)</f>
        <v>2021</v>
      </c>
      <c r="M45">
        <f t="shared" si="0"/>
        <v>2341260.48</v>
      </c>
    </row>
    <row r="46" spans="1:13" x14ac:dyDescent="0.15">
      <c r="A46" s="12"/>
      <c r="B46" s="13" t="s">
        <v>707</v>
      </c>
      <c r="C46" s="14" t="s">
        <v>35</v>
      </c>
      <c r="D46" s="15" t="s">
        <v>89</v>
      </c>
      <c r="E46" s="15" t="s">
        <v>725</v>
      </c>
      <c r="F46" s="16">
        <v>490</v>
      </c>
      <c r="G46" s="19">
        <v>30620.6</v>
      </c>
      <c r="H46" s="17">
        <v>8193.51</v>
      </c>
      <c r="I46" s="16">
        <v>15004094</v>
      </c>
      <c r="J46" s="15" t="s">
        <v>30</v>
      </c>
      <c r="K46" s="15" t="s">
        <v>18</v>
      </c>
      <c r="L46" s="9">
        <f>YEAR(E46)</f>
        <v>2021</v>
      </c>
      <c r="M46">
        <f t="shared" si="0"/>
        <v>4014819.9</v>
      </c>
    </row>
    <row r="47" spans="1:13" x14ac:dyDescent="0.15">
      <c r="A47" s="12"/>
      <c r="B47" s="13" t="s">
        <v>707</v>
      </c>
      <c r="C47" s="14" t="s">
        <v>79</v>
      </c>
      <c r="D47" s="15" t="s">
        <v>89</v>
      </c>
      <c r="E47" s="15" t="s">
        <v>727</v>
      </c>
      <c r="F47" s="16">
        <v>220</v>
      </c>
      <c r="G47" s="17">
        <v>18365.32</v>
      </c>
      <c r="H47" s="17">
        <v>9655.52</v>
      </c>
      <c r="I47" s="19">
        <v>4040370.4</v>
      </c>
      <c r="J47" s="15" t="s">
        <v>30</v>
      </c>
      <c r="K47" s="15" t="s">
        <v>18</v>
      </c>
      <c r="L47" s="9">
        <f>YEAR(E47)</f>
        <v>2021</v>
      </c>
      <c r="M47">
        <f t="shared" si="0"/>
        <v>2124214.4</v>
      </c>
    </row>
    <row r="48" spans="1:13" x14ac:dyDescent="0.15">
      <c r="A48" s="12"/>
      <c r="B48" s="13" t="s">
        <v>707</v>
      </c>
      <c r="C48" s="14" t="s">
        <v>43</v>
      </c>
      <c r="D48" s="15" t="s">
        <v>89</v>
      </c>
      <c r="E48" s="15" t="s">
        <v>188</v>
      </c>
      <c r="F48" s="16">
        <v>762</v>
      </c>
      <c r="G48" s="17">
        <v>31052.45</v>
      </c>
      <c r="H48" s="17">
        <v>5531.35</v>
      </c>
      <c r="I48" s="19">
        <v>23661966.899999999</v>
      </c>
      <c r="J48" s="15" t="s">
        <v>17</v>
      </c>
      <c r="K48" s="15" t="s">
        <v>18</v>
      </c>
      <c r="L48" s="9">
        <f>YEAR(E48)</f>
        <v>2021</v>
      </c>
      <c r="M48">
        <f t="shared" si="0"/>
        <v>4214888.7</v>
      </c>
    </row>
    <row r="49" spans="1:13" x14ac:dyDescent="0.15">
      <c r="A49" s="12"/>
      <c r="B49" s="13" t="s">
        <v>707</v>
      </c>
      <c r="C49" s="14" t="s">
        <v>31</v>
      </c>
      <c r="D49" s="15" t="s">
        <v>107</v>
      </c>
      <c r="E49" s="15" t="s">
        <v>732</v>
      </c>
      <c r="F49" s="16">
        <v>846</v>
      </c>
      <c r="G49" s="17">
        <v>35637.29</v>
      </c>
      <c r="H49" s="17">
        <v>4083.88</v>
      </c>
      <c r="I49" s="17">
        <v>30149147.34</v>
      </c>
      <c r="J49" s="15" t="s">
        <v>22</v>
      </c>
      <c r="K49" s="15" t="s">
        <v>18</v>
      </c>
      <c r="L49" s="9">
        <f>YEAR(E49)</f>
        <v>2021</v>
      </c>
      <c r="M49">
        <f t="shared" si="0"/>
        <v>3454962.48</v>
      </c>
    </row>
    <row r="50" spans="1:13" x14ac:dyDescent="0.15">
      <c r="A50" s="12"/>
      <c r="B50" s="13" t="s">
        <v>707</v>
      </c>
      <c r="C50" s="14" t="s">
        <v>19</v>
      </c>
      <c r="D50" s="15" t="s">
        <v>107</v>
      </c>
      <c r="E50" s="15" t="s">
        <v>733</v>
      </c>
      <c r="F50" s="16">
        <v>414</v>
      </c>
      <c r="G50" s="19">
        <v>42114.2</v>
      </c>
      <c r="H50" s="17">
        <v>5486.61</v>
      </c>
      <c r="I50" s="19">
        <v>17435278.800000001</v>
      </c>
      <c r="J50" s="15" t="s">
        <v>17</v>
      </c>
      <c r="K50" s="15" t="s">
        <v>18</v>
      </c>
      <c r="L50" s="9">
        <f>YEAR(E50)</f>
        <v>2021</v>
      </c>
      <c r="M50">
        <f t="shared" si="0"/>
        <v>2271456.54</v>
      </c>
    </row>
    <row r="51" spans="1:13" x14ac:dyDescent="0.15">
      <c r="A51" s="12"/>
      <c r="B51" s="13" t="s">
        <v>707</v>
      </c>
      <c r="C51" s="14" t="s">
        <v>31</v>
      </c>
      <c r="D51" s="15" t="s">
        <v>107</v>
      </c>
      <c r="E51" s="15" t="s">
        <v>734</v>
      </c>
      <c r="F51" s="16">
        <v>711</v>
      </c>
      <c r="G51" s="17">
        <v>30663.26</v>
      </c>
      <c r="H51" s="17">
        <v>3202.33</v>
      </c>
      <c r="I51" s="17">
        <v>21801577.859999999</v>
      </c>
      <c r="J51" s="15" t="s">
        <v>17</v>
      </c>
      <c r="K51" s="15" t="s">
        <v>18</v>
      </c>
      <c r="L51" s="9">
        <f>YEAR(E51)</f>
        <v>2021</v>
      </c>
      <c r="M51">
        <f t="shared" si="0"/>
        <v>2276856.63</v>
      </c>
    </row>
    <row r="52" spans="1:13" x14ac:dyDescent="0.15">
      <c r="A52" s="12"/>
      <c r="B52" s="13" t="s">
        <v>707</v>
      </c>
      <c r="C52" s="14" t="s">
        <v>79</v>
      </c>
      <c r="D52" s="15" t="s">
        <v>107</v>
      </c>
      <c r="E52" s="15" t="s">
        <v>738</v>
      </c>
      <c r="F52" s="16">
        <v>190</v>
      </c>
      <c r="G52" s="17">
        <v>22327.68</v>
      </c>
      <c r="H52" s="17">
        <v>6223.45</v>
      </c>
      <c r="I52" s="19">
        <v>4242259.2</v>
      </c>
      <c r="J52" s="15" t="s">
        <v>17</v>
      </c>
      <c r="K52" s="15" t="s">
        <v>18</v>
      </c>
      <c r="L52" s="9">
        <f>YEAR(E52)</f>
        <v>2021</v>
      </c>
      <c r="M52">
        <f t="shared" si="0"/>
        <v>1182455.5</v>
      </c>
    </row>
    <row r="53" spans="1:13" x14ac:dyDescent="0.15">
      <c r="A53" s="12"/>
      <c r="B53" s="13" t="s">
        <v>707</v>
      </c>
      <c r="C53" s="14" t="s">
        <v>38</v>
      </c>
      <c r="D53" s="15" t="s">
        <v>153</v>
      </c>
      <c r="E53" s="15" t="s">
        <v>742</v>
      </c>
      <c r="F53" s="16">
        <v>877</v>
      </c>
      <c r="G53" s="17">
        <v>33879.550000000003</v>
      </c>
      <c r="H53" s="17">
        <v>5665.66</v>
      </c>
      <c r="I53" s="17">
        <v>29712365.350000001</v>
      </c>
      <c r="J53" s="15" t="s">
        <v>17</v>
      </c>
      <c r="K53" s="15" t="s">
        <v>18</v>
      </c>
      <c r="L53" s="9">
        <f>YEAR(E53)</f>
        <v>2021</v>
      </c>
      <c r="M53">
        <f t="shared" si="0"/>
        <v>4968783.82</v>
      </c>
    </row>
    <row r="54" spans="1:13" x14ac:dyDescent="0.15">
      <c r="A54" s="12"/>
      <c r="B54" s="13" t="s">
        <v>707</v>
      </c>
      <c r="C54" s="14" t="s">
        <v>19</v>
      </c>
      <c r="D54" s="15" t="s">
        <v>153</v>
      </c>
      <c r="E54" s="15" t="s">
        <v>749</v>
      </c>
      <c r="F54" s="16">
        <v>320</v>
      </c>
      <c r="G54" s="17">
        <v>18171.759999999998</v>
      </c>
      <c r="H54" s="17">
        <v>8433.08</v>
      </c>
      <c r="I54" s="19">
        <v>5814963.2000000002</v>
      </c>
      <c r="J54" s="15" t="s">
        <v>28</v>
      </c>
      <c r="K54" s="15" t="s">
        <v>18</v>
      </c>
      <c r="L54" s="9">
        <f>YEAR(E54)</f>
        <v>2021</v>
      </c>
      <c r="M54">
        <f t="shared" si="0"/>
        <v>2698585.6</v>
      </c>
    </row>
    <row r="55" spans="1:13" x14ac:dyDescent="0.15">
      <c r="A55" s="12"/>
      <c r="B55" s="13" t="s">
        <v>707</v>
      </c>
      <c r="C55" s="14" t="s">
        <v>43</v>
      </c>
      <c r="D55" s="15" t="s">
        <v>153</v>
      </c>
      <c r="E55" s="15" t="s">
        <v>757</v>
      </c>
      <c r="F55" s="16">
        <v>284</v>
      </c>
      <c r="G55" s="17">
        <v>34203.29</v>
      </c>
      <c r="H55" s="17">
        <v>5562.73</v>
      </c>
      <c r="I55" s="17">
        <v>9713734.3599999994</v>
      </c>
      <c r="J55" s="15" t="s">
        <v>17</v>
      </c>
      <c r="K55" s="15" t="s">
        <v>18</v>
      </c>
      <c r="L55" s="9">
        <f>YEAR(E55)</f>
        <v>2021</v>
      </c>
      <c r="M55">
        <f t="shared" si="0"/>
        <v>1579815.3199999998</v>
      </c>
    </row>
    <row r="56" spans="1:13" x14ac:dyDescent="0.15">
      <c r="A56" s="12"/>
      <c r="B56" s="13" t="s">
        <v>707</v>
      </c>
      <c r="C56" s="14" t="s">
        <v>35</v>
      </c>
      <c r="D56" s="15" t="s">
        <v>139</v>
      </c>
      <c r="E56" s="15" t="s">
        <v>758</v>
      </c>
      <c r="F56" s="16">
        <v>993</v>
      </c>
      <c r="G56" s="17">
        <v>41505.97</v>
      </c>
      <c r="H56" s="19">
        <v>4434.8999999999996</v>
      </c>
      <c r="I56" s="17">
        <v>41215428.210000001</v>
      </c>
      <c r="J56" s="15" t="s">
        <v>28</v>
      </c>
      <c r="K56" s="15" t="s">
        <v>18</v>
      </c>
      <c r="L56" s="9">
        <f>YEAR(E56)</f>
        <v>2021</v>
      </c>
      <c r="M56">
        <f t="shared" si="0"/>
        <v>4403855.6999999993</v>
      </c>
    </row>
    <row r="57" spans="1:13" x14ac:dyDescent="0.15">
      <c r="A57" s="12"/>
      <c r="B57" s="13" t="s">
        <v>707</v>
      </c>
      <c r="C57" s="14" t="s">
        <v>25</v>
      </c>
      <c r="D57" s="15" t="s">
        <v>139</v>
      </c>
      <c r="E57" s="15" t="s">
        <v>415</v>
      </c>
      <c r="F57" s="16">
        <v>972</v>
      </c>
      <c r="G57" s="17">
        <v>17424.12</v>
      </c>
      <c r="H57" s="17">
        <v>6738.21</v>
      </c>
      <c r="I57" s="17">
        <v>16936244.640000001</v>
      </c>
      <c r="J57" s="15" t="s">
        <v>22</v>
      </c>
      <c r="K57" s="15" t="s">
        <v>18</v>
      </c>
      <c r="L57" s="9">
        <f>YEAR(E57)</f>
        <v>2021</v>
      </c>
      <c r="M57">
        <f t="shared" si="0"/>
        <v>6549540.1200000001</v>
      </c>
    </row>
    <row r="58" spans="1:13" x14ac:dyDescent="0.15">
      <c r="A58" s="12"/>
      <c r="B58" s="13" t="s">
        <v>707</v>
      </c>
      <c r="C58" s="14" t="s">
        <v>14</v>
      </c>
      <c r="D58" s="15" t="s">
        <v>114</v>
      </c>
      <c r="E58" s="15" t="s">
        <v>194</v>
      </c>
      <c r="F58" s="16">
        <v>263</v>
      </c>
      <c r="G58" s="17">
        <v>33990.480000000003</v>
      </c>
      <c r="H58" s="17">
        <v>8787.7800000000007</v>
      </c>
      <c r="I58" s="17">
        <v>8939496.2400000002</v>
      </c>
      <c r="J58" s="15" t="s">
        <v>17</v>
      </c>
      <c r="K58" s="15" t="s">
        <v>18</v>
      </c>
      <c r="L58" s="9">
        <f>YEAR(E58)</f>
        <v>2021</v>
      </c>
      <c r="M58">
        <f t="shared" si="0"/>
        <v>2311186.14</v>
      </c>
    </row>
    <row r="59" spans="1:13" x14ac:dyDescent="0.15">
      <c r="A59" s="12"/>
      <c r="B59" s="13" t="s">
        <v>707</v>
      </c>
      <c r="C59" s="14" t="s">
        <v>14</v>
      </c>
      <c r="D59" s="15" t="s">
        <v>114</v>
      </c>
      <c r="E59" s="15" t="s">
        <v>465</v>
      </c>
      <c r="F59" s="16">
        <v>962</v>
      </c>
      <c r="G59" s="17">
        <v>12987.93</v>
      </c>
      <c r="H59" s="19">
        <v>6995.2</v>
      </c>
      <c r="I59" s="17">
        <v>12494388.66</v>
      </c>
      <c r="J59" s="15" t="s">
        <v>17</v>
      </c>
      <c r="K59" s="15" t="s">
        <v>18</v>
      </c>
      <c r="L59" s="9">
        <f>YEAR(E59)</f>
        <v>2021</v>
      </c>
      <c r="M59">
        <f t="shared" si="0"/>
        <v>6729382.3999999994</v>
      </c>
    </row>
    <row r="60" spans="1:13" x14ac:dyDescent="0.15">
      <c r="A60" s="12"/>
      <c r="B60" s="13" t="s">
        <v>707</v>
      </c>
      <c r="C60" s="14" t="s">
        <v>35</v>
      </c>
      <c r="D60" s="15" t="s">
        <v>70</v>
      </c>
      <c r="E60" s="15" t="s">
        <v>764</v>
      </c>
      <c r="F60" s="16">
        <v>181</v>
      </c>
      <c r="G60" s="19">
        <v>12844.9</v>
      </c>
      <c r="H60" s="17">
        <v>4897.6499999999996</v>
      </c>
      <c r="I60" s="19">
        <v>2324926.9</v>
      </c>
      <c r="J60" s="15" t="s">
        <v>17</v>
      </c>
      <c r="K60" s="15" t="s">
        <v>18</v>
      </c>
      <c r="L60" s="9">
        <f>YEAR(E60)</f>
        <v>2021</v>
      </c>
      <c r="M60">
        <f t="shared" si="0"/>
        <v>886474.64999999991</v>
      </c>
    </row>
    <row r="61" spans="1:13" x14ac:dyDescent="0.15">
      <c r="A61" s="12"/>
      <c r="B61" s="13" t="s">
        <v>707</v>
      </c>
      <c r="C61" s="14" t="s">
        <v>31</v>
      </c>
      <c r="D61" s="15" t="s">
        <v>70</v>
      </c>
      <c r="E61" s="15" t="s">
        <v>765</v>
      </c>
      <c r="F61" s="16">
        <v>291</v>
      </c>
      <c r="G61" s="17">
        <v>46984.32</v>
      </c>
      <c r="H61" s="17">
        <v>3639.36</v>
      </c>
      <c r="I61" s="17">
        <v>13672437.119999999</v>
      </c>
      <c r="J61" s="15" t="s">
        <v>17</v>
      </c>
      <c r="K61" s="15" t="s">
        <v>18</v>
      </c>
      <c r="L61" s="9">
        <f>YEAR(E61)</f>
        <v>2021</v>
      </c>
      <c r="M61">
        <f t="shared" si="0"/>
        <v>1059053.76</v>
      </c>
    </row>
    <row r="62" spans="1:13" x14ac:dyDescent="0.15">
      <c r="A62" s="12"/>
      <c r="B62" s="13" t="s">
        <v>707</v>
      </c>
      <c r="C62" s="14" t="s">
        <v>14</v>
      </c>
      <c r="D62" s="15" t="s">
        <v>70</v>
      </c>
      <c r="E62" s="15" t="s">
        <v>766</v>
      </c>
      <c r="F62" s="16">
        <v>750</v>
      </c>
      <c r="G62" s="17">
        <v>48870.19</v>
      </c>
      <c r="H62" s="17">
        <v>9474.77</v>
      </c>
      <c r="I62" s="19">
        <v>36652642.5</v>
      </c>
      <c r="J62" s="15" t="s">
        <v>17</v>
      </c>
      <c r="K62" s="15" t="s">
        <v>18</v>
      </c>
      <c r="L62" s="9">
        <f>YEAR(E62)</f>
        <v>2021</v>
      </c>
      <c r="M62">
        <f t="shared" si="0"/>
        <v>7106077.5</v>
      </c>
    </row>
    <row r="63" spans="1:13" x14ac:dyDescent="0.15">
      <c r="A63" s="12"/>
      <c r="B63" s="13" t="s">
        <v>707</v>
      </c>
      <c r="C63" s="14" t="s">
        <v>79</v>
      </c>
      <c r="D63" s="15" t="s">
        <v>70</v>
      </c>
      <c r="E63" s="15" t="s">
        <v>767</v>
      </c>
      <c r="F63" s="16">
        <v>719</v>
      </c>
      <c r="G63" s="17">
        <v>31328.17</v>
      </c>
      <c r="H63" s="17">
        <v>4687.24</v>
      </c>
      <c r="I63" s="17">
        <v>22524954.23</v>
      </c>
      <c r="J63" s="15" t="s">
        <v>17</v>
      </c>
      <c r="K63" s="15" t="s">
        <v>18</v>
      </c>
      <c r="L63" s="9">
        <f>YEAR(E63)</f>
        <v>2021</v>
      </c>
      <c r="M63">
        <f t="shared" si="0"/>
        <v>3370125.56</v>
      </c>
    </row>
    <row r="64" spans="1:13" x14ac:dyDescent="0.15">
      <c r="A64" s="12"/>
      <c r="B64" s="13" t="s">
        <v>707</v>
      </c>
      <c r="C64" s="14" t="s">
        <v>23</v>
      </c>
      <c r="D64" s="15" t="s">
        <v>70</v>
      </c>
      <c r="E64" s="15" t="s">
        <v>773</v>
      </c>
      <c r="F64" s="16">
        <v>769</v>
      </c>
      <c r="G64" s="17">
        <v>48785.86</v>
      </c>
      <c r="H64" s="17">
        <v>9075.51</v>
      </c>
      <c r="I64" s="17">
        <v>37516326.340000004</v>
      </c>
      <c r="J64" s="15" t="s">
        <v>17</v>
      </c>
      <c r="K64" s="15" t="s">
        <v>18</v>
      </c>
      <c r="L64" s="9">
        <f>YEAR(E64)</f>
        <v>2021</v>
      </c>
      <c r="M64">
        <f t="shared" si="0"/>
        <v>6979067.1900000004</v>
      </c>
    </row>
    <row r="65" spans="1:13" x14ac:dyDescent="0.15">
      <c r="A65" s="12"/>
      <c r="B65" s="13" t="s">
        <v>707</v>
      </c>
      <c r="C65" s="14" t="s">
        <v>25</v>
      </c>
      <c r="D65" s="15" t="s">
        <v>15</v>
      </c>
      <c r="E65" s="15" t="s">
        <v>776</v>
      </c>
      <c r="F65" s="16">
        <v>807</v>
      </c>
      <c r="G65" s="17">
        <v>18090.87</v>
      </c>
      <c r="H65" s="17">
        <v>7265.71</v>
      </c>
      <c r="I65" s="17">
        <v>14599332.09</v>
      </c>
      <c r="J65" s="15" t="s">
        <v>17</v>
      </c>
      <c r="K65" s="15" t="s">
        <v>18</v>
      </c>
      <c r="L65" s="9">
        <f>YEAR(E65)</f>
        <v>2021</v>
      </c>
      <c r="M65">
        <f t="shared" si="0"/>
        <v>5863427.9699999997</v>
      </c>
    </row>
    <row r="66" spans="1:13" x14ac:dyDescent="0.15">
      <c r="A66" s="12"/>
      <c r="B66" s="13" t="s">
        <v>707</v>
      </c>
      <c r="C66" s="14" t="s">
        <v>31</v>
      </c>
      <c r="D66" s="15" t="s">
        <v>15</v>
      </c>
      <c r="E66" s="15" t="s">
        <v>44</v>
      </c>
      <c r="F66" s="16">
        <v>228</v>
      </c>
      <c r="G66" s="17">
        <v>41382.33</v>
      </c>
      <c r="H66" s="17">
        <v>6303.59</v>
      </c>
      <c r="I66" s="17">
        <v>9435171.2400000002</v>
      </c>
      <c r="J66" s="15" t="s">
        <v>17</v>
      </c>
      <c r="K66" s="15" t="s">
        <v>18</v>
      </c>
      <c r="L66" s="9">
        <f>YEAR(E66)</f>
        <v>2021</v>
      </c>
      <c r="M66">
        <f t="shared" si="0"/>
        <v>1437218.52</v>
      </c>
    </row>
    <row r="67" spans="1:13" x14ac:dyDescent="0.15">
      <c r="A67" s="12"/>
      <c r="B67" s="13" t="s">
        <v>707</v>
      </c>
      <c r="C67" s="14" t="s">
        <v>14</v>
      </c>
      <c r="D67" s="15" t="s">
        <v>15</v>
      </c>
      <c r="E67" s="15" t="s">
        <v>778</v>
      </c>
      <c r="F67" s="16">
        <v>811</v>
      </c>
      <c r="G67" s="17">
        <v>36623.160000000003</v>
      </c>
      <c r="H67" s="19">
        <v>8224.9</v>
      </c>
      <c r="I67" s="17">
        <v>29701382.760000002</v>
      </c>
      <c r="J67" s="15" t="s">
        <v>17</v>
      </c>
      <c r="K67" s="15" t="s">
        <v>18</v>
      </c>
      <c r="L67" s="9">
        <f>YEAR(E67)</f>
        <v>2021</v>
      </c>
      <c r="M67">
        <f t="shared" si="0"/>
        <v>6670393.8999999994</v>
      </c>
    </row>
    <row r="68" spans="1:13" x14ac:dyDescent="0.15">
      <c r="A68" s="12"/>
      <c r="B68" s="13" t="s">
        <v>707</v>
      </c>
      <c r="C68" s="14" t="s">
        <v>79</v>
      </c>
      <c r="D68" s="15" t="s">
        <v>15</v>
      </c>
      <c r="E68" s="15" t="s">
        <v>782</v>
      </c>
      <c r="F68" s="16">
        <v>814</v>
      </c>
      <c r="G68" s="17">
        <v>30126.69</v>
      </c>
      <c r="H68" s="17">
        <v>4693.67</v>
      </c>
      <c r="I68" s="17">
        <v>24523125.66</v>
      </c>
      <c r="J68" s="15" t="s">
        <v>30</v>
      </c>
      <c r="K68" s="15" t="s">
        <v>18</v>
      </c>
      <c r="L68" s="9">
        <f>YEAR(E68)</f>
        <v>2021</v>
      </c>
      <c r="M68">
        <f t="shared" ref="M68:M131" si="1">H68*F68</f>
        <v>3820647.38</v>
      </c>
    </row>
    <row r="69" spans="1:13" x14ac:dyDescent="0.15">
      <c r="A69" s="12"/>
      <c r="B69" s="13" t="s">
        <v>707</v>
      </c>
      <c r="C69" s="14" t="s">
        <v>19</v>
      </c>
      <c r="D69" s="15" t="s">
        <v>26</v>
      </c>
      <c r="E69" s="15" t="s">
        <v>783</v>
      </c>
      <c r="F69" s="16">
        <v>810</v>
      </c>
      <c r="G69" s="17">
        <v>29162.35</v>
      </c>
      <c r="H69" s="17">
        <v>8685.33</v>
      </c>
      <c r="I69" s="19">
        <v>23621503.5</v>
      </c>
      <c r="J69" s="15" t="s">
        <v>17</v>
      </c>
      <c r="K69" s="15" t="s">
        <v>18</v>
      </c>
      <c r="L69" s="9">
        <f>YEAR(E69)</f>
        <v>2021</v>
      </c>
      <c r="M69">
        <f t="shared" si="1"/>
        <v>7035117.2999999998</v>
      </c>
    </row>
    <row r="70" spans="1:13" x14ac:dyDescent="0.15">
      <c r="A70" s="12"/>
      <c r="B70" s="13" t="s">
        <v>707</v>
      </c>
      <c r="C70" s="14" t="s">
        <v>23</v>
      </c>
      <c r="D70" s="15" t="s">
        <v>68</v>
      </c>
      <c r="E70" s="15" t="s">
        <v>464</v>
      </c>
      <c r="F70" s="16">
        <v>373</v>
      </c>
      <c r="G70" s="17">
        <v>13415.94</v>
      </c>
      <c r="H70" s="17">
        <v>9590.9500000000007</v>
      </c>
      <c r="I70" s="17">
        <v>5004145.62</v>
      </c>
      <c r="J70" s="15" t="s">
        <v>17</v>
      </c>
      <c r="K70" s="15" t="s">
        <v>18</v>
      </c>
      <c r="L70" s="9">
        <f>YEAR(E70)</f>
        <v>2022</v>
      </c>
      <c r="M70">
        <f t="shared" si="1"/>
        <v>3577424.35</v>
      </c>
    </row>
    <row r="71" spans="1:13" x14ac:dyDescent="0.15">
      <c r="A71" s="12"/>
      <c r="B71" s="13" t="s">
        <v>707</v>
      </c>
      <c r="C71" s="14" t="s">
        <v>25</v>
      </c>
      <c r="D71" s="15" t="s">
        <v>68</v>
      </c>
      <c r="E71" s="15" t="s">
        <v>709</v>
      </c>
      <c r="F71" s="16">
        <v>321</v>
      </c>
      <c r="G71" s="17">
        <v>14556.35</v>
      </c>
      <c r="H71" s="17">
        <v>5906.37</v>
      </c>
      <c r="I71" s="17">
        <v>4672588.3499999996</v>
      </c>
      <c r="J71" s="15" t="s">
        <v>17</v>
      </c>
      <c r="K71" s="15" t="s">
        <v>18</v>
      </c>
      <c r="L71" s="9">
        <f>YEAR(E71)</f>
        <v>2022</v>
      </c>
      <c r="M71">
        <f t="shared" si="1"/>
        <v>1895944.77</v>
      </c>
    </row>
    <row r="72" spans="1:13" x14ac:dyDescent="0.15">
      <c r="A72" s="12"/>
      <c r="B72" s="13" t="s">
        <v>707</v>
      </c>
      <c r="C72" s="14" t="s">
        <v>19</v>
      </c>
      <c r="D72" s="15" t="s">
        <v>68</v>
      </c>
      <c r="E72" s="15" t="s">
        <v>711</v>
      </c>
      <c r="F72" s="16">
        <v>856</v>
      </c>
      <c r="G72" s="17">
        <v>38044.129999999997</v>
      </c>
      <c r="H72" s="17">
        <v>2728.58</v>
      </c>
      <c r="I72" s="17">
        <v>32565775.280000001</v>
      </c>
      <c r="J72" s="15" t="s">
        <v>17</v>
      </c>
      <c r="K72" s="15" t="s">
        <v>18</v>
      </c>
      <c r="L72" s="9">
        <f>YEAR(E72)</f>
        <v>2022</v>
      </c>
      <c r="M72">
        <f t="shared" si="1"/>
        <v>2335664.48</v>
      </c>
    </row>
    <row r="73" spans="1:13" x14ac:dyDescent="0.15">
      <c r="A73" s="12"/>
      <c r="B73" s="13" t="s">
        <v>707</v>
      </c>
      <c r="C73" s="14" t="s">
        <v>57</v>
      </c>
      <c r="D73" s="15" t="s">
        <v>68</v>
      </c>
      <c r="E73" s="15" t="s">
        <v>51</v>
      </c>
      <c r="F73" s="16">
        <v>880</v>
      </c>
      <c r="G73" s="17">
        <v>40170.32</v>
      </c>
      <c r="H73" s="17">
        <v>6843.59</v>
      </c>
      <c r="I73" s="19">
        <v>35349881.600000001</v>
      </c>
      <c r="J73" s="15" t="s">
        <v>28</v>
      </c>
      <c r="K73" s="15" t="s">
        <v>18</v>
      </c>
      <c r="L73" s="9">
        <f>YEAR(E73)</f>
        <v>2022</v>
      </c>
      <c r="M73">
        <f t="shared" si="1"/>
        <v>6022359.2000000002</v>
      </c>
    </row>
    <row r="74" spans="1:13" x14ac:dyDescent="0.15">
      <c r="A74" s="12"/>
      <c r="B74" s="13" t="s">
        <v>707</v>
      </c>
      <c r="C74" s="14" t="s">
        <v>25</v>
      </c>
      <c r="D74" s="15" t="s">
        <v>53</v>
      </c>
      <c r="E74" s="15" t="s">
        <v>713</v>
      </c>
      <c r="F74" s="16">
        <v>589</v>
      </c>
      <c r="G74" s="17">
        <v>16688.990000000002</v>
      </c>
      <c r="H74" s="17">
        <v>5445.11</v>
      </c>
      <c r="I74" s="17">
        <v>9829815.1099999994</v>
      </c>
      <c r="J74" s="15" t="s">
        <v>17</v>
      </c>
      <c r="K74" s="15" t="s">
        <v>18</v>
      </c>
      <c r="L74" s="9">
        <f>YEAR(E74)</f>
        <v>2022</v>
      </c>
      <c r="M74">
        <f t="shared" si="1"/>
        <v>3207169.79</v>
      </c>
    </row>
    <row r="75" spans="1:13" x14ac:dyDescent="0.15">
      <c r="A75" s="12"/>
      <c r="B75" s="13" t="s">
        <v>707</v>
      </c>
      <c r="C75" s="14" t="s">
        <v>23</v>
      </c>
      <c r="D75" s="15" t="s">
        <v>53</v>
      </c>
      <c r="E75" s="15" t="s">
        <v>714</v>
      </c>
      <c r="F75" s="16">
        <v>905</v>
      </c>
      <c r="G75" s="17">
        <v>13158.97</v>
      </c>
      <c r="H75" s="17">
        <v>3692.93</v>
      </c>
      <c r="I75" s="17">
        <v>11908867.85</v>
      </c>
      <c r="J75" s="15" t="s">
        <v>17</v>
      </c>
      <c r="K75" s="15" t="s">
        <v>18</v>
      </c>
      <c r="L75" s="9">
        <f>YEAR(E75)</f>
        <v>2022</v>
      </c>
      <c r="M75">
        <f t="shared" si="1"/>
        <v>3342101.65</v>
      </c>
    </row>
    <row r="76" spans="1:13" x14ac:dyDescent="0.15">
      <c r="A76" s="12"/>
      <c r="B76" s="13" t="s">
        <v>707</v>
      </c>
      <c r="C76" s="14" t="s">
        <v>79</v>
      </c>
      <c r="D76" s="15" t="s">
        <v>53</v>
      </c>
      <c r="E76" s="15" t="s">
        <v>717</v>
      </c>
      <c r="F76" s="16">
        <v>113</v>
      </c>
      <c r="G76" s="17">
        <v>44959.45</v>
      </c>
      <c r="H76" s="17">
        <v>6092.14</v>
      </c>
      <c r="I76" s="17">
        <v>5080417.8499999996</v>
      </c>
      <c r="J76" s="15" t="s">
        <v>17</v>
      </c>
      <c r="K76" s="15" t="s">
        <v>18</v>
      </c>
      <c r="L76" s="9">
        <f>YEAR(E76)</f>
        <v>2022</v>
      </c>
      <c r="M76">
        <f t="shared" si="1"/>
        <v>688411.82000000007</v>
      </c>
    </row>
    <row r="77" spans="1:13" x14ac:dyDescent="0.15">
      <c r="A77" s="12"/>
      <c r="B77" s="13" t="s">
        <v>707</v>
      </c>
      <c r="C77" s="14" t="s">
        <v>31</v>
      </c>
      <c r="D77" s="15" t="s">
        <v>53</v>
      </c>
      <c r="E77" s="15" t="s">
        <v>63</v>
      </c>
      <c r="F77" s="16">
        <v>757</v>
      </c>
      <c r="G77" s="17">
        <v>33275.53</v>
      </c>
      <c r="H77" s="17">
        <v>8144.09</v>
      </c>
      <c r="I77" s="17">
        <v>25189576.210000001</v>
      </c>
      <c r="J77" s="15" t="s">
        <v>17</v>
      </c>
      <c r="K77" s="15" t="s">
        <v>18</v>
      </c>
      <c r="L77" s="9">
        <f>YEAR(E77)</f>
        <v>2022</v>
      </c>
      <c r="M77">
        <f t="shared" si="1"/>
        <v>6165076.1299999999</v>
      </c>
    </row>
    <row r="78" spans="1:13" x14ac:dyDescent="0.15">
      <c r="A78" s="12"/>
      <c r="B78" s="13" t="s">
        <v>707</v>
      </c>
      <c r="C78" s="14" t="s">
        <v>25</v>
      </c>
      <c r="D78" s="15" t="s">
        <v>53</v>
      </c>
      <c r="E78" s="15" t="s">
        <v>721</v>
      </c>
      <c r="F78" s="16">
        <v>343</v>
      </c>
      <c r="G78" s="17">
        <v>28619.01</v>
      </c>
      <c r="H78" s="17">
        <v>8180.16</v>
      </c>
      <c r="I78" s="17">
        <v>9816320.4299999997</v>
      </c>
      <c r="J78" s="15" t="s">
        <v>17</v>
      </c>
      <c r="K78" s="15" t="s">
        <v>18</v>
      </c>
      <c r="L78" s="9">
        <f>YEAR(E78)</f>
        <v>2022</v>
      </c>
      <c r="M78">
        <f t="shared" si="1"/>
        <v>2805794.88</v>
      </c>
    </row>
    <row r="79" spans="1:13" x14ac:dyDescent="0.15">
      <c r="A79" s="12"/>
      <c r="B79" s="13" t="s">
        <v>707</v>
      </c>
      <c r="C79" s="14" t="s">
        <v>43</v>
      </c>
      <c r="D79" s="15" t="s">
        <v>89</v>
      </c>
      <c r="E79" s="15" t="s">
        <v>724</v>
      </c>
      <c r="F79" s="16">
        <v>431</v>
      </c>
      <c r="G79" s="17">
        <v>30944.44</v>
      </c>
      <c r="H79" s="17">
        <v>4854.76</v>
      </c>
      <c r="I79" s="17">
        <v>13337053.640000001</v>
      </c>
      <c r="J79" s="15" t="s">
        <v>22</v>
      </c>
      <c r="K79" s="15" t="s">
        <v>18</v>
      </c>
      <c r="L79" s="9">
        <f>YEAR(E79)</f>
        <v>2022</v>
      </c>
      <c r="M79">
        <f t="shared" si="1"/>
        <v>2092401.56</v>
      </c>
    </row>
    <row r="80" spans="1:13" x14ac:dyDescent="0.15">
      <c r="A80" s="12"/>
      <c r="B80" s="13" t="s">
        <v>707</v>
      </c>
      <c r="C80" s="14" t="s">
        <v>38</v>
      </c>
      <c r="D80" s="15" t="s">
        <v>89</v>
      </c>
      <c r="E80" s="15" t="s">
        <v>209</v>
      </c>
      <c r="F80" s="16">
        <v>249</v>
      </c>
      <c r="G80" s="17">
        <v>43575.519999999997</v>
      </c>
      <c r="H80" s="17">
        <v>5482.79</v>
      </c>
      <c r="I80" s="17">
        <v>10850304.48</v>
      </c>
      <c r="J80" s="15" t="s">
        <v>17</v>
      </c>
      <c r="K80" s="15" t="s">
        <v>18</v>
      </c>
      <c r="L80" s="9">
        <f>YEAR(E80)</f>
        <v>2022</v>
      </c>
      <c r="M80">
        <f t="shared" si="1"/>
        <v>1365214.71</v>
      </c>
    </row>
    <row r="81" spans="1:13" x14ac:dyDescent="0.15">
      <c r="A81" s="12"/>
      <c r="B81" s="13" t="s">
        <v>707</v>
      </c>
      <c r="C81" s="14" t="s">
        <v>57</v>
      </c>
      <c r="D81" s="15" t="s">
        <v>89</v>
      </c>
      <c r="E81" s="15" t="s">
        <v>190</v>
      </c>
      <c r="F81" s="16">
        <v>615</v>
      </c>
      <c r="G81" s="17">
        <v>29388.41</v>
      </c>
      <c r="H81" s="19">
        <v>4431.2</v>
      </c>
      <c r="I81" s="17">
        <v>18073872.149999999</v>
      </c>
      <c r="J81" s="15" t="s">
        <v>17</v>
      </c>
      <c r="K81" s="15" t="s">
        <v>18</v>
      </c>
      <c r="L81" s="9">
        <f>YEAR(E81)</f>
        <v>2022</v>
      </c>
      <c r="M81">
        <f t="shared" si="1"/>
        <v>2725188</v>
      </c>
    </row>
    <row r="82" spans="1:13" x14ac:dyDescent="0.15">
      <c r="A82" s="12"/>
      <c r="B82" s="13" t="s">
        <v>707</v>
      </c>
      <c r="C82" s="14" t="s">
        <v>35</v>
      </c>
      <c r="D82" s="15" t="s">
        <v>107</v>
      </c>
      <c r="E82" s="15" t="s">
        <v>309</v>
      </c>
      <c r="F82" s="16">
        <v>662</v>
      </c>
      <c r="G82" s="17">
        <v>33103.72</v>
      </c>
      <c r="H82" s="19">
        <v>8786.6</v>
      </c>
      <c r="I82" s="17">
        <v>21914662.640000001</v>
      </c>
      <c r="J82" s="15" t="s">
        <v>22</v>
      </c>
      <c r="K82" s="15" t="s">
        <v>18</v>
      </c>
      <c r="L82" s="9">
        <f>YEAR(E82)</f>
        <v>2022</v>
      </c>
      <c r="M82">
        <f t="shared" si="1"/>
        <v>5816729.2000000002</v>
      </c>
    </row>
    <row r="83" spans="1:13" x14ac:dyDescent="0.15">
      <c r="A83" s="12"/>
      <c r="B83" s="13" t="s">
        <v>707</v>
      </c>
      <c r="C83" s="14" t="s">
        <v>38</v>
      </c>
      <c r="D83" s="15" t="s">
        <v>107</v>
      </c>
      <c r="E83" s="15" t="s">
        <v>737</v>
      </c>
      <c r="F83" s="16">
        <v>471</v>
      </c>
      <c r="G83" s="19">
        <v>38081.699999999997</v>
      </c>
      <c r="H83" s="17">
        <v>8208.7199999999993</v>
      </c>
      <c r="I83" s="19">
        <v>17936480.699999999</v>
      </c>
      <c r="J83" s="15" t="s">
        <v>30</v>
      </c>
      <c r="K83" s="15" t="s">
        <v>18</v>
      </c>
      <c r="L83" s="9">
        <f>YEAR(E83)</f>
        <v>2022</v>
      </c>
      <c r="M83">
        <f t="shared" si="1"/>
        <v>3866307.1199999996</v>
      </c>
    </row>
    <row r="84" spans="1:13" x14ac:dyDescent="0.15">
      <c r="A84" s="12"/>
      <c r="B84" s="13" t="s">
        <v>707</v>
      </c>
      <c r="C84" s="14" t="s">
        <v>35</v>
      </c>
      <c r="D84" s="15" t="s">
        <v>107</v>
      </c>
      <c r="E84" s="15" t="s">
        <v>410</v>
      </c>
      <c r="F84" s="16">
        <v>949</v>
      </c>
      <c r="G84" s="17">
        <v>38419.360000000001</v>
      </c>
      <c r="H84" s="17">
        <v>3631.91</v>
      </c>
      <c r="I84" s="17">
        <v>36459972.640000001</v>
      </c>
      <c r="J84" s="15" t="s">
        <v>30</v>
      </c>
      <c r="K84" s="15" t="s">
        <v>18</v>
      </c>
      <c r="L84" s="9">
        <f>YEAR(E84)</f>
        <v>2022</v>
      </c>
      <c r="M84">
        <f t="shared" si="1"/>
        <v>3446682.59</v>
      </c>
    </row>
    <row r="85" spans="1:13" x14ac:dyDescent="0.15">
      <c r="A85" s="12"/>
      <c r="B85" s="13" t="s">
        <v>707</v>
      </c>
      <c r="C85" s="14" t="s">
        <v>31</v>
      </c>
      <c r="D85" s="15" t="s">
        <v>107</v>
      </c>
      <c r="E85" s="15" t="s">
        <v>192</v>
      </c>
      <c r="F85" s="16">
        <v>497</v>
      </c>
      <c r="G85" s="17">
        <v>36446.19</v>
      </c>
      <c r="H85" s="17">
        <v>6203.23</v>
      </c>
      <c r="I85" s="17">
        <v>18113756.43</v>
      </c>
      <c r="J85" s="15" t="s">
        <v>28</v>
      </c>
      <c r="K85" s="15" t="s">
        <v>18</v>
      </c>
      <c r="L85" s="9">
        <f>YEAR(E85)</f>
        <v>2022</v>
      </c>
      <c r="M85">
        <f t="shared" si="1"/>
        <v>3083005.3099999996</v>
      </c>
    </row>
    <row r="86" spans="1:13" x14ac:dyDescent="0.15">
      <c r="A86" s="12"/>
      <c r="B86" s="13" t="s">
        <v>707</v>
      </c>
      <c r="C86" s="14" t="s">
        <v>38</v>
      </c>
      <c r="D86" s="15" t="s">
        <v>107</v>
      </c>
      <c r="E86" s="15" t="s">
        <v>740</v>
      </c>
      <c r="F86" s="16">
        <v>476</v>
      </c>
      <c r="G86" s="17">
        <v>14011.07</v>
      </c>
      <c r="H86" s="17">
        <v>5099.37</v>
      </c>
      <c r="I86" s="17">
        <v>6669269.3200000003</v>
      </c>
      <c r="J86" s="15" t="s">
        <v>30</v>
      </c>
      <c r="K86" s="15" t="s">
        <v>18</v>
      </c>
      <c r="L86" s="9">
        <f>YEAR(E86)</f>
        <v>2022</v>
      </c>
      <c r="M86">
        <f t="shared" si="1"/>
        <v>2427300.12</v>
      </c>
    </row>
    <row r="87" spans="1:13" x14ac:dyDescent="0.15">
      <c r="A87" s="12"/>
      <c r="B87" s="13" t="s">
        <v>707</v>
      </c>
      <c r="C87" s="14" t="s">
        <v>14</v>
      </c>
      <c r="D87" s="15" t="s">
        <v>153</v>
      </c>
      <c r="E87" s="15" t="s">
        <v>743</v>
      </c>
      <c r="F87" s="16">
        <v>622</v>
      </c>
      <c r="G87" s="17">
        <v>11709.51</v>
      </c>
      <c r="H87" s="17">
        <v>2043.12</v>
      </c>
      <c r="I87" s="17">
        <v>7283315.2199999997</v>
      </c>
      <c r="J87" s="15" t="s">
        <v>30</v>
      </c>
      <c r="K87" s="15" t="s">
        <v>18</v>
      </c>
      <c r="L87" s="9">
        <f>YEAR(E87)</f>
        <v>2022</v>
      </c>
      <c r="M87">
        <f t="shared" si="1"/>
        <v>1270820.6399999999</v>
      </c>
    </row>
    <row r="88" spans="1:13" x14ac:dyDescent="0.15">
      <c r="A88" s="12"/>
      <c r="B88" s="13" t="s">
        <v>707</v>
      </c>
      <c r="C88" s="14" t="s">
        <v>31</v>
      </c>
      <c r="D88" s="15" t="s">
        <v>153</v>
      </c>
      <c r="E88" s="15" t="s">
        <v>744</v>
      </c>
      <c r="F88" s="16">
        <v>109</v>
      </c>
      <c r="G88" s="17">
        <v>30617.79</v>
      </c>
      <c r="H88" s="17">
        <v>6262.87</v>
      </c>
      <c r="I88" s="17">
        <v>3337339.11</v>
      </c>
      <c r="J88" s="15" t="s">
        <v>28</v>
      </c>
      <c r="K88" s="15" t="s">
        <v>18</v>
      </c>
      <c r="L88" s="9">
        <f>YEAR(E88)</f>
        <v>2022</v>
      </c>
      <c r="M88">
        <f t="shared" si="1"/>
        <v>682652.83</v>
      </c>
    </row>
    <row r="89" spans="1:13" x14ac:dyDescent="0.15">
      <c r="A89" s="12"/>
      <c r="B89" s="13" t="s">
        <v>707</v>
      </c>
      <c r="C89" s="14" t="s">
        <v>19</v>
      </c>
      <c r="D89" s="15" t="s">
        <v>153</v>
      </c>
      <c r="E89" s="15" t="s">
        <v>747</v>
      </c>
      <c r="F89" s="16">
        <v>137</v>
      </c>
      <c r="G89" s="17">
        <v>15527.66</v>
      </c>
      <c r="H89" s="17">
        <v>8331.52</v>
      </c>
      <c r="I89" s="17">
        <v>2127289.42</v>
      </c>
      <c r="J89" s="15" t="s">
        <v>17</v>
      </c>
      <c r="K89" s="15" t="s">
        <v>18</v>
      </c>
      <c r="L89" s="9">
        <f>YEAR(E89)</f>
        <v>2022</v>
      </c>
      <c r="M89">
        <f t="shared" si="1"/>
        <v>1141418.24</v>
      </c>
    </row>
    <row r="90" spans="1:13" x14ac:dyDescent="0.15">
      <c r="A90" s="12"/>
      <c r="B90" s="13" t="s">
        <v>707</v>
      </c>
      <c r="C90" s="14" t="s">
        <v>57</v>
      </c>
      <c r="D90" s="15" t="s">
        <v>153</v>
      </c>
      <c r="E90" s="15" t="s">
        <v>750</v>
      </c>
      <c r="F90" s="16">
        <v>776</v>
      </c>
      <c r="G90" s="17">
        <v>37554.32</v>
      </c>
      <c r="H90" s="17">
        <v>6300.28</v>
      </c>
      <c r="I90" s="17">
        <v>29142152.32</v>
      </c>
      <c r="J90" s="15" t="s">
        <v>17</v>
      </c>
      <c r="K90" s="15" t="s">
        <v>18</v>
      </c>
      <c r="L90" s="9">
        <f>YEAR(E90)</f>
        <v>2022</v>
      </c>
      <c r="M90">
        <f t="shared" si="1"/>
        <v>4889017.28</v>
      </c>
    </row>
    <row r="91" spans="1:13" x14ac:dyDescent="0.15">
      <c r="A91" s="12"/>
      <c r="B91" s="13" t="s">
        <v>707</v>
      </c>
      <c r="C91" s="14" t="s">
        <v>79</v>
      </c>
      <c r="D91" s="15" t="s">
        <v>153</v>
      </c>
      <c r="E91" s="15" t="s">
        <v>752</v>
      </c>
      <c r="F91" s="16">
        <v>329</v>
      </c>
      <c r="G91" s="17">
        <v>43020.95</v>
      </c>
      <c r="H91" s="17">
        <v>6895.44</v>
      </c>
      <c r="I91" s="17">
        <v>14153892.550000001</v>
      </c>
      <c r="J91" s="15" t="s">
        <v>30</v>
      </c>
      <c r="K91" s="15" t="s">
        <v>18</v>
      </c>
      <c r="L91" s="9">
        <f>YEAR(E91)</f>
        <v>2022</v>
      </c>
      <c r="M91">
        <f t="shared" si="1"/>
        <v>2268599.7599999998</v>
      </c>
    </row>
    <row r="92" spans="1:13" x14ac:dyDescent="0.15">
      <c r="A92" s="12"/>
      <c r="B92" s="13" t="s">
        <v>707</v>
      </c>
      <c r="C92" s="14" t="s">
        <v>79</v>
      </c>
      <c r="D92" s="15" t="s">
        <v>153</v>
      </c>
      <c r="E92" s="15" t="s">
        <v>753</v>
      </c>
      <c r="F92" s="16">
        <v>484</v>
      </c>
      <c r="G92" s="19">
        <v>19067.8</v>
      </c>
      <c r="H92" s="17">
        <v>3327.57</v>
      </c>
      <c r="I92" s="19">
        <v>9228815.1999999993</v>
      </c>
      <c r="J92" s="15" t="s">
        <v>30</v>
      </c>
      <c r="K92" s="15" t="s">
        <v>18</v>
      </c>
      <c r="L92" s="9">
        <f>YEAR(E92)</f>
        <v>2022</v>
      </c>
      <c r="M92">
        <f t="shared" si="1"/>
        <v>1610543.8800000001</v>
      </c>
    </row>
    <row r="93" spans="1:13" x14ac:dyDescent="0.15">
      <c r="A93" s="12"/>
      <c r="B93" s="13" t="s">
        <v>707</v>
      </c>
      <c r="C93" s="14" t="s">
        <v>57</v>
      </c>
      <c r="D93" s="15" t="s">
        <v>153</v>
      </c>
      <c r="E93" s="15" t="s">
        <v>688</v>
      </c>
      <c r="F93" s="16">
        <v>969</v>
      </c>
      <c r="G93" s="19">
        <v>33912.199999999997</v>
      </c>
      <c r="H93" s="19">
        <v>6646.6</v>
      </c>
      <c r="I93" s="19">
        <v>32860921.800000001</v>
      </c>
      <c r="J93" s="15" t="s">
        <v>17</v>
      </c>
      <c r="K93" s="15" t="s">
        <v>18</v>
      </c>
      <c r="L93" s="9">
        <f>YEAR(E93)</f>
        <v>2022</v>
      </c>
      <c r="M93">
        <f t="shared" si="1"/>
        <v>6440555.4000000004</v>
      </c>
    </row>
    <row r="94" spans="1:13" x14ac:dyDescent="0.15">
      <c r="A94" s="12"/>
      <c r="B94" s="13" t="s">
        <v>707</v>
      </c>
      <c r="C94" s="14" t="s">
        <v>14</v>
      </c>
      <c r="D94" s="15" t="s">
        <v>139</v>
      </c>
      <c r="E94" s="15" t="s">
        <v>526</v>
      </c>
      <c r="F94" s="16">
        <v>716</v>
      </c>
      <c r="G94" s="19">
        <v>19523.8</v>
      </c>
      <c r="H94" s="17">
        <v>7102.27</v>
      </c>
      <c r="I94" s="19">
        <v>13979040.800000001</v>
      </c>
      <c r="J94" s="15" t="s">
        <v>30</v>
      </c>
      <c r="K94" s="15" t="s">
        <v>18</v>
      </c>
      <c r="L94" s="9">
        <f>YEAR(E94)</f>
        <v>2022</v>
      </c>
      <c r="M94">
        <f t="shared" si="1"/>
        <v>5085225.32</v>
      </c>
    </row>
    <row r="95" spans="1:13" x14ac:dyDescent="0.15">
      <c r="A95" s="12"/>
      <c r="B95" s="13" t="s">
        <v>707</v>
      </c>
      <c r="C95" s="14" t="s">
        <v>43</v>
      </c>
      <c r="D95" s="15" t="s">
        <v>114</v>
      </c>
      <c r="E95" s="15" t="s">
        <v>95</v>
      </c>
      <c r="F95" s="16">
        <v>180</v>
      </c>
      <c r="G95" s="17">
        <v>35098.42</v>
      </c>
      <c r="H95" s="17">
        <v>3193.55</v>
      </c>
      <c r="I95" s="19">
        <v>6317715.5999999996</v>
      </c>
      <c r="J95" s="15" t="s">
        <v>28</v>
      </c>
      <c r="K95" s="15" t="s">
        <v>18</v>
      </c>
      <c r="L95" s="9">
        <f>YEAR(E95)</f>
        <v>2022</v>
      </c>
      <c r="M95">
        <f t="shared" si="1"/>
        <v>574839</v>
      </c>
    </row>
    <row r="96" spans="1:13" x14ac:dyDescent="0.15">
      <c r="A96" s="12"/>
      <c r="B96" s="13" t="s">
        <v>707</v>
      </c>
      <c r="C96" s="14" t="s">
        <v>79</v>
      </c>
      <c r="D96" s="15" t="s">
        <v>114</v>
      </c>
      <c r="E96" s="15" t="s">
        <v>760</v>
      </c>
      <c r="F96" s="16">
        <v>573</v>
      </c>
      <c r="G96" s="19">
        <v>25825.9</v>
      </c>
      <c r="H96" s="17">
        <v>5873.67</v>
      </c>
      <c r="I96" s="19">
        <v>14798240.699999999</v>
      </c>
      <c r="J96" s="15" t="s">
        <v>17</v>
      </c>
      <c r="K96" s="15" t="s">
        <v>18</v>
      </c>
      <c r="L96" s="9">
        <f>YEAR(E96)</f>
        <v>2022</v>
      </c>
      <c r="M96">
        <f t="shared" si="1"/>
        <v>3365612.91</v>
      </c>
    </row>
    <row r="97" spans="1:13" x14ac:dyDescent="0.15">
      <c r="A97" s="12"/>
      <c r="B97" s="13" t="s">
        <v>707</v>
      </c>
      <c r="C97" s="14" t="s">
        <v>31</v>
      </c>
      <c r="D97" s="15" t="s">
        <v>26</v>
      </c>
      <c r="E97" s="15" t="s">
        <v>760</v>
      </c>
      <c r="F97" s="16">
        <v>674</v>
      </c>
      <c r="G97" s="17">
        <v>31768.74</v>
      </c>
      <c r="H97" s="17">
        <v>3973.93</v>
      </c>
      <c r="I97" s="17">
        <v>21412130.760000002</v>
      </c>
      <c r="J97" s="15" t="s">
        <v>17</v>
      </c>
      <c r="K97" s="15" t="s">
        <v>18</v>
      </c>
      <c r="L97" s="9">
        <f>YEAR(E97)</f>
        <v>2022</v>
      </c>
      <c r="M97">
        <f t="shared" si="1"/>
        <v>2678428.8199999998</v>
      </c>
    </row>
    <row r="98" spans="1:13" x14ac:dyDescent="0.15">
      <c r="A98" s="12"/>
      <c r="B98" s="13" t="s">
        <v>707</v>
      </c>
      <c r="C98" s="14" t="s">
        <v>14</v>
      </c>
      <c r="D98" s="15" t="s">
        <v>114</v>
      </c>
      <c r="E98" s="15" t="s">
        <v>761</v>
      </c>
      <c r="F98" s="16">
        <v>519</v>
      </c>
      <c r="G98" s="17">
        <v>23287.18</v>
      </c>
      <c r="H98" s="17">
        <v>9858.14</v>
      </c>
      <c r="I98" s="17">
        <v>12086046.42</v>
      </c>
      <c r="J98" s="15" t="s">
        <v>30</v>
      </c>
      <c r="K98" s="15" t="s">
        <v>18</v>
      </c>
      <c r="L98" s="9">
        <f>YEAR(E98)</f>
        <v>2022</v>
      </c>
      <c r="M98">
        <f t="shared" si="1"/>
        <v>5116374.66</v>
      </c>
    </row>
    <row r="99" spans="1:13" x14ac:dyDescent="0.15">
      <c r="A99" s="12"/>
      <c r="B99" s="13" t="s">
        <v>707</v>
      </c>
      <c r="C99" s="14" t="s">
        <v>19</v>
      </c>
      <c r="D99" s="15" t="s">
        <v>15</v>
      </c>
      <c r="E99" s="15" t="s">
        <v>779</v>
      </c>
      <c r="F99" s="16">
        <v>669</v>
      </c>
      <c r="G99" s="17">
        <v>27099.759999999998</v>
      </c>
      <c r="H99" s="17">
        <v>9279.52</v>
      </c>
      <c r="I99" s="17">
        <v>18129739.440000001</v>
      </c>
      <c r="J99" s="15" t="s">
        <v>28</v>
      </c>
      <c r="K99" s="15" t="s">
        <v>18</v>
      </c>
      <c r="L99" s="9">
        <f>YEAR(E99)</f>
        <v>2022</v>
      </c>
      <c r="M99">
        <f t="shared" si="1"/>
        <v>6207998.8799999999</v>
      </c>
    </row>
    <row r="100" spans="1:13" x14ac:dyDescent="0.15">
      <c r="A100" s="12"/>
      <c r="B100" s="13" t="s">
        <v>707</v>
      </c>
      <c r="C100" s="14" t="s">
        <v>31</v>
      </c>
      <c r="D100" s="15" t="s">
        <v>15</v>
      </c>
      <c r="E100" s="15" t="s">
        <v>780</v>
      </c>
      <c r="F100" s="16">
        <v>586</v>
      </c>
      <c r="G100" s="17">
        <v>33793.72</v>
      </c>
      <c r="H100" s="17">
        <v>9831.9500000000007</v>
      </c>
      <c r="I100" s="17">
        <v>19803119.920000002</v>
      </c>
      <c r="J100" s="15" t="s">
        <v>30</v>
      </c>
      <c r="K100" s="15" t="s">
        <v>18</v>
      </c>
      <c r="L100" s="9">
        <f>YEAR(E100)</f>
        <v>2022</v>
      </c>
      <c r="M100">
        <f t="shared" si="1"/>
        <v>5761522.7000000002</v>
      </c>
    </row>
    <row r="101" spans="1:13" x14ac:dyDescent="0.15">
      <c r="A101" s="12"/>
      <c r="B101" s="13" t="s">
        <v>707</v>
      </c>
      <c r="C101" s="14" t="s">
        <v>19</v>
      </c>
      <c r="D101" s="15" t="s">
        <v>26</v>
      </c>
      <c r="E101" s="15" t="s">
        <v>541</v>
      </c>
      <c r="F101" s="16">
        <v>679</v>
      </c>
      <c r="G101" s="17">
        <v>35641.08</v>
      </c>
      <c r="H101" s="17">
        <v>6425.87</v>
      </c>
      <c r="I101" s="17">
        <v>24200293.32</v>
      </c>
      <c r="J101" s="15" t="s">
        <v>28</v>
      </c>
      <c r="K101" s="15" t="s">
        <v>18</v>
      </c>
      <c r="L101" s="9">
        <f>YEAR(E101)</f>
        <v>2022</v>
      </c>
      <c r="M101">
        <f t="shared" si="1"/>
        <v>4363165.7299999995</v>
      </c>
    </row>
    <row r="102" spans="1:13" x14ac:dyDescent="0.15">
      <c r="A102" s="12"/>
      <c r="B102" s="13" t="s">
        <v>707</v>
      </c>
      <c r="C102" s="14" t="s">
        <v>31</v>
      </c>
      <c r="D102" s="15" t="s">
        <v>68</v>
      </c>
      <c r="E102" s="15" t="s">
        <v>708</v>
      </c>
      <c r="F102" s="16">
        <v>924</v>
      </c>
      <c r="G102" s="19">
        <v>40546.5</v>
      </c>
      <c r="H102" s="17">
        <v>6374.24</v>
      </c>
      <c r="I102" s="16">
        <v>37464966</v>
      </c>
      <c r="J102" s="15" t="s">
        <v>30</v>
      </c>
      <c r="K102" s="15" t="s">
        <v>18</v>
      </c>
      <c r="L102" s="9">
        <f>YEAR(E102)</f>
        <v>2023</v>
      </c>
      <c r="M102">
        <f t="shared" si="1"/>
        <v>5889797.7599999998</v>
      </c>
    </row>
    <row r="103" spans="1:13" x14ac:dyDescent="0.15">
      <c r="A103" s="12"/>
      <c r="B103" s="13" t="s">
        <v>707</v>
      </c>
      <c r="C103" s="14" t="s">
        <v>25</v>
      </c>
      <c r="D103" s="15" t="s">
        <v>53</v>
      </c>
      <c r="E103" s="15" t="s">
        <v>459</v>
      </c>
      <c r="F103" s="16">
        <v>329</v>
      </c>
      <c r="G103" s="17">
        <v>41907.39</v>
      </c>
      <c r="H103" s="17">
        <v>3974.45</v>
      </c>
      <c r="I103" s="17">
        <v>13787531.310000001</v>
      </c>
      <c r="J103" s="15" t="s">
        <v>22</v>
      </c>
      <c r="K103" s="15" t="s">
        <v>18</v>
      </c>
      <c r="L103" s="9">
        <f>YEAR(E103)</f>
        <v>2023</v>
      </c>
      <c r="M103">
        <f t="shared" si="1"/>
        <v>1307594.05</v>
      </c>
    </row>
    <row r="104" spans="1:13" x14ac:dyDescent="0.15">
      <c r="A104" s="12"/>
      <c r="B104" s="13" t="s">
        <v>707</v>
      </c>
      <c r="C104" s="14" t="s">
        <v>31</v>
      </c>
      <c r="D104" s="15" t="s">
        <v>89</v>
      </c>
      <c r="E104" s="15" t="s">
        <v>723</v>
      </c>
      <c r="F104" s="16">
        <v>410</v>
      </c>
      <c r="G104" s="17">
        <v>23384.86</v>
      </c>
      <c r="H104" s="17">
        <v>9149.14</v>
      </c>
      <c r="I104" s="19">
        <v>9587792.5999999996</v>
      </c>
      <c r="J104" s="15" t="s">
        <v>22</v>
      </c>
      <c r="K104" s="15" t="s">
        <v>18</v>
      </c>
      <c r="L104" s="9">
        <f>YEAR(E104)</f>
        <v>2023</v>
      </c>
      <c r="M104">
        <f t="shared" si="1"/>
        <v>3751147.4</v>
      </c>
    </row>
    <row r="105" spans="1:13" x14ac:dyDescent="0.15">
      <c r="A105" s="12"/>
      <c r="B105" s="13" t="s">
        <v>707</v>
      </c>
      <c r="C105" s="14" t="s">
        <v>31</v>
      </c>
      <c r="D105" s="15" t="s">
        <v>89</v>
      </c>
      <c r="E105" s="15" t="s">
        <v>729</v>
      </c>
      <c r="F105" s="16">
        <v>810</v>
      </c>
      <c r="G105" s="17">
        <v>25588.62</v>
      </c>
      <c r="H105" s="17">
        <v>3915.42</v>
      </c>
      <c r="I105" s="19">
        <v>20726782.199999999</v>
      </c>
      <c r="J105" s="15" t="s">
        <v>22</v>
      </c>
      <c r="K105" s="15" t="s">
        <v>18</v>
      </c>
      <c r="L105" s="9">
        <f>YEAR(E105)</f>
        <v>2023</v>
      </c>
      <c r="M105">
        <f t="shared" si="1"/>
        <v>3171490.2</v>
      </c>
    </row>
    <row r="106" spans="1:13" x14ac:dyDescent="0.15">
      <c r="A106" s="12"/>
      <c r="B106" s="13" t="s">
        <v>707</v>
      </c>
      <c r="C106" s="14" t="s">
        <v>35</v>
      </c>
      <c r="D106" s="15" t="s">
        <v>89</v>
      </c>
      <c r="E106" s="15" t="s">
        <v>235</v>
      </c>
      <c r="F106" s="16">
        <v>495</v>
      </c>
      <c r="G106" s="17">
        <v>49344.94</v>
      </c>
      <c r="H106" s="17">
        <v>3262.03</v>
      </c>
      <c r="I106" s="19">
        <v>24425745.300000001</v>
      </c>
      <c r="J106" s="15" t="s">
        <v>17</v>
      </c>
      <c r="K106" s="15" t="s">
        <v>18</v>
      </c>
      <c r="L106" s="9">
        <f>YEAR(E106)</f>
        <v>2023</v>
      </c>
      <c r="M106">
        <f t="shared" si="1"/>
        <v>1614704.85</v>
      </c>
    </row>
    <row r="107" spans="1:13" x14ac:dyDescent="0.15">
      <c r="A107" s="12"/>
      <c r="B107" s="13" t="s">
        <v>707</v>
      </c>
      <c r="C107" s="14" t="s">
        <v>57</v>
      </c>
      <c r="D107" s="15" t="s">
        <v>89</v>
      </c>
      <c r="E107" s="15" t="s">
        <v>403</v>
      </c>
      <c r="F107" s="16">
        <v>933</v>
      </c>
      <c r="G107" s="17">
        <v>21358.84</v>
      </c>
      <c r="H107" s="17">
        <v>5191.57</v>
      </c>
      <c r="I107" s="17">
        <v>19927797.719999999</v>
      </c>
      <c r="J107" s="15" t="s">
        <v>17</v>
      </c>
      <c r="K107" s="15" t="s">
        <v>18</v>
      </c>
      <c r="L107" s="9">
        <f>YEAR(E107)</f>
        <v>2023</v>
      </c>
      <c r="M107">
        <f t="shared" si="1"/>
        <v>4843734.8099999996</v>
      </c>
    </row>
    <row r="108" spans="1:13" x14ac:dyDescent="0.15">
      <c r="A108" s="12"/>
      <c r="B108" s="13" t="s">
        <v>707</v>
      </c>
      <c r="C108" s="14" t="s">
        <v>35</v>
      </c>
      <c r="D108" s="15" t="s">
        <v>89</v>
      </c>
      <c r="E108" s="15" t="s">
        <v>731</v>
      </c>
      <c r="F108" s="16">
        <v>797</v>
      </c>
      <c r="G108" s="17">
        <v>19485.29</v>
      </c>
      <c r="H108" s="19">
        <v>3002.8</v>
      </c>
      <c r="I108" s="17">
        <v>15529776.130000001</v>
      </c>
      <c r="J108" s="15" t="s">
        <v>17</v>
      </c>
      <c r="K108" s="15" t="s">
        <v>18</v>
      </c>
      <c r="L108" s="9">
        <f>YEAR(E108)</f>
        <v>2023</v>
      </c>
      <c r="M108">
        <f t="shared" si="1"/>
        <v>2393231.6</v>
      </c>
    </row>
    <row r="109" spans="1:13" x14ac:dyDescent="0.15">
      <c r="A109" s="12"/>
      <c r="B109" s="13" t="s">
        <v>707</v>
      </c>
      <c r="C109" s="14" t="s">
        <v>19</v>
      </c>
      <c r="D109" s="15" t="s">
        <v>107</v>
      </c>
      <c r="E109" s="15" t="s">
        <v>731</v>
      </c>
      <c r="F109" s="16">
        <v>864</v>
      </c>
      <c r="G109" s="17">
        <v>37353.61</v>
      </c>
      <c r="H109" s="17">
        <v>9363.41</v>
      </c>
      <c r="I109" s="17">
        <v>32273519.039999999</v>
      </c>
      <c r="J109" s="15" t="s">
        <v>30</v>
      </c>
      <c r="K109" s="15" t="s">
        <v>18</v>
      </c>
      <c r="L109" s="9">
        <f>YEAR(E109)</f>
        <v>2023</v>
      </c>
      <c r="M109">
        <f t="shared" si="1"/>
        <v>8089986.2400000002</v>
      </c>
    </row>
    <row r="110" spans="1:13" x14ac:dyDescent="0.15">
      <c r="A110" s="12"/>
      <c r="B110" s="13" t="s">
        <v>707</v>
      </c>
      <c r="C110" s="14" t="s">
        <v>25</v>
      </c>
      <c r="D110" s="15" t="s">
        <v>107</v>
      </c>
      <c r="E110" s="15" t="s">
        <v>566</v>
      </c>
      <c r="F110" s="16">
        <v>665</v>
      </c>
      <c r="G110" s="17">
        <v>47558.52</v>
      </c>
      <c r="H110" s="17">
        <v>7747.05</v>
      </c>
      <c r="I110" s="19">
        <v>31626415.800000001</v>
      </c>
      <c r="J110" s="15" t="s">
        <v>30</v>
      </c>
      <c r="K110" s="15" t="s">
        <v>18</v>
      </c>
      <c r="L110" s="9">
        <f>YEAR(E110)</f>
        <v>2023</v>
      </c>
      <c r="M110">
        <f t="shared" si="1"/>
        <v>5151788.25</v>
      </c>
    </row>
    <row r="111" spans="1:13" x14ac:dyDescent="0.15">
      <c r="A111" s="12"/>
      <c r="B111" s="13" t="s">
        <v>707</v>
      </c>
      <c r="C111" s="14" t="s">
        <v>38</v>
      </c>
      <c r="D111" s="15" t="s">
        <v>107</v>
      </c>
      <c r="E111" s="15" t="s">
        <v>480</v>
      </c>
      <c r="F111" s="16">
        <v>909</v>
      </c>
      <c r="G111" s="17">
        <v>12986.58</v>
      </c>
      <c r="H111" s="17">
        <v>5787.44</v>
      </c>
      <c r="I111" s="17">
        <v>11804801.220000001</v>
      </c>
      <c r="J111" s="15" t="s">
        <v>17</v>
      </c>
      <c r="K111" s="15" t="s">
        <v>18</v>
      </c>
      <c r="L111" s="9">
        <f>YEAR(E111)</f>
        <v>2023</v>
      </c>
      <c r="M111">
        <f t="shared" si="1"/>
        <v>5260782.96</v>
      </c>
    </row>
    <row r="112" spans="1:13" x14ac:dyDescent="0.15">
      <c r="A112" s="12"/>
      <c r="B112" s="13" t="s">
        <v>707</v>
      </c>
      <c r="C112" s="14" t="s">
        <v>19</v>
      </c>
      <c r="D112" s="15" t="s">
        <v>107</v>
      </c>
      <c r="E112" s="15" t="s">
        <v>501</v>
      </c>
      <c r="F112" s="16">
        <v>663</v>
      </c>
      <c r="G112" s="17">
        <v>30675.14</v>
      </c>
      <c r="H112" s="17">
        <v>2723.64</v>
      </c>
      <c r="I112" s="17">
        <v>20337617.82</v>
      </c>
      <c r="J112" s="15" t="s">
        <v>22</v>
      </c>
      <c r="K112" s="15" t="s">
        <v>18</v>
      </c>
      <c r="L112" s="9">
        <f>YEAR(E112)</f>
        <v>2023</v>
      </c>
      <c r="M112">
        <f t="shared" si="1"/>
        <v>1805773.3199999998</v>
      </c>
    </row>
    <row r="113" spans="1:13" x14ac:dyDescent="0.15">
      <c r="A113" s="12"/>
      <c r="B113" s="13" t="s">
        <v>707</v>
      </c>
      <c r="C113" s="14" t="s">
        <v>25</v>
      </c>
      <c r="D113" s="15" t="s">
        <v>139</v>
      </c>
      <c r="E113" s="15" t="s">
        <v>501</v>
      </c>
      <c r="F113" s="16">
        <v>266</v>
      </c>
      <c r="G113" s="17">
        <v>27835.87</v>
      </c>
      <c r="H113" s="17">
        <v>4866.09</v>
      </c>
      <c r="I113" s="17">
        <v>7404341.4199999999</v>
      </c>
      <c r="J113" s="15" t="s">
        <v>17</v>
      </c>
      <c r="K113" s="15" t="s">
        <v>18</v>
      </c>
      <c r="L113" s="9">
        <f>YEAR(E113)</f>
        <v>2023</v>
      </c>
      <c r="M113">
        <f t="shared" si="1"/>
        <v>1294379.94</v>
      </c>
    </row>
    <row r="114" spans="1:13" x14ac:dyDescent="0.15">
      <c r="A114" s="12"/>
      <c r="B114" s="13" t="s">
        <v>707</v>
      </c>
      <c r="C114" s="14" t="s">
        <v>79</v>
      </c>
      <c r="D114" s="15" t="s">
        <v>107</v>
      </c>
      <c r="E114" s="15" t="s">
        <v>736</v>
      </c>
      <c r="F114" s="16">
        <v>911</v>
      </c>
      <c r="G114" s="17">
        <v>24589.63</v>
      </c>
      <c r="H114" s="17">
        <v>5784.62</v>
      </c>
      <c r="I114" s="17">
        <v>22401152.93</v>
      </c>
      <c r="J114" s="15" t="s">
        <v>30</v>
      </c>
      <c r="K114" s="15" t="s">
        <v>18</v>
      </c>
      <c r="L114" s="9">
        <f>YEAR(E114)</f>
        <v>2023</v>
      </c>
      <c r="M114">
        <f t="shared" si="1"/>
        <v>5269788.82</v>
      </c>
    </row>
    <row r="115" spans="1:13" x14ac:dyDescent="0.15">
      <c r="A115" s="12"/>
      <c r="B115" s="13" t="s">
        <v>707</v>
      </c>
      <c r="C115" s="14" t="s">
        <v>23</v>
      </c>
      <c r="D115" s="15" t="s">
        <v>107</v>
      </c>
      <c r="E115" s="15" t="s">
        <v>101</v>
      </c>
      <c r="F115" s="16">
        <v>142</v>
      </c>
      <c r="G115" s="17">
        <v>14677.15</v>
      </c>
      <c r="H115" s="17">
        <v>7760.44</v>
      </c>
      <c r="I115" s="19">
        <v>2084155.3</v>
      </c>
      <c r="J115" s="15" t="s">
        <v>28</v>
      </c>
      <c r="K115" s="15" t="s">
        <v>18</v>
      </c>
      <c r="L115" s="9">
        <f>YEAR(E115)</f>
        <v>2023</v>
      </c>
      <c r="M115">
        <f t="shared" si="1"/>
        <v>1101982.48</v>
      </c>
    </row>
    <row r="116" spans="1:13" x14ac:dyDescent="0.15">
      <c r="A116" s="12"/>
      <c r="B116" s="13" t="s">
        <v>707</v>
      </c>
      <c r="C116" s="14" t="s">
        <v>79</v>
      </c>
      <c r="D116" s="15" t="s">
        <v>107</v>
      </c>
      <c r="E116" s="15" t="s">
        <v>687</v>
      </c>
      <c r="F116" s="16">
        <v>737</v>
      </c>
      <c r="G116" s="19">
        <v>19643.3</v>
      </c>
      <c r="H116" s="17">
        <v>9374.93</v>
      </c>
      <c r="I116" s="19">
        <v>14477112.1</v>
      </c>
      <c r="J116" s="15" t="s">
        <v>17</v>
      </c>
      <c r="K116" s="15" t="s">
        <v>18</v>
      </c>
      <c r="L116" s="9">
        <f>YEAR(E116)</f>
        <v>2023</v>
      </c>
      <c r="M116">
        <f t="shared" si="1"/>
        <v>6909323.4100000001</v>
      </c>
    </row>
    <row r="117" spans="1:13" x14ac:dyDescent="0.15">
      <c r="A117" s="12"/>
      <c r="B117" s="13" t="s">
        <v>707</v>
      </c>
      <c r="C117" s="14" t="s">
        <v>38</v>
      </c>
      <c r="D117" s="15" t="s">
        <v>139</v>
      </c>
      <c r="E117" s="15" t="s">
        <v>687</v>
      </c>
      <c r="F117" s="16">
        <v>234</v>
      </c>
      <c r="G117" s="17">
        <v>43772.23</v>
      </c>
      <c r="H117" s="17">
        <v>6472.47</v>
      </c>
      <c r="I117" s="17">
        <v>10242701.82</v>
      </c>
      <c r="J117" s="15" t="s">
        <v>17</v>
      </c>
      <c r="K117" s="15" t="s">
        <v>18</v>
      </c>
      <c r="L117" s="9">
        <f>YEAR(E117)</f>
        <v>2023</v>
      </c>
      <c r="M117">
        <f t="shared" si="1"/>
        <v>1514557.98</v>
      </c>
    </row>
    <row r="118" spans="1:13" x14ac:dyDescent="0.15">
      <c r="A118" s="12"/>
      <c r="B118" s="13" t="s">
        <v>707</v>
      </c>
      <c r="C118" s="14" t="s">
        <v>79</v>
      </c>
      <c r="D118" s="15" t="s">
        <v>107</v>
      </c>
      <c r="E118" s="15" t="s">
        <v>741</v>
      </c>
      <c r="F118" s="16">
        <v>662</v>
      </c>
      <c r="G118" s="17">
        <v>39462.230000000003</v>
      </c>
      <c r="H118" s="17">
        <v>2455.1799999999998</v>
      </c>
      <c r="I118" s="17">
        <v>26123996.260000002</v>
      </c>
      <c r="J118" s="15" t="s">
        <v>22</v>
      </c>
      <c r="K118" s="15" t="s">
        <v>18</v>
      </c>
      <c r="L118" s="9">
        <f>YEAR(E118)</f>
        <v>2023</v>
      </c>
      <c r="M118">
        <f t="shared" si="1"/>
        <v>1625329.16</v>
      </c>
    </row>
    <row r="119" spans="1:13" x14ac:dyDescent="0.15">
      <c r="A119" s="12"/>
      <c r="B119" s="13" t="s">
        <v>707</v>
      </c>
      <c r="C119" s="14" t="s">
        <v>57</v>
      </c>
      <c r="D119" s="15" t="s">
        <v>153</v>
      </c>
      <c r="E119" s="15" t="s">
        <v>504</v>
      </c>
      <c r="F119" s="16">
        <v>248</v>
      </c>
      <c r="G119" s="19">
        <v>30929.200000000001</v>
      </c>
      <c r="H119" s="17">
        <v>2548.66</v>
      </c>
      <c r="I119" s="19">
        <v>7670441.5999999996</v>
      </c>
      <c r="J119" s="15" t="s">
        <v>17</v>
      </c>
      <c r="K119" s="15" t="s">
        <v>18</v>
      </c>
      <c r="L119" s="9">
        <f>YEAR(E119)</f>
        <v>2023</v>
      </c>
      <c r="M119">
        <f t="shared" si="1"/>
        <v>632067.67999999993</v>
      </c>
    </row>
    <row r="120" spans="1:13" x14ac:dyDescent="0.15">
      <c r="A120" s="12"/>
      <c r="B120" s="13" t="s">
        <v>707</v>
      </c>
      <c r="C120" s="14" t="s">
        <v>31</v>
      </c>
      <c r="D120" s="15" t="s">
        <v>153</v>
      </c>
      <c r="E120" s="15" t="s">
        <v>751</v>
      </c>
      <c r="F120" s="16">
        <v>228</v>
      </c>
      <c r="G120" s="17">
        <v>18716.18</v>
      </c>
      <c r="H120" s="17">
        <v>5460.56</v>
      </c>
      <c r="I120" s="17">
        <v>4267289.04</v>
      </c>
      <c r="J120" s="15" t="s">
        <v>30</v>
      </c>
      <c r="K120" s="15" t="s">
        <v>18</v>
      </c>
      <c r="L120" s="9">
        <f>YEAR(E120)</f>
        <v>2023</v>
      </c>
      <c r="M120">
        <f t="shared" si="1"/>
        <v>1245007.6800000002</v>
      </c>
    </row>
    <row r="121" spans="1:13" x14ac:dyDescent="0.15">
      <c r="A121" s="12"/>
      <c r="B121" s="13" t="s">
        <v>707</v>
      </c>
      <c r="C121" s="14" t="s">
        <v>57</v>
      </c>
      <c r="D121" s="15" t="s">
        <v>153</v>
      </c>
      <c r="E121" s="15" t="s">
        <v>756</v>
      </c>
      <c r="F121" s="16">
        <v>907</v>
      </c>
      <c r="G121" s="17">
        <v>42974.87</v>
      </c>
      <c r="H121" s="17">
        <v>3303.73</v>
      </c>
      <c r="I121" s="17">
        <v>38978207.090000004</v>
      </c>
      <c r="J121" s="15" t="s">
        <v>17</v>
      </c>
      <c r="K121" s="15" t="s">
        <v>18</v>
      </c>
      <c r="L121" s="9">
        <f>YEAR(E121)</f>
        <v>2023</v>
      </c>
      <c r="M121">
        <f t="shared" si="1"/>
        <v>2996483.11</v>
      </c>
    </row>
    <row r="122" spans="1:13" x14ac:dyDescent="0.15">
      <c r="A122" s="12"/>
      <c r="B122" s="13" t="s">
        <v>707</v>
      </c>
      <c r="C122" s="14" t="s">
        <v>19</v>
      </c>
      <c r="D122" s="15" t="s">
        <v>139</v>
      </c>
      <c r="E122" s="15" t="s">
        <v>71</v>
      </c>
      <c r="F122" s="16">
        <v>406</v>
      </c>
      <c r="G122" s="17">
        <v>39603.82</v>
      </c>
      <c r="H122" s="17">
        <v>5227.59</v>
      </c>
      <c r="I122" s="17">
        <v>16079150.92</v>
      </c>
      <c r="J122" s="15" t="s">
        <v>17</v>
      </c>
      <c r="K122" s="15" t="s">
        <v>18</v>
      </c>
      <c r="L122" s="9">
        <f>YEAR(E122)</f>
        <v>2023</v>
      </c>
      <c r="M122">
        <f t="shared" si="1"/>
        <v>2122401.54</v>
      </c>
    </row>
    <row r="123" spans="1:13" x14ac:dyDescent="0.15">
      <c r="A123" s="12"/>
      <c r="B123" s="13" t="s">
        <v>707</v>
      </c>
      <c r="C123" s="14" t="s">
        <v>25</v>
      </c>
      <c r="D123" s="15" t="s">
        <v>139</v>
      </c>
      <c r="E123" s="15" t="s">
        <v>378</v>
      </c>
      <c r="F123" s="16">
        <v>667</v>
      </c>
      <c r="G123" s="17">
        <v>20963.97</v>
      </c>
      <c r="H123" s="17">
        <v>8605.9500000000007</v>
      </c>
      <c r="I123" s="17">
        <v>13982967.99</v>
      </c>
      <c r="J123" s="15" t="s">
        <v>30</v>
      </c>
      <c r="K123" s="15" t="s">
        <v>18</v>
      </c>
      <c r="L123" s="9">
        <f>YEAR(E123)</f>
        <v>2023</v>
      </c>
      <c r="M123">
        <f t="shared" si="1"/>
        <v>5740168.6500000004</v>
      </c>
    </row>
    <row r="124" spans="1:13" x14ac:dyDescent="0.15">
      <c r="A124" s="12"/>
      <c r="B124" s="13" t="s">
        <v>707</v>
      </c>
      <c r="C124" s="14" t="s">
        <v>38</v>
      </c>
      <c r="D124" s="15" t="s">
        <v>139</v>
      </c>
      <c r="E124" s="15" t="s">
        <v>239</v>
      </c>
      <c r="F124" s="16">
        <v>964</v>
      </c>
      <c r="G124" s="17">
        <v>19492.46</v>
      </c>
      <c r="H124" s="17">
        <v>7012.52</v>
      </c>
      <c r="I124" s="17">
        <v>18790731.440000001</v>
      </c>
      <c r="J124" s="15" t="s">
        <v>28</v>
      </c>
      <c r="K124" s="15" t="s">
        <v>18</v>
      </c>
      <c r="L124" s="9">
        <f>YEAR(E124)</f>
        <v>2023</v>
      </c>
      <c r="M124">
        <f t="shared" si="1"/>
        <v>6760069.2800000003</v>
      </c>
    </row>
    <row r="125" spans="1:13" x14ac:dyDescent="0.15">
      <c r="A125" s="12"/>
      <c r="B125" s="13" t="s">
        <v>707</v>
      </c>
      <c r="C125" s="14" t="s">
        <v>57</v>
      </c>
      <c r="D125" s="15" t="s">
        <v>139</v>
      </c>
      <c r="E125" s="15" t="s">
        <v>651</v>
      </c>
      <c r="F125" s="16">
        <v>256</v>
      </c>
      <c r="G125" s="17">
        <v>17418.61</v>
      </c>
      <c r="H125" s="17">
        <v>4900.83</v>
      </c>
      <c r="I125" s="17">
        <v>4459164.16</v>
      </c>
      <c r="J125" s="15" t="s">
        <v>30</v>
      </c>
      <c r="K125" s="15" t="s">
        <v>18</v>
      </c>
      <c r="L125" s="9">
        <f>YEAR(E125)</f>
        <v>2023</v>
      </c>
      <c r="M125">
        <f t="shared" si="1"/>
        <v>1254612.48</v>
      </c>
    </row>
    <row r="126" spans="1:13" x14ac:dyDescent="0.15">
      <c r="A126" s="12"/>
      <c r="B126" s="13" t="s">
        <v>707</v>
      </c>
      <c r="C126" s="14" t="s">
        <v>38</v>
      </c>
      <c r="D126" s="15" t="s">
        <v>70</v>
      </c>
      <c r="E126" s="15" t="s">
        <v>763</v>
      </c>
      <c r="F126" s="16">
        <v>108</v>
      </c>
      <c r="G126" s="17">
        <v>34228.639999999999</v>
      </c>
      <c r="H126" s="17">
        <v>9645.39</v>
      </c>
      <c r="I126" s="17">
        <v>3696693.12</v>
      </c>
      <c r="J126" s="15" t="s">
        <v>17</v>
      </c>
      <c r="K126" s="15" t="s">
        <v>18</v>
      </c>
      <c r="L126" s="9">
        <f>YEAR(E126)</f>
        <v>2023</v>
      </c>
      <c r="M126">
        <f t="shared" si="1"/>
        <v>1041702.1199999999</v>
      </c>
    </row>
    <row r="127" spans="1:13" x14ac:dyDescent="0.15">
      <c r="A127" s="12"/>
      <c r="B127" s="13" t="s">
        <v>707</v>
      </c>
      <c r="C127" s="14" t="s">
        <v>57</v>
      </c>
      <c r="D127" s="15" t="s">
        <v>70</v>
      </c>
      <c r="E127" s="15" t="s">
        <v>771</v>
      </c>
      <c r="F127" s="16">
        <v>588</v>
      </c>
      <c r="G127" s="17">
        <v>36758.76</v>
      </c>
      <c r="H127" s="17">
        <v>4729.76</v>
      </c>
      <c r="I127" s="17">
        <v>21614150.879999999</v>
      </c>
      <c r="J127" s="15" t="s">
        <v>17</v>
      </c>
      <c r="K127" s="15" t="s">
        <v>18</v>
      </c>
      <c r="L127" s="9">
        <f>YEAR(E127)</f>
        <v>2023</v>
      </c>
      <c r="M127">
        <f t="shared" si="1"/>
        <v>2781098.8800000004</v>
      </c>
    </row>
    <row r="128" spans="1:13" x14ac:dyDescent="0.15">
      <c r="A128" s="12"/>
      <c r="B128" s="13" t="s">
        <v>707</v>
      </c>
      <c r="C128" s="14" t="s">
        <v>23</v>
      </c>
      <c r="D128" s="15" t="s">
        <v>70</v>
      </c>
      <c r="E128" s="15" t="s">
        <v>431</v>
      </c>
      <c r="F128" s="16">
        <v>230</v>
      </c>
      <c r="G128" s="17">
        <v>46533.71</v>
      </c>
      <c r="H128" s="17">
        <v>4092.35</v>
      </c>
      <c r="I128" s="19">
        <v>10702753.300000001</v>
      </c>
      <c r="J128" s="15" t="s">
        <v>28</v>
      </c>
      <c r="K128" s="15" t="s">
        <v>18</v>
      </c>
      <c r="L128" s="9">
        <f>YEAR(E128)</f>
        <v>2023</v>
      </c>
      <c r="M128">
        <f t="shared" si="1"/>
        <v>941240.5</v>
      </c>
    </row>
    <row r="129" spans="1:13" x14ac:dyDescent="0.15">
      <c r="A129" s="12"/>
      <c r="B129" s="13" t="s">
        <v>707</v>
      </c>
      <c r="C129" s="14" t="s">
        <v>23</v>
      </c>
      <c r="D129" s="15" t="s">
        <v>70</v>
      </c>
      <c r="E129" s="15" t="s">
        <v>772</v>
      </c>
      <c r="F129" s="16">
        <v>654</v>
      </c>
      <c r="G129" s="17">
        <v>10417.459999999999</v>
      </c>
      <c r="H129" s="17">
        <v>5360.66</v>
      </c>
      <c r="I129" s="17">
        <v>6813018.8399999999</v>
      </c>
      <c r="J129" s="15" t="s">
        <v>17</v>
      </c>
      <c r="K129" s="15" t="s">
        <v>18</v>
      </c>
      <c r="L129" s="9">
        <f>YEAR(E129)</f>
        <v>2023</v>
      </c>
      <c r="M129">
        <f t="shared" si="1"/>
        <v>3505871.64</v>
      </c>
    </row>
    <row r="130" spans="1:13" x14ac:dyDescent="0.15">
      <c r="A130" s="12"/>
      <c r="B130" s="13" t="s">
        <v>707</v>
      </c>
      <c r="C130" s="14" t="s">
        <v>14</v>
      </c>
      <c r="D130" s="15" t="s">
        <v>70</v>
      </c>
      <c r="E130" s="15" t="s">
        <v>774</v>
      </c>
      <c r="F130" s="16">
        <v>127</v>
      </c>
      <c r="G130" s="17">
        <v>18303.060000000001</v>
      </c>
      <c r="H130" s="17">
        <v>6427.12</v>
      </c>
      <c r="I130" s="17">
        <v>2324488.62</v>
      </c>
      <c r="J130" s="15" t="s">
        <v>17</v>
      </c>
      <c r="K130" s="15" t="s">
        <v>18</v>
      </c>
      <c r="L130" s="9">
        <f>YEAR(E130)</f>
        <v>2023</v>
      </c>
      <c r="M130">
        <f t="shared" si="1"/>
        <v>816244.24</v>
      </c>
    </row>
    <row r="131" spans="1:13" x14ac:dyDescent="0.15">
      <c r="A131" s="12"/>
      <c r="B131" s="13" t="s">
        <v>707</v>
      </c>
      <c r="C131" s="14" t="s">
        <v>38</v>
      </c>
      <c r="D131" s="15" t="s">
        <v>70</v>
      </c>
      <c r="E131" s="15" t="s">
        <v>315</v>
      </c>
      <c r="F131" s="16">
        <v>478</v>
      </c>
      <c r="G131" s="17">
        <v>15759.34</v>
      </c>
      <c r="H131" s="17">
        <v>9407.02</v>
      </c>
      <c r="I131" s="17">
        <v>7532964.5199999996</v>
      </c>
      <c r="J131" s="15" t="s">
        <v>17</v>
      </c>
      <c r="K131" s="15" t="s">
        <v>18</v>
      </c>
      <c r="L131" s="9">
        <f>YEAR(E131)</f>
        <v>2023</v>
      </c>
      <c r="M131">
        <f t="shared" si="1"/>
        <v>4496555.5600000005</v>
      </c>
    </row>
    <row r="132" spans="1:13" x14ac:dyDescent="0.15">
      <c r="A132" s="12"/>
      <c r="B132" s="13" t="s">
        <v>707</v>
      </c>
      <c r="C132" s="14" t="s">
        <v>38</v>
      </c>
      <c r="D132" s="15" t="s">
        <v>70</v>
      </c>
      <c r="E132" s="15" t="s">
        <v>775</v>
      </c>
      <c r="F132" s="16">
        <v>466</v>
      </c>
      <c r="G132" s="17">
        <v>40846.78</v>
      </c>
      <c r="H132" s="17">
        <v>8081.57</v>
      </c>
      <c r="I132" s="17">
        <v>19034599.48</v>
      </c>
      <c r="J132" s="15" t="s">
        <v>30</v>
      </c>
      <c r="K132" s="15" t="s">
        <v>18</v>
      </c>
      <c r="L132" s="9">
        <f>YEAR(E132)</f>
        <v>2023</v>
      </c>
      <c r="M132">
        <f t="shared" ref="M132:M135" si="2">H132*F132</f>
        <v>3766011.6199999996</v>
      </c>
    </row>
    <row r="133" spans="1:13" x14ac:dyDescent="0.15">
      <c r="A133" s="12"/>
      <c r="B133" s="13" t="s">
        <v>707</v>
      </c>
      <c r="C133" s="14" t="s">
        <v>79</v>
      </c>
      <c r="D133" s="15" t="s">
        <v>15</v>
      </c>
      <c r="E133" s="15" t="s">
        <v>781</v>
      </c>
      <c r="F133" s="16">
        <v>272</v>
      </c>
      <c r="G133" s="17">
        <v>14549.25</v>
      </c>
      <c r="H133" s="17">
        <v>7569.65</v>
      </c>
      <c r="I133" s="16">
        <v>3957396</v>
      </c>
      <c r="J133" s="15" t="s">
        <v>22</v>
      </c>
      <c r="K133" s="15" t="s">
        <v>18</v>
      </c>
      <c r="L133" s="9">
        <f>YEAR(E133)</f>
        <v>2023</v>
      </c>
      <c r="M133">
        <f t="shared" si="2"/>
        <v>2058944.7999999998</v>
      </c>
    </row>
    <row r="134" spans="1:13" x14ac:dyDescent="0.15">
      <c r="A134" s="12"/>
      <c r="B134" s="13" t="s">
        <v>707</v>
      </c>
      <c r="C134" s="14" t="s">
        <v>14</v>
      </c>
      <c r="D134" s="15" t="s">
        <v>15</v>
      </c>
      <c r="E134" s="15" t="s">
        <v>404</v>
      </c>
      <c r="F134" s="16">
        <v>940</v>
      </c>
      <c r="G134" s="17">
        <v>31473.119999999999</v>
      </c>
      <c r="H134" s="17">
        <v>6282.47</v>
      </c>
      <c r="I134" s="19">
        <v>29584732.800000001</v>
      </c>
      <c r="J134" s="15" t="s">
        <v>17</v>
      </c>
      <c r="K134" s="15" t="s">
        <v>18</v>
      </c>
      <c r="L134" s="9">
        <f>YEAR(E134)</f>
        <v>2023</v>
      </c>
      <c r="M134">
        <f t="shared" si="2"/>
        <v>5905521.7999999998</v>
      </c>
    </row>
    <row r="135" spans="1:13" x14ac:dyDescent="0.15">
      <c r="A135" s="12"/>
      <c r="B135" s="13" t="s">
        <v>707</v>
      </c>
      <c r="C135" s="14" t="s">
        <v>25</v>
      </c>
      <c r="D135" s="15" t="s">
        <v>26</v>
      </c>
      <c r="E135" s="15" t="s">
        <v>784</v>
      </c>
      <c r="F135" s="16">
        <v>859</v>
      </c>
      <c r="G135" s="17">
        <v>43851.61</v>
      </c>
      <c r="H135" s="17">
        <v>6799.28</v>
      </c>
      <c r="I135" s="17">
        <v>37668532.990000002</v>
      </c>
      <c r="J135" s="15" t="s">
        <v>22</v>
      </c>
      <c r="K135" s="15" t="s">
        <v>18</v>
      </c>
      <c r="L135" s="9">
        <f>YEAR(E135)</f>
        <v>2023</v>
      </c>
      <c r="M135">
        <f t="shared" si="2"/>
        <v>5840581.5199999996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73C56-A177-BC4B-8355-8F9C3AF3233A}">
  <dimension ref="A2:F8"/>
  <sheetViews>
    <sheetView workbookViewId="0"/>
  </sheetViews>
  <sheetFormatPr baseColWidth="10" defaultRowHeight="13" x14ac:dyDescent="0.15"/>
  <cols>
    <col min="1" max="5" width="9.6640625" bestFit="1" customWidth="1"/>
  </cols>
  <sheetData>
    <row r="2" spans="1:6" ht="28" x14ac:dyDescent="0.15">
      <c r="A2" s="94" t="s">
        <v>807</v>
      </c>
      <c r="B2" s="94" t="s">
        <v>805</v>
      </c>
    </row>
    <row r="3" spans="1:6" ht="28" x14ac:dyDescent="0.15">
      <c r="A3" s="94" t="s">
        <v>806</v>
      </c>
      <c r="B3" t="s">
        <v>30</v>
      </c>
      <c r="C3" t="s">
        <v>17</v>
      </c>
      <c r="D3" t="s">
        <v>22</v>
      </c>
      <c r="E3" t="s">
        <v>28</v>
      </c>
      <c r="F3" t="s">
        <v>789</v>
      </c>
    </row>
    <row r="4" spans="1:6" x14ac:dyDescent="0.15">
      <c r="A4">
        <v>2020</v>
      </c>
      <c r="B4" s="93">
        <v>19273.879999999997</v>
      </c>
      <c r="C4" s="93">
        <v>154675.32000000004</v>
      </c>
      <c r="D4" s="93">
        <v>37964.49</v>
      </c>
      <c r="E4" s="93">
        <v>21030.449999999997</v>
      </c>
      <c r="F4" s="93">
        <v>232944.14</v>
      </c>
    </row>
    <row r="5" spans="1:6" x14ac:dyDescent="0.15">
      <c r="A5">
        <v>2021</v>
      </c>
      <c r="B5" s="93">
        <v>46932.270000000004</v>
      </c>
      <c r="C5" s="93">
        <v>193778.34999999998</v>
      </c>
      <c r="D5" s="93">
        <v>11599.369999999999</v>
      </c>
      <c r="E5" s="93">
        <v>29037.37</v>
      </c>
      <c r="F5" s="93">
        <v>281347.36</v>
      </c>
    </row>
    <row r="6" spans="1:6" x14ac:dyDescent="0.15">
      <c r="A6">
        <v>2022</v>
      </c>
      <c r="B6" s="93">
        <v>7986.77</v>
      </c>
      <c r="C6" s="93">
        <v>136838.21</v>
      </c>
      <c r="D6" s="93">
        <v>26750.09</v>
      </c>
      <c r="E6" s="93">
        <v>9542.98</v>
      </c>
      <c r="F6" s="93">
        <v>181118.05</v>
      </c>
    </row>
    <row r="7" spans="1:6" x14ac:dyDescent="0.15">
      <c r="A7">
        <v>2023</v>
      </c>
      <c r="B7" s="93">
        <v>19036.190000000002</v>
      </c>
      <c r="C7" s="93">
        <v>96547.58</v>
      </c>
      <c r="D7" s="93">
        <v>38755.97</v>
      </c>
      <c r="E7" s="93">
        <v>27458.589999999997</v>
      </c>
      <c r="F7" s="93">
        <v>181798.33</v>
      </c>
    </row>
    <row r="8" spans="1:6" ht="28" x14ac:dyDescent="0.15">
      <c r="A8" t="s">
        <v>789</v>
      </c>
      <c r="B8" s="93">
        <v>93229.11</v>
      </c>
      <c r="C8" s="93">
        <v>581839.46</v>
      </c>
      <c r="D8" s="93">
        <v>115069.92</v>
      </c>
      <c r="E8" s="93">
        <v>87069.389999999985</v>
      </c>
      <c r="F8" s="93">
        <v>877207.88</v>
      </c>
    </row>
  </sheetData>
  <pageMargins left="0.7" right="0.7" top="0.75" bottom="0.75" header="0.3" footer="0.3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A15464-F67E-BF45-9A39-484B40F167D6}">
  <dimension ref="A1"/>
  <sheetViews>
    <sheetView tabSelected="1" workbookViewId="0"/>
  </sheetViews>
  <sheetFormatPr baseColWidth="10" defaultRowHeight="13" x14ac:dyDescent="0.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Sheet 1</vt:lpstr>
      <vt:lpstr>Final Work</vt:lpstr>
      <vt:lpstr>Cashew</vt:lpstr>
      <vt:lpstr>Cassava</vt:lpstr>
      <vt:lpstr>Cocoa</vt:lpstr>
      <vt:lpstr>Ginger</vt:lpstr>
      <vt:lpstr>Plantain</vt:lpstr>
      <vt:lpstr>Palm Oil</vt:lpstr>
      <vt:lpstr>Rubber</vt:lpstr>
      <vt:lpstr>Sesame</vt:lpstr>
      <vt:lpstr>Sheet40</vt:lpstr>
      <vt:lpstr>Sheet42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Adebowale, Mayowa Elizabeth</cp:lastModifiedBy>
  <dcterms:modified xsi:type="dcterms:W3CDTF">2025-11-07T21:22:04Z</dcterms:modified>
</cp:coreProperties>
</file>